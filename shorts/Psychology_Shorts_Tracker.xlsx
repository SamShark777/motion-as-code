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ng form" sheetId="2" state="visible" r:id="rId2"/>
    <sheet name="Look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U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  <col width="10" customWidth="1" min="42" max="42"/>
    <col width="34" customWidth="1" min="43" max="43"/>
    <col width="60" customWidth="1" min="44" max="44"/>
    <col width="30" customWidth="1" min="45" max="45"/>
    <col width="26" customWidth="1" min="46" max="46"/>
    <col width="34" customWidth="1" min="47" max="47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  <c r="AP4" s="9" t="inlineStr">
        <is>
          <t>STORY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  <c r="AP5" s="8" t="inlineStr">
        <is>
          <t>Format</t>
        </is>
      </c>
      <c r="AQ5" s="8" t="inlineStr">
        <is>
          <t>Animation style</t>
        </is>
      </c>
      <c r="AR5" s="8" t="inlineStr">
        <is>
          <t>Storyboard</t>
        </is>
      </c>
      <c r="AS5" s="8" t="inlineStr">
        <is>
          <t>Palette &amp; type</t>
        </is>
      </c>
      <c r="AT5" s="8" t="inlineStr">
        <is>
          <t>Characters</t>
        </is>
      </c>
      <c r="AU5" s="8" t="inlineStr">
        <is>
          <t>Sound cues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 2026-10-18 review: d7 stats not available (Metricool per-video YouTube data empty).</t>
        </is>
      </c>
      <c r="AO6" s="10" t="inlineStr">
        <is>
          <t>pixel-lab</t>
        </is>
      </c>
      <c r="AP6" s="51" t="n"/>
      <c r="AQ6" s="51" t="n"/>
      <c r="AR6" s="51" t="n"/>
      <c r="AS6" s="51" t="n"/>
      <c r="AT6" s="51" t="n"/>
      <c r="AU6" s="51" t="n"/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  <c r="AP7" s="51" t="n"/>
      <c r="AQ7" s="51" t="n"/>
      <c r="AR7" s="51" t="n"/>
      <c r="AS7" s="51" t="n"/>
      <c r="AT7" s="51" t="n"/>
      <c r="AU7" s="51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buffer:youtube=6ad14adb2b2233d4661582ae;tiktok=6ad14adc5533140b41cadc37;instagram=6ad5279e769b457934da2d97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  <c r="AP8" s="51" t="n"/>
      <c r="AQ8" s="51" t="n"/>
      <c r="AR8" s="51" t="n"/>
      <c r="AS8" s="51" t="n"/>
      <c r="AT8" s="51" t="n"/>
      <c r="AU8" s="51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Scheduled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>
        <v>46314</v>
      </c>
      <c r="M9" s="5">
        <f>IF(L9="","",TEXT(L9,"ddd"))</f>
        <v/>
      </c>
      <c r="N9" s="10" t="n"/>
      <c r="O9" s="10" t="n">
        <v>43</v>
      </c>
      <c r="P9" s="10" t="inlineStr">
        <is>
          <t>Why Scary Headlines Feel More Common Than They Are #shorts</t>
        </is>
      </c>
      <c r="Q9" s="10" t="inlineStr">
        <is>
          <t>Lichtenstein, Slovic et al. 1978, JEP:HLM 4(6):551-578; 41 causes of death, dramatic over-, common underestimated; Tversky &amp; Kahneman 1973</t>
        </is>
      </c>
      <c r="R9" s="10" t="inlineStr">
        <is>
          <t>buffer:youtube=6ad514440a208cb32379c365;tiktok=6ad51445938409f1d0e23e43;instagram=6ad5279dae173d6e0017d665</t>
        </is>
      </c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  <c r="AP9" s="51" t="n"/>
      <c r="AQ9" s="51" t="n"/>
      <c r="AR9" s="51" t="n"/>
      <c r="AS9" s="51" t="n"/>
      <c r="AT9" s="51" t="n"/>
      <c r="AU9" s="51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  <c r="AP10" s="51" t="n"/>
      <c r="AQ10" s="51" t="n"/>
      <c r="AR10" s="51" t="n"/>
      <c r="AS10" s="51" t="n"/>
      <c r="AT10" s="51" t="n"/>
      <c r="AU10" s="51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Scripted</t>
        </is>
      </c>
      <c r="I11" s="10" t="n">
        <v>45</v>
      </c>
      <c r="J11" s="10" t="inlineStr">
        <is>
          <t>Strong</t>
        </is>
      </c>
      <c r="K11" s="10" t="inlineStr">
        <is>
          <t>halo-warm</t>
        </is>
      </c>
      <c r="L11" s="11" t="n"/>
      <c r="M11" s="5">
        <f>IF(L11="","",TEXT(L11,"ddd"))</f>
        <v/>
      </c>
      <c r="N11" s="10" t="inlineStr">
        <is>
          <t>question</t>
        </is>
      </c>
      <c r="O11" s="10" t="n"/>
      <c r="P11" s="10" t="n"/>
      <c r="Q11" s="10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inlineStr">
        <is>
          <t>Story Short (2026-10-17). Held from posting until 2026-11-01.</t>
        </is>
      </c>
      <c r="AO11" s="10" t="inlineStr">
        <is>
          <t>riso</t>
        </is>
      </c>
      <c r="AP11" s="51" t="inlineStr">
        <is>
          <t>story</t>
        </is>
      </c>
      <c r="AQ11" s="51" t="inlineStr">
        <is>
          <t>Soft glow editorial: dusk gradient, a literal halo ring that tints everything it touches; slow push-ins.</t>
        </is>
      </c>
      <c r="AR11" s="51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51" t="inlineStr">
        <is>
          <t>Dusk violet #2D1B69, peach #FFB38A, gold halo #FFD66B, cream text; Playfair Display headlines, Barlow captions</t>
        </is>
      </c>
      <c r="AT11" s="51" t="inlineStr">
        <is>
          <t>A lecturer (the One More protagonist with glasses), seen twice: warm and cold</t>
        </is>
      </c>
      <c r="AU11" s="51" t="inlineStr">
        <is>
          <t>A chime when the halo appears, a flip between the warm and cold versions, a rising tone on the stat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  <c r="AP12" s="51" t="n"/>
      <c r="AQ12" s="51" t="n"/>
      <c r="AR12" s="51" t="n"/>
      <c r="AS12" s="51" t="n"/>
      <c r="AT12" s="51" t="n"/>
      <c r="AU12" s="51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  <c r="AP13" s="51" t="n"/>
      <c r="AQ13" s="51" t="n"/>
      <c r="AR13" s="51" t="n"/>
      <c r="AS13" s="51" t="n"/>
      <c r="AT13" s="51" t="n"/>
      <c r="AU13" s="51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  <c r="AP14" s="51" t="inlineStr">
        <is>
          <t>story</t>
        </is>
      </c>
      <c r="AQ14" s="51" t="inlineStr">
        <is>
          <t>Minimal Swiss: white grid, black type, one red accent, a giant checkbox, crisp sliding panels and bar charts.</t>
        </is>
      </c>
      <c r="AR14" s="51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51" t="inlineStr">
        <is>
          <t>White, black #111111, red #E30613; Inter Tight headlines, Inter captions</t>
        </is>
      </c>
      <c r="AT14" s="51" t="inlineStr">
        <is>
          <t>None - objects only (forms, checkboxes, a pen)</t>
        </is>
      </c>
      <c r="AU14" s="51" t="inlineStr">
        <is>
          <t>Toggle click on the checkbox, pen tick, card slides, a settle when the bars stop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  <c r="AP15" s="51" t="n"/>
      <c r="AQ15" s="51" t="n"/>
      <c r="AR15" s="51" t="n"/>
      <c r="AS15" s="51" t="n"/>
      <c r="AT15" s="51" t="n"/>
      <c r="AU15" s="51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Published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inlineStr">
        <is>
          <t>Metricool confirms published 2026-10-12 on YouTube, Instagram and TikTok (Status still Scheduled; left for the workflow/Shivam). Per-video stats not in Metricool yet.</t>
        </is>
      </c>
      <c r="AO16" s="10" t="inlineStr">
        <is>
          <t>pixel-lab</t>
        </is>
      </c>
      <c r="AP16" s="51" t="n"/>
      <c r="AQ16" s="51" t="n"/>
      <c r="AR16" s="51" t="n"/>
      <c r="AS16" s="51" t="n"/>
      <c r="AT16" s="51" t="n"/>
      <c r="AU16" s="51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  <c r="AP17" s="51" t="n"/>
      <c r="AQ17" s="51" t="n"/>
      <c r="AR17" s="51" t="n"/>
      <c r="AS17" s="51" t="n"/>
      <c r="AT17" s="51" t="n"/>
      <c r="AU17" s="51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Scheduled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>
        <v>46312</v>
      </c>
      <c r="M18" s="5">
        <f>IF(L18="","",TEXT(L18,"ddd"))</f>
        <v/>
      </c>
      <c r="N18" s="10" t="n"/>
      <c r="O18" s="10" t="n">
        <v>34</v>
      </c>
      <c r="P18" s="10" t="inlineStr">
        <is>
          <t>Why Cramming Loses to This Simple Schedule #shorts</t>
        </is>
      </c>
      <c r="Q18" s="10" t="inlineStr">
        <is>
          <t>Cepeda et al. 2006, Psychological Bulletin 132(3):354-380; 317 experiments/184 articles, spaced &gt; massed recall</t>
        </is>
      </c>
      <c r="R18" s="10" t="inlineStr">
        <is>
          <t>buffer:youtube=6ad27dfc346e510ac44f4f11;tiktok=6ad27dfd5720e82b418e1add</t>
        </is>
      </c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  <c r="AP18" s="51" t="n"/>
      <c r="AQ18" s="51" t="n"/>
      <c r="AR18" s="51" t="n"/>
      <c r="AS18" s="51" t="n"/>
      <c r="AT18" s="51" t="n"/>
      <c r="AU18" s="51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  <c r="AP19" s="51" t="n"/>
      <c r="AQ19" s="51" t="n"/>
      <c r="AR19" s="51" t="n"/>
      <c r="AS19" s="51" t="n"/>
      <c r="AT19" s="51" t="n"/>
      <c r="AU19" s="51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  <c r="AP20" s="51" t="n"/>
      <c r="AQ20" s="51" t="n"/>
      <c r="AR20" s="51" t="n"/>
      <c r="AS20" s="51" t="n"/>
      <c r="AT20" s="51" t="n"/>
      <c r="AU20" s="51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10" t="inlineStr">
        <is>
          <t>dossier</t>
        </is>
      </c>
      <c r="AP21" s="51" t="inlineStr">
        <is>
          <t>story</t>
        </is>
      </c>
      <c r="AQ21" s="51" t="inlineStr">
        <is>
          <t>Noir detective sketch: charcoal lines on cream paper, one red spot colour, slow pans across a crime board; the remembered scene redraws itself as the question changes.</t>
        </is>
      </c>
      <c r="AR21" s="51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51" t="inlineStr">
        <is>
          <t>Cream paper #F3EBDD, charcoal ink #1E1B18, crime red #C8322B; Bebas Neue headlines, Courier Prime captions</t>
        </is>
      </c>
      <c r="AT21" s="51" t="inlineStr">
        <is>
          <t>The witness (the One More protagonist redrawn in charcoal) and a faceless detective silhouette</t>
        </is>
      </c>
      <c r="AU21" s="51" t="inlineStr">
        <is>
          <t>Soft car bump, pen scratches on the board, a glass tinkle when the broken glass appears, a page turn at the end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  <c r="AP22" s="51" t="n"/>
      <c r="AQ22" s="51" t="n"/>
      <c r="AR22" s="51" t="n"/>
      <c r="AS22" s="51" t="n"/>
      <c r="AT22" s="51" t="n"/>
      <c r="AU22" s="51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Scripted</t>
        </is>
      </c>
      <c r="I23" s="10" t="n">
        <v>59</v>
      </c>
      <c r="J23" s="10" t="inlineStr">
        <is>
          <t>Strong</t>
        </is>
      </c>
      <c r="K23" s="10" t="inlineStr">
        <is>
          <t>serial-position</t>
        </is>
      </c>
      <c r="L23" s="11" t="n"/>
      <c r="M23" s="5">
        <f>IF(L23="","",TEXT(L23,"ddd"))</f>
        <v/>
      </c>
      <c r="N23" s="10" t="inlineStr">
        <is>
          <t>challenge</t>
        </is>
      </c>
      <c r="O23" s="10" t="n"/>
      <c r="P23" s="10" t="n"/>
      <c r="Q23" s="10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inlineStr">
        <is>
          <t>Story Short (2026-10-17). Headline font Baloo 2 instead of Fredoka (Fredoka has no 800 weight, which the build requests). Held from posting until 2026-11-01.</t>
        </is>
      </c>
      <c r="AO23" s="10" t="inlineStr">
        <is>
          <t>data-story</t>
        </is>
      </c>
      <c r="AP23" s="51" t="inlineStr">
        <is>
          <t>story</t>
        </is>
      </c>
      <c r="AQ23" s="51" t="inlineStr">
        <is>
          <t>Game-show flat: a list of words on flip cards, then a U-shaped curve drawn live like a scoreboard; bouncy pops.</t>
        </is>
      </c>
      <c r="AR23" s="51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51" t="inlineStr">
        <is>
          <t>Violet stage #4B2AA5, gold #FFD23F, white cards, pink #FF4FA3; Fredoka headlines, Nunito captions</t>
        </is>
      </c>
      <c r="AT23" s="51" t="inlineStr">
        <is>
          <t>A quiz host (the One More protagonist in a bow tie)</t>
        </is>
      </c>
      <c r="AU23" s="51" t="inlineStr">
        <is>
          <t>A card flip and tick per word, a rising tone as the curve draws, chime-bright on the takeaway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  <c r="AP24" s="51" t="n"/>
      <c r="AQ24" s="51" t="n"/>
      <c r="AR24" s="51" t="n"/>
      <c r="AS24" s="51" t="n"/>
      <c r="AT24" s="51" t="n"/>
      <c r="AU24" s="51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  <c r="AP25" s="51" t="n"/>
      <c r="AQ25" s="51" t="n"/>
      <c r="AR25" s="51" t="n"/>
      <c r="AS25" s="51" t="n"/>
      <c r="AT25" s="51" t="n"/>
      <c r="AU25" s="51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Scripted</t>
        </is>
      </c>
      <c r="I26" s="10" t="n">
        <v>72</v>
      </c>
      <c r="J26" s="10" t="inlineStr">
        <is>
          <t>Weak</t>
        </is>
      </c>
      <c r="K26" s="10" t="inlineStr">
        <is>
          <t>stroop-ink</t>
        </is>
      </c>
      <c r="L26" s="11" t="n"/>
      <c r="M26" s="5">
        <f>IF(L26="","",TEXT(L26,"ddd"))</f>
        <v/>
      </c>
      <c r="N26" s="10" t="inlineStr">
        <is>
          <t>challenge</t>
        </is>
      </c>
      <c r="O26" s="10" t="n"/>
      <c r="P26" s="10" t="n"/>
      <c r="Q26" s="10" t="inlineStr">
        <is>
          <t>Stroop, J. R. (1935). Studies of interference in serial verbal reactions. J Exp Psychol 18:643-662 (Exp. 2, 100 students: ~110 s vs ~63 s per sheet, +74%); MacLeod (1991) review</t>
        </is>
      </c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inlineStr">
        <is>
          <t>Story format demo (2026-10-16). Held from posting until 2026-11-01.</t>
        </is>
      </c>
      <c r="AO26" s="10" t="inlineStr">
        <is>
          <t>game-show</t>
        </is>
      </c>
      <c r="AP26" s="51" t="inlineStr">
        <is>
          <t>story</t>
        </is>
      </c>
      <c r="AQ26" s="51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51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51" t="inlineStr">
        <is>
          <t>White page, ink #210B3D, violet #7624CE, hot pink, cyan, neon green highlight; Barlow Condensed headlines, Barlow captions</t>
        </is>
      </c>
      <c r="AT26" s="51" t="inlineStr">
        <is>
          <t>the One More protagonist (curly hair, violet jacket)</t>
        </is>
      </c>
      <c r="AU26" s="51" t="inlineStr">
        <is>
          <t>pop as each word appears, ticks while trying, a lightning zap when ink and word clash, chime-bright on +74%, three wooden taps at the end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Published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inlineStr">
        <is>
          <t>Metricool: published 2026-10-13 on YouTube + TikTok; Instagram ERROR (Unknown). Status still Scheduled. Per-video stats not in Metricool yet.</t>
        </is>
      </c>
      <c r="AO27" s="10" t="inlineStr">
        <is>
          <t>pixel-lab</t>
        </is>
      </c>
      <c r="AP27" s="51" t="n"/>
      <c r="AQ27" s="51" t="n"/>
      <c r="AR27" s="51" t="n"/>
      <c r="AS27" s="51" t="n"/>
      <c r="AT27" s="51" t="n"/>
      <c r="AU27" s="51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  <c r="AP28" s="51" t="inlineStr">
        <is>
          <t>story</t>
        </is>
      </c>
      <c r="AQ28" s="51" t="inlineStr">
        <is>
          <t>Bright flat cartoon street, playful and fast; spot-the-difference flicker panels; a big door slides through the frame and hides a swap.</t>
        </is>
      </c>
      <c r="AR28" s="51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51" t="inlineStr">
        <is>
          <t>Sky #8FD3FF, sunny yellow #FFD447, coral #FF6B5B, ink #1D1D2C; Fredoka headlines, Nunito captions</t>
        </is>
      </c>
      <c r="AT28" s="51" t="inlineStr">
        <is>
          <t>Two different strangers (one in a cap, one in glasses), a tourist with a map, two door carriers</t>
        </is>
      </c>
      <c r="AU28" s="51" t="inlineStr">
        <is>
          <t>Camera-shutter flicker, footsteps, a whoosh as the door passes, a bright chime on the reveal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  <c r="AP29" s="51" t="n"/>
      <c r="AQ29" s="51" t="n"/>
      <c r="AR29" s="51" t="n"/>
      <c r="AS29" s="51" t="n"/>
      <c r="AT29" s="51" t="n"/>
      <c r="AU29" s="51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Scheduled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>
        <v>46312</v>
      </c>
      <c r="M30" s="5">
        <f>IF(L30="","",TEXT(L30,"ddd"))</f>
        <v/>
      </c>
      <c r="N30" s="10" t="n"/>
      <c r="O30" s="10" t="n">
        <v>34</v>
      </c>
      <c r="P30" s="10" t="inlineStr">
        <is>
          <t>Why You Hear Your Name in a Noisy Room #shorts</t>
        </is>
      </c>
      <c r="Q30" s="10" t="inlineStr">
        <is>
          <t>Moray 1959, QJEP 11(1):56-60; words repeated 35x in rejected ear not recalled, ~1/3 noticed own name (cf. Wood &amp; Cowan 1995)</t>
        </is>
      </c>
      <c r="R30" s="10" t="inlineStr">
        <is>
          <t>buffer:youtube=6ad27dfe5720e82b418e1b51;tiktok=6ad27dfe346e510ac44f4f9b</t>
        </is>
      </c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  <c r="AP30" s="51" t="n"/>
      <c r="AQ30" s="51" t="n"/>
      <c r="AR30" s="51" t="n"/>
      <c r="AS30" s="51" t="n"/>
      <c r="AT30" s="51" t="n"/>
      <c r="AU30" s="51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  <c r="AP31" s="51" t="n"/>
      <c r="AQ31" s="51" t="n"/>
      <c r="AR31" s="51" t="n"/>
      <c r="AS31" s="51" t="n"/>
      <c r="AT31" s="51" t="n"/>
      <c r="AU31" s="51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  <c r="AP32" s="51" t="n"/>
      <c r="AQ32" s="51" t="n"/>
      <c r="AR32" s="51" t="n"/>
      <c r="AS32" s="51" t="n"/>
      <c r="AT32" s="51" t="n"/>
      <c r="AU32" s="51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  <c r="AP33" s="51" t="n"/>
      <c r="AQ33" s="51" t="n"/>
      <c r="AR33" s="51" t="n"/>
      <c r="AS33" s="51" t="n"/>
      <c r="AT33" s="51" t="n"/>
      <c r="AU33" s="51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  <c r="AP34" s="51" t="n"/>
      <c r="AQ34" s="51" t="n"/>
      <c r="AR34" s="51" t="n"/>
      <c r="AS34" s="51" t="n"/>
      <c r="AT34" s="51" t="n"/>
      <c r="AU34" s="51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  <c r="AP35" s="51" t="n"/>
      <c r="AQ35" s="51" t="n"/>
      <c r="AR35" s="51" t="n"/>
      <c r="AS35" s="51" t="n"/>
      <c r="AT35" s="51" t="n"/>
      <c r="AU35" s="51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  <c r="AP36" s="51" t="n"/>
      <c r="AQ36" s="51" t="n"/>
      <c r="AR36" s="51" t="n"/>
      <c r="AS36" s="51" t="n"/>
      <c r="AT36" s="51" t="n"/>
      <c r="AU36" s="51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  <c r="AP37" s="51" t="n"/>
      <c r="AQ37" s="51" t="n"/>
      <c r="AR37" s="51" t="n"/>
      <c r="AS37" s="51" t="n"/>
      <c r="AT37" s="51" t="n"/>
      <c r="AU37" s="51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  <c r="AP38" s="51" t="n"/>
      <c r="AQ38" s="51" t="n"/>
      <c r="AR38" s="51" t="n"/>
      <c r="AS38" s="51" t="n"/>
      <c r="AT38" s="51" t="n"/>
      <c r="AU38" s="51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  <c r="AP39" s="51" t="n"/>
      <c r="AQ39" s="51" t="n"/>
      <c r="AR39" s="51" t="n"/>
      <c r="AS39" s="51" t="n"/>
      <c r="AT39" s="51" t="n"/>
      <c r="AU39" s="51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  <c r="AP40" s="51" t="n"/>
      <c r="AQ40" s="51" t="n"/>
      <c r="AR40" s="51" t="n"/>
      <c r="AS40" s="51" t="n"/>
      <c r="AT40" s="51" t="n"/>
      <c r="AU40" s="51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Scheduled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>
        <v>46312</v>
      </c>
      <c r="M41" s="5">
        <f>IF(L41="","",TEXT(L41,"ddd"))</f>
        <v/>
      </c>
      <c r="N41" s="10" t="n"/>
      <c r="O41" s="10" t="n">
        <v>37</v>
      </c>
      <c r="P41" s="10" t="inlineStr">
        <is>
          <t>The Hidden Feeling Behind Your Procrastination #shorts</t>
        </is>
      </c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inlineStr">
        <is>
          <t>buffer:youtube=6ad27e00346e510ac44f4fd1;tiktok=6ad27e005720e82b418e1bb9</t>
        </is>
      </c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  <c r="AP41" s="51" t="n"/>
      <c r="AQ41" s="51" t="n"/>
      <c r="AR41" s="51" t="n"/>
      <c r="AS41" s="51" t="n"/>
      <c r="AT41" s="51" t="n"/>
      <c r="AU41" s="51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  <c r="AP42" s="51" t="n"/>
      <c r="AQ42" s="51" t="n"/>
      <c r="AR42" s="51" t="n"/>
      <c r="AS42" s="51" t="n"/>
      <c r="AT42" s="51" t="n"/>
      <c r="AU42" s="51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  <c r="AP43" s="51" t="n"/>
      <c r="AQ43" s="51" t="n"/>
      <c r="AR43" s="51" t="n"/>
      <c r="AS43" s="51" t="n"/>
      <c r="AT43" s="51" t="n"/>
      <c r="AU43" s="51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  <c r="AP44" s="51" t="n"/>
      <c r="AQ44" s="51" t="n"/>
      <c r="AR44" s="51" t="n"/>
      <c r="AS44" s="51" t="n"/>
      <c r="AT44" s="51" t="n"/>
      <c r="AU44" s="51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  <c r="AP45" s="51" t="n"/>
      <c r="AQ45" s="51" t="n"/>
      <c r="AR45" s="51" t="n"/>
      <c r="AS45" s="51" t="n"/>
      <c r="AT45" s="51" t="n"/>
      <c r="AU45" s="51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  <c r="AP46" s="51" t="n"/>
      <c r="AQ46" s="51" t="n"/>
      <c r="AR46" s="51" t="n"/>
      <c r="AS46" s="51" t="n"/>
      <c r="AT46" s="51" t="n"/>
      <c r="AU46" s="51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  <c r="AP47" s="51" t="n"/>
      <c r="AQ47" s="51" t="n"/>
      <c r="AR47" s="51" t="n"/>
      <c r="AS47" s="51" t="n"/>
      <c r="AT47" s="51" t="n"/>
      <c r="AU47" s="51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  <c r="AP48" s="51" t="n"/>
      <c r="AQ48" s="51" t="n"/>
      <c r="AR48" s="51" t="n"/>
      <c r="AS48" s="51" t="n"/>
      <c r="AT48" s="51" t="n"/>
      <c r="AU48" s="51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  <c r="AP49" s="51" t="n"/>
      <c r="AQ49" s="51" t="n"/>
      <c r="AR49" s="51" t="n"/>
      <c r="AS49" s="51" t="n"/>
      <c r="AT49" s="51" t="n"/>
      <c r="AU49" s="51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  <c r="AP50" s="51" t="n"/>
      <c r="AQ50" s="51" t="n"/>
      <c r="AR50" s="51" t="n"/>
      <c r="AS50" s="51" t="n"/>
      <c r="AT50" s="51" t="n"/>
      <c r="AU50" s="51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  <c r="AP51" s="51" t="n"/>
      <c r="AQ51" s="51" t="n"/>
      <c r="AR51" s="51" t="n"/>
      <c r="AS51" s="51" t="n"/>
      <c r="AT51" s="51" t="n"/>
      <c r="AU51" s="51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Scheduled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>
        <v>46313</v>
      </c>
      <c r="M52" s="5">
        <f>IF(L52="","",TEXT(L52,"ddd"))</f>
        <v/>
      </c>
      <c r="N52" s="10" t="n"/>
      <c r="O52" s="10" t="n">
        <v>38</v>
      </c>
      <c r="P52" s="10" t="inlineStr">
        <is>
          <t>What Hiding Your Feelings Does to the Other Person #shorts</t>
        </is>
      </c>
      <c r="Q52" s="10" t="inlineStr">
        <is>
          <t>Butler et al. 2003, Emotion 3(1):48-67; suppression raised partners' blood pressure, lowered rapport/affiliation</t>
        </is>
      </c>
      <c r="R52" s="10" t="inlineStr">
        <is>
          <t>buffer:youtube=6ad3c111e272c4918f997f66;tiktok=6ad3c1120b0d72757aedb6ef</t>
        </is>
      </c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  <c r="AP52" s="51" t="n"/>
      <c r="AQ52" s="51" t="n"/>
      <c r="AR52" s="51" t="n"/>
      <c r="AS52" s="51" t="n"/>
      <c r="AT52" s="51" t="n"/>
      <c r="AU52" s="51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  <c r="AP53" s="51" t="n"/>
      <c r="AQ53" s="51" t="n"/>
      <c r="AR53" s="51" t="n"/>
      <c r="AS53" s="51" t="n"/>
      <c r="AT53" s="51" t="n"/>
      <c r="AU53" s="51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  <c r="AP54" s="51" t="n"/>
      <c r="AQ54" s="51" t="n"/>
      <c r="AR54" s="51" t="n"/>
      <c r="AS54" s="51" t="n"/>
      <c r="AT54" s="51" t="n"/>
      <c r="AU54" s="51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  <c r="AP55" s="51" t="n"/>
      <c r="AQ55" s="51" t="n"/>
      <c r="AR55" s="51" t="n"/>
      <c r="AS55" s="51" t="n"/>
      <c r="AT55" s="51" t="n"/>
      <c r="AU55" s="51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  <c r="AP56" s="51" t="n"/>
      <c r="AQ56" s="51" t="n"/>
      <c r="AR56" s="51" t="n"/>
      <c r="AS56" s="51" t="n"/>
      <c r="AT56" s="51" t="n"/>
      <c r="AU56" s="51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  <c r="AP57" s="51" t="n"/>
      <c r="AQ57" s="51" t="n"/>
      <c r="AR57" s="51" t="n"/>
      <c r="AS57" s="51" t="n"/>
      <c r="AT57" s="51" t="n"/>
      <c r="AU57" s="51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  <c r="AP58" s="51" t="n"/>
      <c r="AQ58" s="51" t="n"/>
      <c r="AR58" s="51" t="n"/>
      <c r="AS58" s="51" t="n"/>
      <c r="AT58" s="51" t="n"/>
      <c r="AU58" s="51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  <c r="AP59" s="51" t="n"/>
      <c r="AQ59" s="51" t="n"/>
      <c r="AR59" s="51" t="n"/>
      <c r="AS59" s="51" t="n"/>
      <c r="AT59" s="51" t="n"/>
      <c r="AU59" s="51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  <c r="AP60" s="51" t="n"/>
      <c r="AQ60" s="51" t="n"/>
      <c r="AR60" s="51" t="n"/>
      <c r="AS60" s="51" t="n"/>
      <c r="AT60" s="51" t="n"/>
      <c r="AU60" s="51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  <c r="AP61" s="51" t="n"/>
      <c r="AQ61" s="51" t="n"/>
      <c r="AR61" s="51" t="n"/>
      <c r="AS61" s="51" t="n"/>
      <c r="AT61" s="51" t="n"/>
      <c r="AU61" s="51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  <c r="AP62" s="51" t="n"/>
      <c r="AQ62" s="51" t="n"/>
      <c r="AR62" s="51" t="n"/>
      <c r="AS62" s="51" t="n"/>
      <c r="AT62" s="51" t="n"/>
      <c r="AU62" s="51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  <c r="AP63" s="51" t="n"/>
      <c r="AQ63" s="51" t="n"/>
      <c r="AR63" s="51" t="n"/>
      <c r="AS63" s="51" t="n"/>
      <c r="AT63" s="51" t="n"/>
      <c r="AU63" s="51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  <c r="AP64" s="51" t="n"/>
      <c r="AQ64" s="51" t="n"/>
      <c r="AR64" s="51" t="n"/>
      <c r="AS64" s="51" t="n"/>
      <c r="AT64" s="51" t="n"/>
      <c r="AU64" s="51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  <c r="AP65" s="51" t="n"/>
      <c r="AQ65" s="51" t="n"/>
      <c r="AR65" s="51" t="n"/>
      <c r="AS65" s="51" t="n"/>
      <c r="AT65" s="51" t="n"/>
      <c r="AU65" s="51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  <c r="AP66" s="51" t="n"/>
      <c r="AQ66" s="51" t="n"/>
      <c r="AR66" s="51" t="n"/>
      <c r="AS66" s="51" t="n"/>
      <c r="AT66" s="51" t="n"/>
      <c r="AU66" s="51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  <c r="AP67" s="51" t="n"/>
      <c r="AQ67" s="51" t="n"/>
      <c r="AR67" s="51" t="n"/>
      <c r="AS67" s="51" t="n"/>
      <c r="AT67" s="51" t="n"/>
      <c r="AU67" s="51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Scheduled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>
        <v>46313</v>
      </c>
      <c r="M68" s="5">
        <f>IF(L68="","",TEXT(L68,"ddd"))</f>
        <v/>
      </c>
      <c r="N68" s="10" t="n"/>
      <c r="O68" s="10" t="n">
        <v>36</v>
      </c>
      <c r="P68" s="10" t="inlineStr">
        <is>
          <t>Why People Agree Out Loud but Not on Paper #shorts</t>
        </is>
      </c>
      <c r="Q68" s="10" t="inlineStr">
        <is>
          <t>Asch 1956, Psychological Monographs 70(9); written private answers cut conformity sharply (cf. Deutsch &amp; Gerard 1955)</t>
        </is>
      </c>
      <c r="R68" s="10" t="inlineStr">
        <is>
          <t>buffer:youtube=6ad3c114ae173d6e00cc5d2c;tiktok=6ad3c114938409f1d09b2e54</t>
        </is>
      </c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  <c r="AP68" s="51" t="n"/>
      <c r="AQ68" s="51" t="n"/>
      <c r="AR68" s="51" t="n"/>
      <c r="AS68" s="51" t="n"/>
      <c r="AT68" s="51" t="n"/>
      <c r="AU68" s="51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  <c r="AP69" s="51" t="n"/>
      <c r="AQ69" s="51" t="n"/>
      <c r="AR69" s="51" t="n"/>
      <c r="AS69" s="51" t="n"/>
      <c r="AT69" s="51" t="n"/>
      <c r="AU69" s="51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  <c r="AP70" s="51" t="n"/>
      <c r="AQ70" s="51" t="n"/>
      <c r="AR70" s="51" t="n"/>
      <c r="AS70" s="51" t="n"/>
      <c r="AT70" s="51" t="n"/>
      <c r="AU70" s="51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Scripted</t>
        </is>
      </c>
      <c r="I71" s="10" t="n">
        <v>48</v>
      </c>
      <c r="J71" s="10" t="inlineStr">
        <is>
          <t>Strong</t>
        </is>
      </c>
      <c r="K71" s="10" t="inlineStr">
        <is>
          <t>social-loafing</t>
        </is>
      </c>
      <c r="L71" s="11" t="n"/>
      <c r="M71" s="5">
        <f>IF(L71="","",TEXT(L71,"ddd"))</f>
        <v/>
      </c>
      <c r="N71" s="10" t="inlineStr">
        <is>
          <t>question</t>
        </is>
      </c>
      <c r="O71" s="10" t="n"/>
      <c r="P71" s="10" t="n"/>
      <c r="Q71" s="10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inlineStr">
        <is>
          <t>Story Short (2026-10-17). Held from posting until 2026-11-01.</t>
        </is>
      </c>
      <c r="AO71" s="10" t="inlineStr">
        <is>
          <t>blueprint</t>
        </is>
      </c>
      <c r="AP71" s="51" t="inlineStr">
        <is>
          <t>story</t>
        </is>
      </c>
      <c r="AQ71" s="51" t="inlineStr">
        <is>
          <t>Warm risograph print: grainy blue and fluorescent pink overprint, slightly misregistered; a tug-of-war rope and bouncy little figures.</t>
        </is>
      </c>
      <c r="AR71" s="51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51" t="inlineStr">
        <is>
          <t>Riso blue #0078BF, fluorescent pink #FF48B0, paper #F4EEE2; Rubik headlines and captions</t>
        </is>
      </c>
      <c r="AT71" s="51" t="inlineStr">
        <is>
          <t>A crowd of small figures; the One More protagonist as the one who notices</t>
        </is>
      </c>
      <c r="AU71" s="51" t="inlineStr">
        <is>
          <t>A whoosh per person who joins, airy fades as effort drops, three wooden taps at the end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  <c r="AP72" s="51" t="n"/>
      <c r="AQ72" s="51" t="n"/>
      <c r="AR72" s="51" t="n"/>
      <c r="AS72" s="51" t="n"/>
      <c r="AT72" s="51" t="n"/>
      <c r="AU72" s="51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  <c r="AP73" s="51" t="n"/>
      <c r="AQ73" s="51" t="n"/>
      <c r="AR73" s="51" t="n"/>
      <c r="AS73" s="51" t="n"/>
      <c r="AT73" s="51" t="n"/>
      <c r="AU73" s="51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  <c r="AP74" s="51" t="n"/>
      <c r="AQ74" s="51" t="n"/>
      <c r="AR74" s="51" t="n"/>
      <c r="AS74" s="51" t="n"/>
      <c r="AT74" s="51" t="n"/>
      <c r="AU74" s="51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  <c r="AP75" s="51" t="n"/>
      <c r="AQ75" s="51" t="n"/>
      <c r="AR75" s="51" t="n"/>
      <c r="AS75" s="51" t="n"/>
      <c r="AT75" s="51" t="n"/>
      <c r="AU75" s="51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  <c r="AP76" s="51" t="n"/>
      <c r="AQ76" s="51" t="n"/>
      <c r="AR76" s="51" t="n"/>
      <c r="AS76" s="51" t="n"/>
      <c r="AT76" s="51" t="n"/>
      <c r="AU76" s="51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  <c r="AP77" s="51" t="n"/>
      <c r="AQ77" s="51" t="n"/>
      <c r="AR77" s="51" t="n"/>
      <c r="AS77" s="51" t="n"/>
      <c r="AT77" s="51" t="n"/>
      <c r="AU77" s="51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Scheduled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>
        <v>46313</v>
      </c>
      <c r="M78" s="5">
        <f>IF(L78="","",TEXT(L78,"ddd"))</f>
        <v/>
      </c>
      <c r="N78" s="10" t="n"/>
      <c r="O78" s="10" t="n">
        <v>44</v>
      </c>
      <c r="P78" s="10" t="inlineStr">
        <is>
          <t>Why Success Can Still Feel Like You're Faking It #shorts</t>
        </is>
      </c>
      <c r="Q78" s="10" t="inlineStr">
        <is>
          <t>Clance &amp; Imes 1978, Psychotherapy 15(3):241-247 (150+ high-achieving women); Bravata et al. 2020 JGIM review, 62 studies, 9-82%</t>
        </is>
      </c>
      <c r="R78" s="10" t="inlineStr">
        <is>
          <t>buffer:youtube=6ad3c116938409f1d09b2eb1;tiktok=6ad3c117ae173d6e00cc5da0</t>
        </is>
      </c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  <c r="AP78" s="51" t="n"/>
      <c r="AQ78" s="51" t="n"/>
      <c r="AR78" s="51" t="n"/>
      <c r="AS78" s="51" t="n"/>
      <c r="AT78" s="51" t="n"/>
      <c r="AU78" s="51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  <c r="AP79" s="51" t="n"/>
      <c r="AQ79" s="51" t="n"/>
      <c r="AR79" s="51" t="n"/>
      <c r="AS79" s="51" t="n"/>
      <c r="AT79" s="51" t="n"/>
      <c r="AU79" s="51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  <c r="AP80" s="51" t="n"/>
      <c r="AQ80" s="51" t="n"/>
      <c r="AR80" s="51" t="n"/>
      <c r="AS80" s="51" t="n"/>
      <c r="AT80" s="51" t="n"/>
      <c r="AU80" s="51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  <c r="AP81" s="51" t="n"/>
      <c r="AQ81" s="51" t="n"/>
      <c r="AR81" s="51" t="n"/>
      <c r="AS81" s="51" t="n"/>
      <c r="AT81" s="51" t="n"/>
      <c r="AU81" s="51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  <c r="AP82" s="51" t="n"/>
      <c r="AQ82" s="51" t="n"/>
      <c r="AR82" s="51" t="n"/>
      <c r="AS82" s="51" t="n"/>
      <c r="AT82" s="51" t="n"/>
      <c r="AU82" s="51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  <c r="AP83" s="51" t="n"/>
      <c r="AQ83" s="51" t="n"/>
      <c r="AR83" s="51" t="n"/>
      <c r="AS83" s="51" t="n"/>
      <c r="AT83" s="51" t="n"/>
      <c r="AU83" s="51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  <c r="AP84" s="51" t="n"/>
      <c r="AQ84" s="51" t="n"/>
      <c r="AR84" s="51" t="n"/>
      <c r="AS84" s="51" t="n"/>
      <c r="AT84" s="51" t="n"/>
      <c r="AU84" s="51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  <c r="AP85" s="51" t="n"/>
      <c r="AQ85" s="51" t="n"/>
      <c r="AR85" s="51" t="n"/>
      <c r="AS85" s="51" t="n"/>
      <c r="AT85" s="51" t="n"/>
      <c r="AU85" s="51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  <c r="AP86" s="51" t="n"/>
      <c r="AQ86" s="51" t="n"/>
      <c r="AR86" s="51" t="n"/>
      <c r="AS86" s="51" t="n"/>
      <c r="AT86" s="51" t="n"/>
      <c r="AU86" s="51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  <c r="AP87" s="51" t="n"/>
      <c r="AQ87" s="51" t="n"/>
      <c r="AR87" s="51" t="n"/>
      <c r="AS87" s="51" t="n"/>
      <c r="AT87" s="51" t="n"/>
      <c r="AU87" s="51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  <c r="AP88" s="51" t="n"/>
      <c r="AQ88" s="51" t="n"/>
      <c r="AR88" s="51" t="n"/>
      <c r="AS88" s="51" t="n"/>
      <c r="AT88" s="51" t="n"/>
      <c r="AU88" s="51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Scheduled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>
        <v>46314</v>
      </c>
      <c r="M89" s="5">
        <f>IF(L89="","",TEXT(L89,"ddd"))</f>
        <v/>
      </c>
      <c r="N89" s="10" t="n"/>
      <c r="O89" s="10" t="n">
        <v>36</v>
      </c>
      <c r="P89" s="10" t="inlineStr">
        <is>
          <t>Why Everyone Else's Life Looks Better Online #shorts</t>
        </is>
      </c>
      <c r="Q89" s="10" t="inlineStr">
        <is>
          <t>Jordan et al. 2011, PSPB 37(1):120-135; peers' negative emotions underestimated, positive overestimated; linked to loneliness, lower life satisfaction</t>
        </is>
      </c>
      <c r="R89" s="10" t="inlineStr">
        <is>
          <t>buffer:youtube=6ad51440769b457934d63ba1;tiktok=6ad51440938409f1d0e23dff;instagram=6ad5279cae173d6e0017d609</t>
        </is>
      </c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  <c r="AP89" s="51" t="n"/>
      <c r="AQ89" s="51" t="n"/>
      <c r="AR89" s="51" t="n"/>
      <c r="AS89" s="51" t="n"/>
      <c r="AT89" s="51" t="n"/>
      <c r="AU89" s="51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  <c r="AP90" s="51" t="n"/>
      <c r="AQ90" s="51" t="n"/>
      <c r="AR90" s="51" t="n"/>
      <c r="AS90" s="51" t="n"/>
      <c r="AT90" s="51" t="n"/>
      <c r="AU90" s="51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  <c r="AP91" s="51" t="n"/>
      <c r="AQ91" s="51" t="n"/>
      <c r="AR91" s="51" t="n"/>
      <c r="AS91" s="51" t="n"/>
      <c r="AT91" s="51" t="n"/>
      <c r="AU91" s="51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  <c r="AP92" s="51" t="n"/>
      <c r="AQ92" s="51" t="n"/>
      <c r="AR92" s="51" t="n"/>
      <c r="AS92" s="51" t="n"/>
      <c r="AT92" s="51" t="n"/>
      <c r="AU92" s="51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  <c r="AP93" s="51" t="n"/>
      <c r="AQ93" s="51" t="n"/>
      <c r="AR93" s="51" t="n"/>
      <c r="AS93" s="51" t="n"/>
      <c r="AT93" s="51" t="n"/>
      <c r="AU93" s="51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  <c r="AP94" s="51" t="n"/>
      <c r="AQ94" s="51" t="n"/>
      <c r="AR94" s="51" t="n"/>
      <c r="AS94" s="51" t="n"/>
      <c r="AT94" s="51" t="n"/>
      <c r="AU94" s="51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  <c r="AP95" s="51" t="n"/>
      <c r="AQ95" s="51" t="n"/>
      <c r="AR95" s="51" t="n"/>
      <c r="AS95" s="51" t="n"/>
      <c r="AT95" s="51" t="n"/>
      <c r="AU95" s="51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  <c r="AP96" s="51" t="n"/>
      <c r="AQ96" s="51" t="n"/>
      <c r="AR96" s="51" t="n"/>
      <c r="AS96" s="51" t="n"/>
      <c r="AT96" s="51" t="n"/>
      <c r="AU96" s="51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  <c r="AP97" s="51" t="n"/>
      <c r="AQ97" s="51" t="n"/>
      <c r="AR97" s="51" t="n"/>
      <c r="AS97" s="51" t="n"/>
      <c r="AT97" s="51" t="n"/>
      <c r="AU97" s="51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Scheduled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>
        <v>46314</v>
      </c>
      <c r="M98" s="5">
        <f>IF(L98="","",TEXT(L98,"ddd"))</f>
        <v/>
      </c>
      <c r="N98" s="10" t="n"/>
      <c r="O98" s="10" t="n">
        <v>37</v>
      </c>
      <c r="P98" s="10" t="inlineStr">
        <is>
          <t>Do You Really Use Only 10% of Your Brain? #shorts</t>
        </is>
      </c>
      <c r="Q98" s="10" t="inlineStr">
        <is>
          <t>Beyerstein 1999, in Mind Myths (Della Sala ed.); imaging shows activity across all regions; brain ~2% body weight, ~20% energy</t>
        </is>
      </c>
      <c r="R98" s="10" t="inlineStr">
        <is>
          <t>buffer:youtube=6ad51441769b457934d63c00;tiktok=6ad514430a208cb32379c33b;instagram=6ad5279c938409f1d0e61830</t>
        </is>
      </c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  <c r="AP98" s="51" t="n"/>
      <c r="AQ98" s="51" t="n"/>
      <c r="AR98" s="51" t="n"/>
      <c r="AS98" s="51" t="n"/>
      <c r="AT98" s="51" t="n"/>
      <c r="AU98" s="51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  <c r="AP99" s="51" t="n"/>
      <c r="AQ99" s="51" t="n"/>
      <c r="AR99" s="51" t="n"/>
      <c r="AS99" s="51" t="n"/>
      <c r="AT99" s="51" t="n"/>
      <c r="AU99" s="51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  <c r="AP100" s="51" t="n"/>
      <c r="AQ100" s="51" t="n"/>
      <c r="AR100" s="51" t="n"/>
      <c r="AS100" s="51" t="n"/>
      <c r="AT100" s="51" t="n"/>
      <c r="AU100" s="51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  <c r="AP101" s="51" t="n"/>
      <c r="AQ101" s="51" t="n"/>
      <c r="AR101" s="51" t="n"/>
      <c r="AS101" s="51" t="n"/>
      <c r="AT101" s="51" t="n"/>
      <c r="AU101" s="51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  <c r="AP102" s="51" t="n"/>
      <c r="AQ102" s="51" t="n"/>
      <c r="AR102" s="51" t="n"/>
      <c r="AS102" s="51" t="n"/>
      <c r="AT102" s="51" t="n"/>
      <c r="AU102" s="51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  <c r="AP103" s="51" t="n"/>
      <c r="AQ103" s="51" t="n"/>
      <c r="AR103" s="51" t="n"/>
      <c r="AS103" s="51" t="n"/>
      <c r="AT103" s="51" t="n"/>
      <c r="AU103" s="51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  <c r="AP104" s="51" t="n"/>
      <c r="AQ104" s="51" t="n"/>
      <c r="AR104" s="51" t="n"/>
      <c r="AS104" s="51" t="n"/>
      <c r="AT104" s="51" t="n"/>
      <c r="AU104" s="51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  <c r="AP105" s="51" t="n"/>
      <c r="AQ105" s="51" t="n"/>
      <c r="AR105" s="51" t="n"/>
      <c r="AS105" s="51" t="n"/>
      <c r="AT105" s="51" t="n"/>
      <c r="AU105" s="51" t="n"/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  <c r="AP106" s="51" t="n"/>
      <c r="AQ106" s="51" t="n"/>
      <c r="AR106" s="51" t="n"/>
      <c r="AS106" s="51" t="n"/>
      <c r="AT106" s="51" t="n"/>
      <c r="AU106" s="51" t="n"/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Scheduled</t>
        </is>
      </c>
      <c r="I107" s="10" t="n">
        <v>17</v>
      </c>
      <c r="J107" s="10" t="n"/>
      <c r="K107" s="10" t="inlineStr">
        <is>
          <t>one-more</t>
        </is>
      </c>
      <c r="L107" s="11" t="n">
        <v>46311</v>
      </c>
      <c r="M107" s="5">
        <f>IF(L107="","",TEXT(L107,"ddd"))</f>
        <v/>
      </c>
      <c r="N107" s="10" t="n"/>
      <c r="O107" s="10" t="n">
        <v>58</v>
      </c>
      <c r="P107" s="10" t="inlineStr">
        <is>
          <t>Why One More Scroll Never Feels Like Enough #shorts</t>
        </is>
      </c>
      <c r="Q107" s="10" t="n"/>
      <c r="R107" s="10" t="inlineStr">
        <is>
          <t>buffer:youtube=6ad1a654a82f34dbe1464882;tiktok=6ad1a654fb64fffcf1b41af2</t>
        </is>
      </c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  <c r="AP107" s="51" t="n"/>
      <c r="AQ107" s="51" t="n"/>
      <c r="AR107" s="51" t="n"/>
      <c r="AS107" s="51" t="n"/>
      <c r="AT107" s="51" t="n"/>
      <c r="AU107" s="51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4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  <dataValidation sqref="AP6:AP107" showDropDown="0" showInputMessage="0" showErrorMessage="0" allowBlank="1" type="list">
      <formula1>"ted2,story"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2026-10-18T20:10:06Z</dcterms:modified>
</cp:coreProperties>
</file>