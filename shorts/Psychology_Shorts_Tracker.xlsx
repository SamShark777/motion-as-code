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horts ideas" sheetId="1" state="visible" r:id="rId1"/>
    <sheet name="3-Act Scripts" sheetId="2" state="visible" r:id="rId2"/>
    <sheet name="Long form" sheetId="3" state="visible" r:id="rId3"/>
    <sheet name="Looks" sheetId="4" state="visible" r:id="rId4"/>
    <sheet name="Summary" sheetId="5" state="visible" r:id="rId5"/>
  </sheets>
  <definedNames>
    <definedName name="_xlnm._FilterDatabase" localSheetId="1" hidden="1">'3-Act Scripts'!$A$4:$J$718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0.0%"/>
  </numFmts>
  <fonts count="16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111111"/>
      <sz val="16"/>
    </font>
    <font>
      <name val="Arial"/>
      <charset val="1"/>
      <family val="0"/>
      <color rgb="FF111111"/>
      <sz val="11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555555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FF"/>
      <sz val="11"/>
    </font>
    <font>
      <name val="Arial"/>
      <charset val="1"/>
      <family val="0"/>
      <b val="1"/>
      <sz val="14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555555"/>
      <sz val="10"/>
    </font>
    <font>
      <name val="Arial"/>
      <charset val="1"/>
      <family val="0"/>
      <sz val="11"/>
    </font>
  </fonts>
  <fills count="36">
    <fill>
      <patternFill/>
    </fill>
    <fill>
      <patternFill patternType="gray125"/>
    </fill>
    <fill>
      <patternFill patternType="solid">
        <fgColor rgb="FF303030"/>
        <bgColor rgb="FF1F2937"/>
      </patternFill>
    </fill>
    <fill>
      <patternFill patternType="solid">
        <fgColor rgb="FF1F2937"/>
        <bgColor rgb="FF303030"/>
      </patternFill>
    </fill>
    <fill>
      <patternFill patternType="solid">
        <fgColor rgb="FFFFFFFF"/>
        <bgColor rgb="FFF7F7F4"/>
      </patternFill>
    </fill>
    <fill>
      <patternFill patternType="solid">
        <fgColor rgb="FFF3F4F6"/>
        <bgColor rgb="FFF7F7F4"/>
      </patternFill>
    </fill>
    <fill>
      <patternFill patternType="solid">
        <fgColor rgb="FF0A0A0B"/>
        <bgColor rgb="FF0B0906"/>
      </patternFill>
    </fill>
    <fill>
      <patternFill patternType="solid">
        <fgColor rgb="FFFF4D12"/>
        <bgColor rgb="FFE4572E"/>
      </patternFill>
    </fill>
    <fill>
      <patternFill patternType="solid">
        <fgColor rgb="FFF7F7F4"/>
        <bgColor rgb="FFF3F4F6"/>
      </patternFill>
    </fill>
    <fill>
      <patternFill patternType="solid">
        <fgColor rgb="FF2A5CB3"/>
        <bgColor rgb="FF555555"/>
      </patternFill>
    </fill>
    <fill>
      <patternFill patternType="solid">
        <fgColor rgb="FFF5F1E8"/>
        <bgColor rgb="FFF6F2EA"/>
      </patternFill>
    </fill>
    <fill>
      <patternFill patternType="solid">
        <fgColor rgb="FFB2182B"/>
        <bgColor rgb="FFC8363A"/>
      </patternFill>
    </fill>
    <fill>
      <patternFill patternType="solid">
        <fgColor rgb="FFEAE9E5"/>
        <bgColor rgb="FFF4EEE2"/>
      </patternFill>
    </fill>
    <fill>
      <patternFill patternType="solid">
        <fgColor rgb="FFE30613"/>
        <bgColor rgb="FFB2182B"/>
      </patternFill>
    </fill>
    <fill>
      <patternFill patternType="solid">
        <fgColor rgb="FFF1E7D0"/>
        <bgColor rgb="FFEAE9E5"/>
      </patternFill>
    </fill>
    <fill>
      <patternFill patternType="solid">
        <fgColor rgb="FFE8417F"/>
        <bgColor rgb="FFFF48B0"/>
      </patternFill>
    </fill>
    <fill>
      <patternFill patternType="solid">
        <fgColor rgb="FFF4EEE2"/>
        <bgColor rgb="FFF5F1E8"/>
      </patternFill>
    </fill>
    <fill>
      <patternFill patternType="solid">
        <fgColor rgb="FFFF48B0"/>
        <bgColor rgb="FFE8417F"/>
      </patternFill>
    </fill>
    <fill>
      <patternFill patternType="solid">
        <fgColor rgb="FF18336B"/>
        <bgColor rgb="FF1F2937"/>
      </patternFill>
    </fill>
    <fill>
      <patternFill patternType="solid">
        <fgColor rgb="FFD6453A"/>
        <bgColor rgb="FFC8363A"/>
      </patternFill>
    </fill>
    <fill>
      <patternFill patternType="solid">
        <fgColor rgb="FF0B0906"/>
        <bgColor rgb="FF0A0A0B"/>
      </patternFill>
    </fill>
    <fill>
      <patternFill patternType="solid">
        <fgColor rgb="FFFFB000"/>
        <bgColor rgb="FFE2A52A"/>
      </patternFill>
    </fill>
    <fill>
      <patternFill patternType="solid">
        <fgColor rgb="FF0B0C10"/>
        <bgColor rgb="FF0A0A0B"/>
      </patternFill>
    </fill>
    <fill>
      <patternFill patternType="solid">
        <fgColor rgb="FFB7F34A"/>
        <bgColor rgb="FFFFD447"/>
      </patternFill>
    </fill>
    <fill>
      <patternFill patternType="solid">
        <fgColor rgb="FF6A4BD8"/>
        <bgColor rgb="FF2A5CB3"/>
      </patternFill>
    </fill>
    <fill>
      <patternFill patternType="solid">
        <fgColor rgb="FFFFD23F"/>
        <bgColor rgb="FFFFD447"/>
      </patternFill>
    </fill>
    <fill>
      <patternFill patternType="solid">
        <fgColor rgb="FFF2C14E"/>
        <bgColor rgb="FFFFD23F"/>
      </patternFill>
    </fill>
    <fill>
      <patternFill patternType="solid">
        <fgColor rgb="FFE4572E"/>
        <bgColor rgb="FFD6453A"/>
      </patternFill>
    </fill>
    <fill>
      <patternFill patternType="solid">
        <fgColor rgb="FF1B1714"/>
        <bgColor rgb="FF111111"/>
      </patternFill>
    </fill>
    <fill>
      <patternFill patternType="solid">
        <fgColor rgb="FFE2A52A"/>
        <bgColor rgb="FFFFB000"/>
      </patternFill>
    </fill>
    <fill>
      <patternFill patternType="solid">
        <fgColor rgb="FFFBF5E6"/>
        <bgColor rgb="FFF6F2EA"/>
      </patternFill>
    </fill>
    <fill>
      <patternFill patternType="solid">
        <fgColor rgb="FFE2725B"/>
        <bgColor rgb="FFE4572E"/>
      </patternFill>
    </fill>
    <fill>
      <patternFill patternType="solid">
        <fgColor rgb="FF2B1D4F"/>
        <bgColor rgb="FF1F2937"/>
      </patternFill>
    </fill>
    <fill>
      <patternFill patternType="solid">
        <fgColor rgb="FFFFD447"/>
        <bgColor rgb="FFFFD23F"/>
      </patternFill>
    </fill>
    <fill>
      <patternFill patternType="solid">
        <fgColor rgb="FFF6F2EA"/>
        <bgColor rgb="FFF5F1E8"/>
      </patternFill>
    </fill>
    <fill>
      <patternFill patternType="solid">
        <fgColor rgb="FFC8363A"/>
        <bgColor rgb="FFD6453A"/>
      </patternFill>
    </fill>
  </fills>
  <borders count="2">
    <border>
      <left/>
      <right/>
      <top/>
      <bottom/>
      <diagonal/>
    </border>
    <border>
      <left/>
      <right/>
      <top/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31"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bottom"/>
    </xf>
    <xf numFmtId="0" fontId="8" fillId="0" borderId="0" applyAlignment="1" pivotButton="0" quotePrefix="0" xfId="20">
      <alignment horizontal="general" vertical="bottom"/>
    </xf>
    <xf numFmtId="0" fontId="9" fillId="2" borderId="0" applyAlignment="1" pivotButton="0" quotePrefix="0" xfId="20">
      <alignment horizontal="center" vertical="center" wrapText="1"/>
    </xf>
    <xf numFmtId="0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center" wrapText="1"/>
    </xf>
    <xf numFmtId="164" fontId="10" fillId="0" borderId="0" applyAlignment="1" pivotButton="0" quotePrefix="0" xfId="20">
      <alignment horizontal="general" vertical="center" wrapText="1"/>
    </xf>
    <xf numFmtId="3" fontId="10" fillId="0" borderId="0" applyAlignment="1" pivotButton="0" quotePrefix="0" xfId="20">
      <alignment horizontal="general" vertical="center" wrapText="1"/>
    </xf>
    <xf numFmtId="165" fontId="6" fillId="0" borderId="0" applyAlignment="1" pivotButton="0" quotePrefix="0" xfId="20">
      <alignment horizontal="general" vertical="center" wrapText="1"/>
    </xf>
    <xf numFmtId="3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top" wrapText="1"/>
    </xf>
    <xf numFmtId="0" fontId="11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top" wrapText="1"/>
    </xf>
    <xf numFmtId="0" fontId="9" fillId="3" borderId="0" applyAlignment="1" pivotButton="0" quotePrefix="0" xfId="20">
      <alignment horizontal="general" vertical="center" wrapText="1"/>
    </xf>
    <xf numFmtId="0" fontId="12" fillId="4" borderId="0" applyAlignment="1" pivotButton="0" quotePrefix="0" xfId="20">
      <alignment horizontal="general" vertical="top"/>
    </xf>
    <xf numFmtId="0" fontId="12" fillId="4" borderId="0" applyAlignment="1" pivotButton="0" quotePrefix="0" xfId="20">
      <alignment horizontal="general" vertical="top" wrapText="1"/>
    </xf>
    <xf numFmtId="0" fontId="13" fillId="4" borderId="0" applyAlignment="1" pivotButton="0" quotePrefix="0" xfId="20">
      <alignment horizontal="general" vertical="top" wrapText="1"/>
    </xf>
    <xf numFmtId="0" fontId="12" fillId="4" borderId="1" applyAlignment="1" pivotButton="0" quotePrefix="0" xfId="20">
      <alignment horizontal="general" vertical="top"/>
    </xf>
    <xf numFmtId="0" fontId="12" fillId="4" borderId="1" applyAlignment="1" pivotButton="0" quotePrefix="0" xfId="20">
      <alignment horizontal="general" vertical="top" wrapText="1"/>
    </xf>
    <xf numFmtId="0" fontId="12" fillId="5" borderId="0" applyAlignment="1" pivotButton="0" quotePrefix="0" xfId="20">
      <alignment horizontal="general" vertical="top"/>
    </xf>
    <xf numFmtId="0" fontId="12" fillId="5" borderId="0" applyAlignment="1" pivotButton="0" quotePrefix="0" xfId="20">
      <alignment horizontal="general" vertical="top" wrapText="1"/>
    </xf>
    <xf numFmtId="0" fontId="13" fillId="5" borderId="0" applyAlignment="1" pivotButton="0" quotePrefix="0" xfId="20">
      <alignment horizontal="general" vertical="top" wrapText="1"/>
    </xf>
    <xf numFmtId="0" fontId="12" fillId="5" borderId="1" applyAlignment="1" pivotButton="0" quotePrefix="0" xfId="20">
      <alignment horizontal="general" vertical="top"/>
    </xf>
    <xf numFmtId="0" fontId="12" fillId="5" borderId="1" applyAlignment="1" pivotButton="0" quotePrefix="0" xfId="20">
      <alignment horizontal="general" vertical="top" wrapText="1"/>
    </xf>
    <xf numFmtId="0" fontId="14" fillId="0" borderId="0" applyAlignment="1" pivotButton="0" quotePrefix="0" xfId="20">
      <alignment horizontal="general" vertical="bottom"/>
    </xf>
    <xf numFmtId="0" fontId="15" fillId="0" borderId="0" applyAlignment="1" pivotButton="0" quotePrefix="0" xfId="20">
      <alignment horizontal="general" vertical="bottom"/>
    </xf>
    <xf numFmtId="165" fontId="4" fillId="0" borderId="0" applyAlignment="1" pivotButton="0" quotePrefix="0" xfId="20">
      <alignment horizontal="general" vertical="bottom"/>
    </xf>
    <xf numFmtId="0" fontId="4" fillId="6" borderId="0" applyAlignment="1" pivotButton="0" quotePrefix="0" xfId="20">
      <alignment horizontal="general" vertical="bottom"/>
    </xf>
    <xf numFmtId="0" fontId="4" fillId="7" borderId="0" applyAlignment="1" pivotButton="0" quotePrefix="0" xfId="20">
      <alignment horizontal="general" vertical="bottom"/>
    </xf>
    <xf numFmtId="0" fontId="4" fillId="8" borderId="0" applyAlignment="1" pivotButton="0" quotePrefix="0" xfId="20">
      <alignment horizontal="general" vertical="bottom"/>
    </xf>
    <xf numFmtId="0" fontId="4" fillId="9" borderId="0" applyAlignment="1" pivotButton="0" quotePrefix="0" xfId="20">
      <alignment horizontal="general" vertical="bottom"/>
    </xf>
    <xf numFmtId="0" fontId="4" fillId="10" borderId="0" applyAlignment="1" pivotButton="0" quotePrefix="0" xfId="20">
      <alignment horizontal="general" vertical="bottom"/>
    </xf>
    <xf numFmtId="0" fontId="4" fillId="11" borderId="0" applyAlignment="1" pivotButton="0" quotePrefix="0" xfId="20">
      <alignment horizontal="general" vertical="bottom"/>
    </xf>
    <xf numFmtId="0" fontId="4" fillId="12" borderId="0" applyAlignment="1" pivotButton="0" quotePrefix="0" xfId="20">
      <alignment horizontal="general" vertical="bottom"/>
    </xf>
    <xf numFmtId="0" fontId="4" fillId="13" borderId="0" applyAlignment="1" pivotButton="0" quotePrefix="0" xfId="20">
      <alignment horizontal="general" vertical="bottom"/>
    </xf>
    <xf numFmtId="0" fontId="4" fillId="14" borderId="0" applyAlignment="1" pivotButton="0" quotePrefix="0" xfId="20">
      <alignment horizontal="general" vertical="bottom"/>
    </xf>
    <xf numFmtId="0" fontId="4" fillId="15" borderId="0" applyAlignment="1" pivotButton="0" quotePrefix="0" xfId="20">
      <alignment horizontal="general" vertical="bottom"/>
    </xf>
    <xf numFmtId="0" fontId="4" fillId="16" borderId="0" applyAlignment="1" pivotButton="0" quotePrefix="0" xfId="20">
      <alignment horizontal="general" vertical="bottom"/>
    </xf>
    <xf numFmtId="0" fontId="4" fillId="17" borderId="0" applyAlignment="1" pivotButton="0" quotePrefix="0" xfId="20">
      <alignment horizontal="general" vertical="bottom"/>
    </xf>
    <xf numFmtId="0" fontId="4" fillId="18" borderId="0" applyAlignment="1" pivotButton="0" quotePrefix="0" xfId="20">
      <alignment horizontal="general" vertical="bottom"/>
    </xf>
    <xf numFmtId="0" fontId="4" fillId="19" borderId="0" applyAlignment="1" pivotButton="0" quotePrefix="0" xfId="20">
      <alignment horizontal="general" vertical="bottom"/>
    </xf>
    <xf numFmtId="0" fontId="4" fillId="20" borderId="0" applyAlignment="1" pivotButton="0" quotePrefix="0" xfId="20">
      <alignment horizontal="general" vertical="bottom"/>
    </xf>
    <xf numFmtId="0" fontId="4" fillId="21" borderId="0" applyAlignment="1" pivotButton="0" quotePrefix="0" xfId="20">
      <alignment horizontal="general" vertical="bottom"/>
    </xf>
    <xf numFmtId="0" fontId="4" fillId="22" borderId="0" applyAlignment="1" pivotButton="0" quotePrefix="0" xfId="20">
      <alignment horizontal="general" vertical="bottom"/>
    </xf>
    <xf numFmtId="0" fontId="4" fillId="23" borderId="0" applyAlignment="1" pivotButton="0" quotePrefix="0" xfId="20">
      <alignment horizontal="general" vertical="bottom"/>
    </xf>
    <xf numFmtId="0" fontId="4" fillId="24" borderId="0" applyAlignment="1" pivotButton="0" quotePrefix="0" xfId="20">
      <alignment horizontal="general" vertical="bottom"/>
    </xf>
    <xf numFmtId="0" fontId="4" fillId="25" borderId="0" applyAlignment="1" pivotButton="0" quotePrefix="0" xfId="20">
      <alignment horizontal="general" vertical="bottom"/>
    </xf>
    <xf numFmtId="0" fontId="4" fillId="26" borderId="0" applyAlignment="1" pivotButton="0" quotePrefix="0" xfId="20">
      <alignment horizontal="general" vertical="bottom"/>
    </xf>
    <xf numFmtId="0" fontId="4" fillId="27" borderId="0" applyAlignment="1" pivotButton="0" quotePrefix="0" xfId="20">
      <alignment horizontal="general" vertical="bottom"/>
    </xf>
    <xf numFmtId="0" fontId="4" fillId="28" borderId="0" applyAlignment="1" pivotButton="0" quotePrefix="0" xfId="20">
      <alignment horizontal="general" vertical="bottom"/>
    </xf>
    <xf numFmtId="0" fontId="4" fillId="29" borderId="0" applyAlignment="1" pivotButton="0" quotePrefix="0" xfId="20">
      <alignment horizontal="general" vertical="bottom"/>
    </xf>
    <xf numFmtId="0" fontId="4" fillId="30" borderId="0" applyAlignment="1" pivotButton="0" quotePrefix="0" xfId="20">
      <alignment horizontal="general" vertical="bottom"/>
    </xf>
    <xf numFmtId="0" fontId="4" fillId="31" borderId="0" applyAlignment="1" pivotButton="0" quotePrefix="0" xfId="20">
      <alignment horizontal="general" vertical="bottom"/>
    </xf>
    <xf numFmtId="0" fontId="4" fillId="32" borderId="0" applyAlignment="1" pivotButton="0" quotePrefix="0" xfId="20">
      <alignment horizontal="general" vertical="bottom"/>
    </xf>
    <xf numFmtId="0" fontId="4" fillId="33" borderId="0" applyAlignment="1" pivotButton="0" quotePrefix="0" xfId="20">
      <alignment horizontal="general" vertical="bottom"/>
    </xf>
    <xf numFmtId="0" fontId="4" fillId="34" borderId="0" applyAlignment="1" pivotButton="0" quotePrefix="0" xfId="20">
      <alignment horizontal="general" vertical="bottom"/>
    </xf>
    <xf numFmtId="0" fontId="4" fillId="35" borderId="0" applyAlignment="1" pivotButton="0" quotePrefix="0" xfId="20">
      <alignment horizontal="general" vertical="bottom"/>
    </xf>
    <xf numFmtId="3" fontId="15" fillId="0" borderId="0" applyAlignment="1" pivotButton="0" quotePrefix="0" xfId="20">
      <alignment horizontal="general" vertical="bottom"/>
    </xf>
    <xf numFmtId="165" fontId="15" fillId="0" borderId="0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bottom"/>
    </xf>
    <xf numFmtId="0" fontId="8" fillId="0" borderId="0" applyAlignment="1" pivotButton="0" quotePrefix="0" xfId="20">
      <alignment horizontal="general" vertical="bottom"/>
    </xf>
    <xf numFmtId="0" fontId="9" fillId="2" borderId="0" applyAlignment="1" pivotButton="0" quotePrefix="0" xfId="20">
      <alignment horizontal="center" vertical="center" wrapText="1"/>
    </xf>
    <xf numFmtId="0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center" wrapText="1"/>
    </xf>
    <xf numFmtId="164" fontId="10" fillId="0" borderId="0" applyAlignment="1" pivotButton="0" quotePrefix="0" xfId="20">
      <alignment horizontal="general" vertical="center" wrapText="1"/>
    </xf>
    <xf numFmtId="3" fontId="10" fillId="0" borderId="0" applyAlignment="1" pivotButton="0" quotePrefix="0" xfId="20">
      <alignment horizontal="general" vertical="center" wrapText="1"/>
    </xf>
    <xf numFmtId="165" fontId="6" fillId="0" borderId="0" applyAlignment="1" pivotButton="0" quotePrefix="0" xfId="20">
      <alignment horizontal="general" vertical="center" wrapText="1"/>
    </xf>
    <xf numFmtId="3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top" wrapText="1"/>
    </xf>
    <xf numFmtId="0" fontId="11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top" wrapText="1"/>
    </xf>
    <xf numFmtId="0" fontId="9" fillId="3" borderId="0" applyAlignment="1" pivotButton="0" quotePrefix="0" xfId="20">
      <alignment horizontal="general" vertical="center" wrapText="1"/>
    </xf>
    <xf numFmtId="0" fontId="12" fillId="4" borderId="0" applyAlignment="1" pivotButton="0" quotePrefix="0" xfId="20">
      <alignment horizontal="general" vertical="top"/>
    </xf>
    <xf numFmtId="0" fontId="12" fillId="4" borderId="0" applyAlignment="1" pivotButton="0" quotePrefix="0" xfId="20">
      <alignment horizontal="general" vertical="top" wrapText="1"/>
    </xf>
    <xf numFmtId="0" fontId="13" fillId="4" borderId="0" applyAlignment="1" pivotButton="0" quotePrefix="0" xfId="20">
      <alignment horizontal="general" vertical="top" wrapText="1"/>
    </xf>
    <xf numFmtId="0" fontId="12" fillId="4" borderId="1" applyAlignment="1" pivotButton="0" quotePrefix="0" xfId="20">
      <alignment horizontal="general" vertical="top"/>
    </xf>
    <xf numFmtId="0" fontId="12" fillId="4" borderId="1" applyAlignment="1" pivotButton="0" quotePrefix="0" xfId="20">
      <alignment horizontal="general" vertical="top" wrapText="1"/>
    </xf>
    <xf numFmtId="0" fontId="12" fillId="5" borderId="0" applyAlignment="1" pivotButton="0" quotePrefix="0" xfId="20">
      <alignment horizontal="general" vertical="top"/>
    </xf>
    <xf numFmtId="0" fontId="12" fillId="5" borderId="0" applyAlignment="1" pivotButton="0" quotePrefix="0" xfId="20">
      <alignment horizontal="general" vertical="top" wrapText="1"/>
    </xf>
    <xf numFmtId="0" fontId="13" fillId="5" borderId="0" applyAlignment="1" pivotButton="0" quotePrefix="0" xfId="20">
      <alignment horizontal="general" vertical="top" wrapText="1"/>
    </xf>
    <xf numFmtId="0" fontId="12" fillId="5" borderId="1" applyAlignment="1" pivotButton="0" quotePrefix="0" xfId="20">
      <alignment horizontal="general" vertical="top"/>
    </xf>
    <xf numFmtId="0" fontId="12" fillId="5" borderId="1" applyAlignment="1" pivotButton="0" quotePrefix="0" xfId="20">
      <alignment horizontal="general" vertical="top" wrapText="1"/>
    </xf>
    <xf numFmtId="0" fontId="14" fillId="0" borderId="0" applyAlignment="1" pivotButton="0" quotePrefix="0" xfId="20">
      <alignment horizontal="general" vertical="bottom"/>
    </xf>
    <xf numFmtId="0" fontId="15" fillId="0" borderId="0" applyAlignment="1" pivotButton="0" quotePrefix="0" xfId="20">
      <alignment horizontal="general" vertical="bottom"/>
    </xf>
    <xf numFmtId="165" fontId="4" fillId="0" borderId="0" applyAlignment="1" pivotButton="0" quotePrefix="0" xfId="20">
      <alignment horizontal="general" vertical="bottom"/>
    </xf>
    <xf numFmtId="0" fontId="4" fillId="6" borderId="0" applyAlignment="1" pivotButton="0" quotePrefix="0" xfId="20">
      <alignment horizontal="general" vertical="bottom"/>
    </xf>
    <xf numFmtId="0" fontId="4" fillId="7" borderId="0" applyAlignment="1" pivotButton="0" quotePrefix="0" xfId="20">
      <alignment horizontal="general" vertical="bottom"/>
    </xf>
    <xf numFmtId="0" fontId="4" fillId="8" borderId="0" applyAlignment="1" pivotButton="0" quotePrefix="0" xfId="20">
      <alignment horizontal="general" vertical="bottom"/>
    </xf>
    <xf numFmtId="0" fontId="4" fillId="9" borderId="0" applyAlignment="1" pivotButton="0" quotePrefix="0" xfId="20">
      <alignment horizontal="general" vertical="bottom"/>
    </xf>
    <xf numFmtId="0" fontId="4" fillId="10" borderId="0" applyAlignment="1" pivotButton="0" quotePrefix="0" xfId="20">
      <alignment horizontal="general" vertical="bottom"/>
    </xf>
    <xf numFmtId="0" fontId="4" fillId="11" borderId="0" applyAlignment="1" pivotButton="0" quotePrefix="0" xfId="20">
      <alignment horizontal="general" vertical="bottom"/>
    </xf>
    <xf numFmtId="0" fontId="4" fillId="12" borderId="0" applyAlignment="1" pivotButton="0" quotePrefix="0" xfId="20">
      <alignment horizontal="general" vertical="bottom"/>
    </xf>
    <xf numFmtId="0" fontId="4" fillId="13" borderId="0" applyAlignment="1" pivotButton="0" quotePrefix="0" xfId="20">
      <alignment horizontal="general" vertical="bottom"/>
    </xf>
    <xf numFmtId="0" fontId="4" fillId="14" borderId="0" applyAlignment="1" pivotButton="0" quotePrefix="0" xfId="20">
      <alignment horizontal="general" vertical="bottom"/>
    </xf>
    <xf numFmtId="0" fontId="4" fillId="15" borderId="0" applyAlignment="1" pivotButton="0" quotePrefix="0" xfId="20">
      <alignment horizontal="general" vertical="bottom"/>
    </xf>
    <xf numFmtId="0" fontId="4" fillId="16" borderId="0" applyAlignment="1" pivotButton="0" quotePrefix="0" xfId="20">
      <alignment horizontal="general" vertical="bottom"/>
    </xf>
    <xf numFmtId="0" fontId="4" fillId="17" borderId="0" applyAlignment="1" pivotButton="0" quotePrefix="0" xfId="20">
      <alignment horizontal="general" vertical="bottom"/>
    </xf>
    <xf numFmtId="0" fontId="4" fillId="18" borderId="0" applyAlignment="1" pivotButton="0" quotePrefix="0" xfId="20">
      <alignment horizontal="general" vertical="bottom"/>
    </xf>
    <xf numFmtId="0" fontId="4" fillId="19" borderId="0" applyAlignment="1" pivotButton="0" quotePrefix="0" xfId="20">
      <alignment horizontal="general" vertical="bottom"/>
    </xf>
    <xf numFmtId="0" fontId="4" fillId="20" borderId="0" applyAlignment="1" pivotButton="0" quotePrefix="0" xfId="20">
      <alignment horizontal="general" vertical="bottom"/>
    </xf>
    <xf numFmtId="0" fontId="4" fillId="21" borderId="0" applyAlignment="1" pivotButton="0" quotePrefix="0" xfId="20">
      <alignment horizontal="general" vertical="bottom"/>
    </xf>
    <xf numFmtId="0" fontId="4" fillId="22" borderId="0" applyAlignment="1" pivotButton="0" quotePrefix="0" xfId="20">
      <alignment horizontal="general" vertical="bottom"/>
    </xf>
    <xf numFmtId="0" fontId="4" fillId="23" borderId="0" applyAlignment="1" pivotButton="0" quotePrefix="0" xfId="20">
      <alignment horizontal="general" vertical="bottom"/>
    </xf>
    <xf numFmtId="0" fontId="4" fillId="24" borderId="0" applyAlignment="1" pivotButton="0" quotePrefix="0" xfId="20">
      <alignment horizontal="general" vertical="bottom"/>
    </xf>
    <xf numFmtId="0" fontId="4" fillId="25" borderId="0" applyAlignment="1" pivotButton="0" quotePrefix="0" xfId="20">
      <alignment horizontal="general" vertical="bottom"/>
    </xf>
    <xf numFmtId="0" fontId="4" fillId="26" borderId="0" applyAlignment="1" pivotButton="0" quotePrefix="0" xfId="20">
      <alignment horizontal="general" vertical="bottom"/>
    </xf>
    <xf numFmtId="0" fontId="4" fillId="27" borderId="0" applyAlignment="1" pivotButton="0" quotePrefix="0" xfId="20">
      <alignment horizontal="general" vertical="bottom"/>
    </xf>
    <xf numFmtId="0" fontId="4" fillId="28" borderId="0" applyAlignment="1" pivotButton="0" quotePrefix="0" xfId="20">
      <alignment horizontal="general" vertical="bottom"/>
    </xf>
    <xf numFmtId="0" fontId="4" fillId="29" borderId="0" applyAlignment="1" pivotButton="0" quotePrefix="0" xfId="20">
      <alignment horizontal="general" vertical="bottom"/>
    </xf>
    <xf numFmtId="0" fontId="4" fillId="30" borderId="0" applyAlignment="1" pivotButton="0" quotePrefix="0" xfId="20">
      <alignment horizontal="general" vertical="bottom"/>
    </xf>
    <xf numFmtId="0" fontId="4" fillId="31" borderId="0" applyAlignment="1" pivotButton="0" quotePrefix="0" xfId="20">
      <alignment horizontal="general" vertical="bottom"/>
    </xf>
    <xf numFmtId="0" fontId="4" fillId="32" borderId="0" applyAlignment="1" pivotButton="0" quotePrefix="0" xfId="20">
      <alignment horizontal="general" vertical="bottom"/>
    </xf>
    <xf numFmtId="0" fontId="4" fillId="33" borderId="0" applyAlignment="1" pivotButton="0" quotePrefix="0" xfId="20">
      <alignment horizontal="general" vertical="bottom"/>
    </xf>
    <xf numFmtId="0" fontId="4" fillId="34" borderId="0" applyAlignment="1" pivotButton="0" quotePrefix="0" xfId="20">
      <alignment horizontal="general" vertical="bottom"/>
    </xf>
    <xf numFmtId="0" fontId="4" fillId="35" borderId="0" applyAlignment="1" pivotButton="0" quotePrefix="0" xfId="20">
      <alignment horizontal="general" vertical="bottom"/>
    </xf>
    <xf numFmtId="3" fontId="15" fillId="0" borderId="0" applyAlignment="1" pivotButton="0" quotePrefix="0" xfId="20">
      <alignment horizontal="general" vertical="bottom"/>
    </xf>
    <xf numFmtId="165" fontId="15" fillId="0" borderId="0" applyAlignment="1" pivotButton="0" quotePrefix="0" xfId="20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center" wrapText="1"/>
    </xf>
    <xf numFmtId="164" fontId="10" fillId="0" borderId="0" applyAlignment="1" pivotButton="0" quotePrefix="0" xfId="0">
      <alignment horizontal="general" vertical="center" wrapText="1"/>
    </xf>
    <xf numFmtId="3" fontId="10" fillId="0" borderId="0" applyAlignment="1" pivotButton="0" quotePrefix="0" xfId="0">
      <alignment horizontal="general" vertical="center" wrapText="1"/>
    </xf>
    <xf numFmtId="165" fontId="6" fillId="0" borderId="0" applyAlignment="1" pivotButton="0" quotePrefix="0" xfId="0">
      <alignment horizontal="general" vertical="center" wrapText="1"/>
    </xf>
    <xf numFmtId="3" fontId="6" fillId="0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30303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F3F4F6"/>
          <bgColor rgb="FF000000"/>
        </patternFill>
      </fill>
    </dxf>
  </dxfs>
  <colors>
    <indexedColors>
      <rgbColor rgb="FF000000"/>
      <rgbColor rgb="FFFFFFFF"/>
      <rgbColor rgb="FFE30613"/>
      <rgbColor rgb="FF00FF00"/>
      <rgbColor rgb="FF0000FF"/>
      <rgbColor rgb="FFFFD447"/>
      <rgbColor rgb="FFFF48B0"/>
      <rgbColor rgb="FF00FFFF"/>
      <rgbColor rgb="FF0B0906"/>
      <rgbColor rgb="FF008000"/>
      <rgbColor rgb="FF0B0C10"/>
      <rgbColor rgb="FFE4572E"/>
      <rgbColor rgb="FF800080"/>
      <rgbColor rgb="FF008080"/>
      <rgbColor rgb="FFEAE9E5"/>
      <rgbColor rgb="FF808080"/>
      <rgbColor rgb="FF9999FF"/>
      <rgbColor rgb="FFC8363A"/>
      <rgbColor rgb="FFFBF5E6"/>
      <rgbColor rgb="FFF3F4F6"/>
      <rgbColor rgb="FF111111"/>
      <rgbColor rgb="FFE2725B"/>
      <rgbColor rgb="FF2A5CB3"/>
      <rgbColor rgb="FFD1D5DB"/>
      <rgbColor rgb="FF0A0A0B"/>
      <rgbColor rgb="FFE8417F"/>
      <rgbColor rgb="FFF6F2EA"/>
      <rgbColor rgb="FF00FFFF"/>
      <rgbColor rgb="FF800080"/>
      <rgbColor rgb="FF800000"/>
      <rgbColor rgb="FF008080"/>
      <rgbColor rgb="FF0000FF"/>
      <rgbColor rgb="FF00CCFF"/>
      <rgbColor rgb="FFF7F7F4"/>
      <rgbColor rgb="FFD9EAD3"/>
      <rgbColor rgb="FFF1E7D0"/>
      <rgbColor rgb="FFF4EEE2"/>
      <rgbColor rgb="FFF2C14E"/>
      <rgbColor rgb="FFF5F1E8"/>
      <rgbColor rgb="FFF4CCCC"/>
      <rgbColor rgb="FF6A4BD8"/>
      <rgbColor rgb="FF33CCCC"/>
      <rgbColor rgb="FFB7F34A"/>
      <rgbColor rgb="FFFFD23F"/>
      <rgbColor rgb="FFFFB000"/>
      <rgbColor rgb="FFFF4D12"/>
      <rgbColor rgb="FF555555"/>
      <rgbColor rgb="FFE2A52A"/>
      <rgbColor rgb="FF18336B"/>
      <rgbColor rgb="FF339966"/>
      <rgbColor rgb="FF1B1714"/>
      <rgbColor rgb="FF1F2937"/>
      <rgbColor rgb="FFB2182B"/>
      <rgbColor rgb="FFD6453A"/>
      <rgbColor rgb="FF2B1D4F"/>
      <rgbColor rgb="FF30303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Unknown Author</author>
  </authors>
  <commentList>
    <comment ref="I4" authorId="0" shapeId="0">
      <text>
        <t>Blue = filled in by the daily pipeline (you can edit too). Black = formulas. Priority: lowest number with Status 'Idea' is made next — renumber to reorder.</t>
      </text>
    </comment>
    <comment ref="AO5" authorId="0" shapeId="0">
      <text>
        <t>The look this Short is built in (see the Looks sheet). Change it before the idea is made to switch styles; the daily pipeline copies it into the script.</t>
      </text>
    </comment>
    <comment ref="AP5" authorId="0" shapeId="0">
      <text>
        <t>ted2 (default when empty) or story. 'story' makes a fully art-directed Short from the columns to the right: Claude writes the narration, the scene-by-scene animation and the sound cues from them.</t>
      </text>
    </comment>
    <comment ref="AQ5" authorId="0" shapeId="0">
      <text>
        <t>How it should look and move, e.g. 'flat neon editorial like One More Never Enough: one curly-haired character, bold outlines, camera push-ins, card-swipe transitions'.</t>
      </text>
    </comment>
    <comment ref="AR5" authorId="0" shapeId="0">
      <text>
        <t>Optional scene-by-scene plan, one scene per line: what we see, what is said, the headline. e.g. '1. Hook: thumb flicks cards on a phone; pull back to reveal the face — VO: You opened your phone for a minute.' Empty: Claude plans the scenes from the hook and outline.</t>
      </text>
    </comment>
    <comment ref="AS5" authorId="0" shapeId="0">
      <text>
        <t>Optional colours (hex or words) and fonts (any Google Font), e.g. 'white page, ink #210B3D, violet #7624CE, neon green highlight; Barlow Condensed headlines'.</t>
      </text>
    </comment>
    <comment ref="AT5" authorId="0" shapeId="0">
      <text>
        <t>Optional: who appears, e.g. 'the One More protagonist (curly hair, violet jacket)', or 'none — objects only'.</t>
      </text>
    </comment>
    <comment ref="AU5" authorId="0" shapeId="0">
      <text>
        <t>Optional: sound effects and moments, e.g. 'soft swipe on each card, notification ping on the cue, three wooden taps on the end icons'. Available: swipe, whoosh, pop, tick, chime, chime-bright, rising, notification, flip, flip-dull, lightning, airy, card-slide, settle, toggle, drawer, page-turn, wood-tap. Music: the soft F-major pad bed.</t>
      </text>
    </comment>
  </commentList>
</comments>
</file>

<file path=xl/tables/table1.xml><?xml version="1.0" encoding="utf-8"?>
<table xmlns="http://schemas.openxmlformats.org/spreadsheetml/2006/main" id="1" name="PsychologyShorts" displayName="PsychologyShorts" ref="A5:H105" headerRowCount="1" totalsRowCount="0" totalsRowShown="0">
  <autoFilter ref="A5:H105"/>
  <tableColumns count="8">
    <tableColumn id="1" name="No."/>
    <tableColumn id="2" name="Theme"/>
    <tableColumn id="3" name="Video idea"/>
    <tableColumn id="4" name="Opening hook"/>
    <tableColumn id="5" name="Content outline"/>
    <tableColumn id="6" name="Visual / filming idea"/>
    <tableColumn id="7" name="Seconds"/>
    <tableColumn id="8" name="Status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2:AV1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61" min="1" max="1"/>
    <col width="25" customWidth="1" style="61" min="2" max="2"/>
    <col width="38" customWidth="1" style="61" min="3" max="3"/>
    <col width="48" customWidth="1" style="61" min="4" max="4"/>
    <col width="59" customWidth="1" style="61" min="5" max="5"/>
    <col width="39" customWidth="1" style="61" min="6" max="6"/>
    <col width="10" customWidth="1" style="61" min="7" max="7"/>
    <col width="17" customWidth="1" style="61" min="8" max="8"/>
    <col width="9" customWidth="1" style="61" min="9" max="9"/>
    <col width="12" customWidth="1" style="61" min="10" max="10"/>
    <col width="24" customWidth="1" style="61" min="11" max="11"/>
    <col width="12" customWidth="1" style="61" min="12" max="12"/>
    <col width="10" customWidth="1" style="61" min="13" max="13"/>
    <col width="11" customWidth="1" style="61" min="14" max="14"/>
    <col width="10" customWidth="1" style="61" min="15" max="15"/>
    <col width="40" customWidth="1" style="61" min="16" max="16"/>
    <col width="30" customWidth="1" style="61" min="17" max="17"/>
    <col width="14" customWidth="1" style="61" min="18" max="18"/>
    <col width="11" customWidth="1" style="61" min="19" max="19"/>
    <col width="12" customWidth="1" style="61" min="20" max="21"/>
    <col width="10" customWidth="1" style="61" min="22" max="22"/>
    <col width="11" customWidth="1" style="61" min="23" max="23"/>
    <col width="10" customWidth="1" style="61" min="24" max="24"/>
    <col width="11" customWidth="1" style="61" min="25" max="25"/>
    <col width="10" customWidth="1" style="61" min="26" max="26"/>
    <col width="11" customWidth="1" style="61" min="27" max="27"/>
    <col width="10" customWidth="1" style="61" min="28" max="28"/>
    <col width="12" customWidth="1" style="61" min="29" max="30"/>
    <col width="11" customWidth="1" style="61" min="31" max="33"/>
    <col width="12" customWidth="1" style="61" min="34" max="34"/>
    <col width="11" customWidth="1" style="61" min="35" max="37"/>
    <col width="12" customWidth="1" style="61" min="38" max="38"/>
    <col width="11" customWidth="1" style="61" min="39" max="39"/>
    <col width="50" customWidth="1" style="61" min="40" max="40"/>
    <col width="15" customWidth="1" style="61" min="41" max="41"/>
    <col width="10" customWidth="1" style="61" min="42" max="42"/>
    <col width="34" customWidth="1" style="61" min="43" max="43"/>
    <col width="60" customWidth="1" style="61" min="44" max="44"/>
    <col width="30" customWidth="1" style="61" min="45" max="45"/>
    <col width="26" customWidth="1" style="61" min="46" max="46"/>
    <col width="34" customWidth="1" style="61" min="47" max="47"/>
    <col width="18" customWidth="1" style="61" min="48" max="48"/>
  </cols>
  <sheetData>
    <row r="2" ht="19.7" customHeight="1" s="62">
      <c r="A2" s="63" t="inlineStr">
        <is>
          <t>100 Psychology YouTube Shorts Ideas</t>
        </is>
      </c>
      <c r="B2" s="64" t="n"/>
      <c r="C2" s="64" t="n"/>
      <c r="D2" s="64" t="n"/>
      <c r="E2" s="64" t="n"/>
      <c r="F2" s="64" t="n"/>
      <c r="G2" s="64" t="n"/>
      <c r="H2" s="64" t="n"/>
    </row>
    <row r="3" ht="15" customHeight="1" s="62">
      <c r="A3" s="65" t="inlineStr">
        <is>
          <t>Original concept prompts. Research and verify claims before scripting. Durations are suggested seconds.  Columns I→AN are filled by the daily Shorts pipeline; Priority sets the order.</t>
        </is>
      </c>
      <c r="B3" s="64" t="n"/>
      <c r="C3" s="64" t="n"/>
      <c r="D3" s="64" t="n"/>
      <c r="E3" s="64" t="n"/>
      <c r="F3" s="64" t="n"/>
      <c r="G3" s="64" t="n"/>
      <c r="H3" s="64" t="n"/>
    </row>
    <row r="4" ht="15" customHeight="1" s="62">
      <c r="A4" s="64" t="n"/>
      <c r="B4" s="64" t="n"/>
      <c r="C4" s="64" t="n"/>
      <c r="D4" s="64" t="n"/>
      <c r="E4" s="64" t="n"/>
      <c r="F4" s="64" t="n"/>
      <c r="G4" s="64" t="n"/>
      <c r="H4" s="64" t="n"/>
      <c r="I4" s="66" t="inlineStr">
        <is>
          <t>PRODUCTION</t>
        </is>
      </c>
      <c r="S4" s="66" t="inlineStr">
        <is>
          <t>DAY 7</t>
        </is>
      </c>
      <c r="AE4" s="66" t="inlineStr">
        <is>
          <t>DAY 14</t>
        </is>
      </c>
      <c r="AI4" s="66" t="inlineStr">
        <is>
          <t>DAY 30</t>
        </is>
      </c>
      <c r="AM4" s="66" t="inlineStr">
        <is>
          <t>LEARNING</t>
        </is>
      </c>
      <c r="AO4" s="66" t="inlineStr">
        <is>
          <t>STYLE</t>
        </is>
      </c>
      <c r="AP4" s="66" t="inlineStr">
        <is>
          <t>STORY</t>
        </is>
      </c>
      <c r="AV4" s="66" t="inlineStr">
        <is>
          <t>3-ACT</t>
        </is>
      </c>
    </row>
    <row r="5" ht="30" customHeight="1" s="62">
      <c r="A5" s="67" t="inlineStr">
        <is>
          <t>No.</t>
        </is>
      </c>
      <c r="B5" s="67" t="inlineStr">
        <is>
          <t>Theme</t>
        </is>
      </c>
      <c r="C5" s="67" t="inlineStr">
        <is>
          <t>Video idea</t>
        </is>
      </c>
      <c r="D5" s="67" t="inlineStr">
        <is>
          <t>Opening hook</t>
        </is>
      </c>
      <c r="E5" s="67" t="inlineStr">
        <is>
          <t>Content outline</t>
        </is>
      </c>
      <c r="F5" s="67" t="inlineStr">
        <is>
          <t>Visual / filming idea</t>
        </is>
      </c>
      <c r="G5" s="67" t="inlineStr">
        <is>
          <t>Seconds</t>
        </is>
      </c>
      <c r="H5" s="67" t="inlineStr">
        <is>
          <t>Status</t>
        </is>
      </c>
      <c r="I5" s="67" t="inlineStr">
        <is>
          <t>Priority</t>
        </is>
      </c>
      <c r="J5" s="67" t="inlineStr">
        <is>
          <t>Template fit</t>
        </is>
      </c>
      <c r="K5" s="67" t="inlineStr">
        <is>
          <t>Slug</t>
        </is>
      </c>
      <c r="L5" s="67" t="inlineStr">
        <is>
          <t>Post date</t>
        </is>
      </c>
      <c r="M5" s="67" t="inlineStr">
        <is>
          <t>Weekday</t>
        </is>
      </c>
      <c r="N5" s="67" t="inlineStr">
        <is>
          <t>Hook style</t>
        </is>
      </c>
      <c r="O5" s="67" t="inlineStr">
        <is>
          <t>Length (s)</t>
        </is>
      </c>
      <c r="P5" s="67" t="inlineStr">
        <is>
          <t>Title used</t>
        </is>
      </c>
      <c r="Q5" s="67" t="inlineStr">
        <is>
          <t>Source checked</t>
        </is>
      </c>
      <c r="R5" s="67" t="inlineStr">
        <is>
          <t>Metricool ID</t>
        </is>
      </c>
      <c r="S5" s="67" t="inlineStr">
        <is>
          <t>YT views d7</t>
        </is>
      </c>
      <c r="T5" s="67" t="inlineStr">
        <is>
          <t>YT avg view (s) d7</t>
        </is>
      </c>
      <c r="U5" s="67" t="inlineStr">
        <is>
          <t>YT retention d7</t>
        </is>
      </c>
      <c r="V5" s="67" t="inlineStr">
        <is>
          <t>YT likes d7</t>
        </is>
      </c>
      <c r="W5" s="67" t="inlineStr">
        <is>
          <t>YT comments d7</t>
        </is>
      </c>
      <c r="X5" s="67" t="inlineStr">
        <is>
          <t>YT shares d7</t>
        </is>
      </c>
      <c r="Y5" s="67" t="inlineStr">
        <is>
          <t>IG views d7</t>
        </is>
      </c>
      <c r="Z5" s="67" t="inlineStr">
        <is>
          <t>IG likes d7</t>
        </is>
      </c>
      <c r="AA5" s="67" t="inlineStr">
        <is>
          <t>TT views d7</t>
        </is>
      </c>
      <c r="AB5" s="67" t="inlineStr">
        <is>
          <t>TT likes d7</t>
        </is>
      </c>
      <c r="AC5" s="67" t="inlineStr">
        <is>
          <t>Total views d7</t>
        </is>
      </c>
      <c r="AD5" s="67" t="inlineStr">
        <is>
          <t>Engagement d7</t>
        </is>
      </c>
      <c r="AE5" s="67" t="inlineStr">
        <is>
          <t>YT views d14</t>
        </is>
      </c>
      <c r="AF5" s="67" t="inlineStr">
        <is>
          <t>IG views d14</t>
        </is>
      </c>
      <c r="AG5" s="67" t="inlineStr">
        <is>
          <t>TT views d14</t>
        </is>
      </c>
      <c r="AH5" s="67" t="inlineStr">
        <is>
          <t>Total views d14</t>
        </is>
      </c>
      <c r="AI5" s="67" t="inlineStr">
        <is>
          <t>YT views d30</t>
        </is>
      </c>
      <c r="AJ5" s="67" t="inlineStr">
        <is>
          <t>IG views d30</t>
        </is>
      </c>
      <c r="AK5" s="67" t="inlineStr">
        <is>
          <t>TT views d30</t>
        </is>
      </c>
      <c r="AL5" s="67" t="inlineStr">
        <is>
          <t>Total views d30</t>
        </is>
      </c>
      <c r="AM5" s="67" t="inlineStr">
        <is>
          <t>Verdict d7</t>
        </is>
      </c>
      <c r="AN5" s="67" t="inlineStr">
        <is>
          <t>Lesson / notes</t>
        </is>
      </c>
      <c r="AO5" s="67" t="inlineStr">
        <is>
          <t>Visual style</t>
        </is>
      </c>
      <c r="AP5" s="67" t="inlineStr">
        <is>
          <t>Format</t>
        </is>
      </c>
      <c r="AQ5" s="67" t="inlineStr">
        <is>
          <t>Animation style</t>
        </is>
      </c>
      <c r="AR5" s="67" t="inlineStr">
        <is>
          <t>Storyboard</t>
        </is>
      </c>
      <c r="AS5" s="67" t="inlineStr">
        <is>
          <t>Palette &amp; type</t>
        </is>
      </c>
      <c r="AT5" s="67" t="inlineStr">
        <is>
          <t>Characters</t>
        </is>
      </c>
      <c r="AU5" s="67" t="inlineStr">
        <is>
          <t>Sound cues</t>
        </is>
      </c>
      <c r="AV5" s="67" t="inlineStr">
        <is>
          <t>Hook formula (3-act)</t>
        </is>
      </c>
    </row>
    <row r="6" ht="60" customHeight="1" s="62">
      <c r="A6" s="68" t="n">
        <v>1</v>
      </c>
      <c r="B6" s="68" t="inlineStr">
        <is>
          <t>Cognitive biases</t>
        </is>
      </c>
      <c r="C6" s="68" t="inlineStr">
        <is>
          <t>The spotlight effect</t>
        </is>
      </c>
      <c r="D6" s="68" t="inlineStr">
        <is>
          <t>Think everyone noticed your awkward moment?</t>
        </is>
      </c>
      <c r="E6" s="68" t="inlineStr">
        <is>
          <t>Contrast what you noticed with what others were focused on.</t>
        </is>
      </c>
      <c r="F6" s="68" t="inlineStr">
        <is>
          <t>Crowded room with one imagined spotlight</t>
        </is>
      </c>
      <c r="G6" s="68" t="n">
        <v>45</v>
      </c>
      <c r="H6" s="68" t="inlineStr">
        <is>
          <t>Published</t>
        </is>
      </c>
      <c r="I6" s="69" t="n">
        <v>1</v>
      </c>
      <c r="J6" s="69" t="inlineStr">
        <is>
          <t>Strong</t>
        </is>
      </c>
      <c r="K6" s="69" t="inlineStr">
        <is>
          <t>spotlight-effect</t>
        </is>
      </c>
      <c r="L6" s="70" t="n">
        <v>46306</v>
      </c>
      <c r="M6" s="68">
        <f>IF(L6="","",TEXT(L6,"ddd"))</f>
        <v/>
      </c>
      <c r="N6" s="69" t="inlineStr">
        <is>
          <t>eyes</t>
        </is>
      </c>
      <c r="O6" s="69" t="n">
        <v>27</v>
      </c>
      <c r="P6" s="69" t="inlineStr">
        <is>
          <t>Why It Feels Like Everyone's Watching You | The Spotlight Effect</t>
        </is>
      </c>
      <c r="Q6" s="69" t="inlineStr">
        <is>
          <t>Gilovich, Medvec &amp; Savitsky (2000), JPSP 78(2)</t>
        </is>
      </c>
      <c r="R6" s="69" t="inlineStr">
        <is>
          <t>393438157</t>
        </is>
      </c>
      <c r="S6" s="71" t="n"/>
      <c r="T6" s="69" t="n"/>
      <c r="U6" s="72">
        <f>IF(OR(T6="",N(O6)=0),"",T6/O6)</f>
        <v/>
      </c>
      <c r="V6" s="69" t="n"/>
      <c r="W6" s="69" t="n"/>
      <c r="X6" s="69" t="n"/>
      <c r="Y6" s="71" t="n"/>
      <c r="Z6" s="69" t="n"/>
      <c r="AA6" s="71" t="n"/>
      <c r="AB6" s="69" t="n"/>
      <c r="AC6" s="73">
        <f>IF(COUNT(S6,Y6,AA6)=0,"",SUM(S6,Y6,AA6))</f>
        <v/>
      </c>
      <c r="AD6" s="72">
        <f>IF(N(AC6)=0,"",SUM(V6,W6,X6,Z6,AB6)/AC6)</f>
        <v/>
      </c>
      <c r="AE6" s="71" t="n"/>
      <c r="AF6" s="71" t="n"/>
      <c r="AG6" s="71" t="n"/>
      <c r="AH6" s="73">
        <f>IF(COUNT(AE6,AF6,AG6)=0,"",SUM(AE6,AF6,AG6))</f>
        <v/>
      </c>
      <c r="AI6" s="71" t="n"/>
      <c r="AJ6" s="71" t="n"/>
      <c r="AK6" s="71" t="n"/>
      <c r="AL6" s="73">
        <f>IF(COUNT(AI6,AJ6,AK6)=0,"",SUM(AI6,AJ6,AK6))</f>
        <v/>
      </c>
      <c r="AM6" s="68">
        <f>IF(N(AC6)=0,"",IF(COUNT($AC$6:$AC$105)&lt;5,"Too early",IF(AC6&gt;=1.5*MEDIAN($AC$6:$AC$105),"Top",IF(AC6&lt;=0.5*MEDIAN($AC$6:$AC$105),"Low","Average"))))</f>
        <v/>
      </c>
      <c r="AN6" s="69" t="inlineStr">
        <is>
          <t>Pilot: 16:9 horizontal, YouTube only — not comparable with the vertical Shorts. 2026-10-18 review: d7 stats not available (Metricool per-video YouTube data empty).</t>
        </is>
      </c>
      <c r="AO6" s="69" t="inlineStr">
        <is>
          <t>pixel-lab</t>
        </is>
      </c>
      <c r="AP6" s="74" t="n"/>
      <c r="AQ6" s="74" t="n"/>
      <c r="AR6" s="74" t="n"/>
      <c r="AS6" s="74" t="n"/>
      <c r="AT6" s="74" t="n"/>
      <c r="AU6" s="74" t="n"/>
      <c r="AV6" s="64" t="inlineStr">
        <is>
          <t>You-callout</t>
        </is>
      </c>
    </row>
    <row r="7" ht="60" customHeight="1" s="62">
      <c r="A7" s="68" t="n">
        <v>2</v>
      </c>
      <c r="B7" s="68" t="inlineStr">
        <is>
          <t>Cognitive biases</t>
        </is>
      </c>
      <c r="C7" s="68" t="inlineStr">
        <is>
          <t>Confirmation bias</t>
        </is>
      </c>
      <c r="D7" s="68" t="inlineStr">
        <is>
          <t>Could your feed be proving you right on purpose?</t>
        </is>
      </c>
      <c r="E7" s="68" t="inlineStr">
        <is>
          <t>Show two people interpreting the same headline differently.</t>
        </is>
      </c>
      <c r="F7" s="68" t="inlineStr">
        <is>
          <t>Split-screen headline reactions</t>
        </is>
      </c>
      <c r="G7" s="68" t="n">
        <v>45</v>
      </c>
      <c r="H7" s="68" t="inlineStr">
        <is>
          <t>Vetoed</t>
        </is>
      </c>
      <c r="I7" s="69" t="n">
        <v>11</v>
      </c>
      <c r="J7" s="69" t="inlineStr">
        <is>
          <t>Strong</t>
        </is>
      </c>
      <c r="K7" s="69" t="inlineStr">
        <is>
          <t>confirmation-bias</t>
        </is>
      </c>
      <c r="L7" s="70" t="n">
        <v>46310</v>
      </c>
      <c r="M7" s="68">
        <f>IF(L7="","",TEXT(L7,"ddd"))</f>
        <v/>
      </c>
      <c r="N7" s="69" t="inlineStr">
        <is>
          <t>thoughts</t>
        </is>
      </c>
      <c r="O7" s="69" t="n">
        <v>32</v>
      </c>
      <c r="P7" s="69" t="inlineStr">
        <is>
          <t>Why Everything Seems to Prove You Right #shorts</t>
        </is>
      </c>
      <c r="Q7" s="69" t="inlineStr">
        <is>
          <t>Lord, Ross &amp; Lepper 1979, JPSP 37(11):2098-2109; n=48; biased assimilation and attitude polarization</t>
        </is>
      </c>
      <c r="R7" s="69" t="inlineStr">
        <is>
          <t>buffer:youtube=6acfed2f102b7fd4a48ef5db;instagram=6acfed30384901ac08409c3c;tiktok=6acfed30384901ac08409c67</t>
        </is>
      </c>
      <c r="S7" s="71" t="n"/>
      <c r="T7" s="69" t="n"/>
      <c r="U7" s="72">
        <f>IF(OR(T7="",N(O7)=0),"",T7/O7)</f>
        <v/>
      </c>
      <c r="V7" s="69" t="n"/>
      <c r="W7" s="69" t="n"/>
      <c r="X7" s="69" t="n"/>
      <c r="Y7" s="71" t="n"/>
      <c r="Z7" s="69" t="n"/>
      <c r="AA7" s="71" t="n"/>
      <c r="AB7" s="69" t="n"/>
      <c r="AC7" s="73">
        <f>IF(COUNT(S7,Y7,AA7)=0,"",SUM(S7,Y7,AA7))</f>
        <v/>
      </c>
      <c r="AD7" s="72">
        <f>IF(N(AC7)=0,"",SUM(V7,W7,X7,Z7,AB7)/AC7)</f>
        <v/>
      </c>
      <c r="AE7" s="71" t="n"/>
      <c r="AF7" s="71" t="n"/>
      <c r="AG7" s="71" t="n"/>
      <c r="AH7" s="73">
        <f>IF(COUNT(AE7,AF7,AG7)=0,"",SUM(AE7,AF7,AG7))</f>
        <v/>
      </c>
      <c r="AI7" s="71" t="n"/>
      <c r="AJ7" s="71" t="n"/>
      <c r="AK7" s="71" t="n"/>
      <c r="AL7" s="73">
        <f>IF(COUNT(AI7,AJ7,AK7)=0,"",SUM(AI7,AJ7,AK7))</f>
        <v/>
      </c>
      <c r="AM7" s="68">
        <f>IF(N(AC7)=0,"",IF(COUNT($AC$6:$AC$105)&lt;5,"Too early",IF(AC7&gt;=1.5*MEDIAN($AC$6:$AC$105),"Top",IF(AC7&lt;=0.5*MEDIAN($AC$6:$AC$105),"Low","Average"))))</f>
        <v/>
      </c>
      <c r="AN7" s="69" t="inlineStr">
        <is>
          <t>Cancelled in Buffer 2026-10-15 before posting: Shivam retired the 8-bit avatar format (Ted type 2 only)</t>
        </is>
      </c>
      <c r="AO7" s="69" t="inlineStr">
        <is>
          <t>keynote</t>
        </is>
      </c>
      <c r="AP7" s="74" t="n"/>
      <c r="AQ7" s="74" t="n"/>
      <c r="AR7" s="74" t="n"/>
      <c r="AS7" s="74" t="n"/>
      <c r="AT7" s="74" t="n"/>
      <c r="AU7" s="74" t="n"/>
      <c r="AV7" s="64" t="inlineStr">
        <is>
          <t>Pattern interrupt</t>
        </is>
      </c>
    </row>
    <row r="8" ht="60" customHeight="1" s="62">
      <c r="A8" s="68" t="n">
        <v>3</v>
      </c>
      <c r="B8" s="68" t="inlineStr">
        <is>
          <t>Cognitive biases</t>
        </is>
      </c>
      <c r="C8" s="68" t="inlineStr">
        <is>
          <t>The anchoring effect</t>
        </is>
      </c>
      <c r="D8" s="68" t="inlineStr">
        <is>
          <t>Why does the first price stick in your head?</t>
        </is>
      </c>
      <c r="E8" s="68" t="inlineStr">
        <is>
          <t>Compare a price presented alone with one beside a higher price.</t>
        </is>
      </c>
      <c r="F8" s="68" t="inlineStr">
        <is>
          <t>Two price cards</t>
        </is>
      </c>
      <c r="G8" s="68" t="n">
        <v>45</v>
      </c>
      <c r="H8" s="68" t="inlineStr">
        <is>
          <t>Published</t>
        </is>
      </c>
      <c r="I8" s="69" t="n">
        <v>21</v>
      </c>
      <c r="J8" s="69" t="inlineStr">
        <is>
          <t>Strong</t>
        </is>
      </c>
      <c r="K8" s="69" t="inlineStr">
        <is>
          <t>anchoring</t>
        </is>
      </c>
      <c r="L8" s="70" t="n">
        <v>46310</v>
      </c>
      <c r="M8" s="68">
        <f>IF(L8="","",TEXT(L8,"ddd"))</f>
        <v/>
      </c>
      <c r="N8" s="69" t="n"/>
      <c r="O8" s="69" t="n">
        <v>35</v>
      </c>
      <c r="P8" s="69" t="inlineStr">
        <is>
          <t>Why the First Price You See Sticks in Your Head #shorts</t>
        </is>
      </c>
      <c r="Q8" s="69" t="inlineStr">
        <is>
          <t>Tversky &amp; Kahneman 1974, Science 185(4157):1124-1131; wheel 10 vs 65 -&gt; median 25% vs 45% African UN members</t>
        </is>
      </c>
      <c r="R8" s="69" t="inlineStr">
        <is>
          <t>buffer:youtube=6ad14adb2b2233d4661582ae;tiktok=6ad14adc5533140b41cadc37;instagram=6ad5279e769b457934da2d97</t>
        </is>
      </c>
      <c r="S8" s="71" t="n"/>
      <c r="T8" s="69" t="n"/>
      <c r="U8" s="72">
        <f>IF(OR(T8="",N(O8)=0),"",T8/O8)</f>
        <v/>
      </c>
      <c r="V8" s="69" t="n"/>
      <c r="W8" s="69" t="n"/>
      <c r="X8" s="69" t="n"/>
      <c r="Y8" s="71" t="n"/>
      <c r="Z8" s="69" t="n"/>
      <c r="AA8" s="71" t="n"/>
      <c r="AB8" s="69" t="n"/>
      <c r="AC8" s="73">
        <f>IF(COUNT(S8,Y8,AA8)=0,"",SUM(S8,Y8,AA8))</f>
        <v/>
      </c>
      <c r="AD8" s="72">
        <f>IF(N(AC8)=0,"",SUM(V8,W8,X8,Z8,AB8)/AC8)</f>
        <v/>
      </c>
      <c r="AE8" s="71" t="n"/>
      <c r="AF8" s="71" t="n"/>
      <c r="AG8" s="71" t="n"/>
      <c r="AH8" s="73">
        <f>IF(COUNT(AE8,AF8,AG8)=0,"",SUM(AE8,AF8,AG8))</f>
        <v/>
      </c>
      <c r="AI8" s="71" t="n"/>
      <c r="AJ8" s="71" t="n"/>
      <c r="AK8" s="71" t="n"/>
      <c r="AL8" s="73">
        <f>IF(COUNT(AI8,AJ8,AK8)=0,"",SUM(AI8,AJ8,AK8))</f>
        <v/>
      </c>
      <c r="AM8" s="68">
        <f>IF(N(AC8)=0,"",IF(COUNT($AC$6:$AC$105)&lt;5,"Too early",IF(AC8&gt;=1.5*MEDIAN($AC$6:$AC$105),"Top",IF(AC8&lt;=0.5*MEDIAN($AC$6:$AC$105),"Low","Average"))))</f>
        <v/>
      </c>
      <c r="AN8" s="69" t="n"/>
      <c r="AO8" s="69" t="inlineStr">
        <is>
          <t>ted2</t>
        </is>
      </c>
      <c r="AP8" s="74" t="n"/>
      <c r="AQ8" s="74" t="n"/>
      <c r="AR8" s="74" t="n"/>
      <c r="AS8" s="74" t="n"/>
      <c r="AT8" s="74" t="n"/>
      <c r="AU8" s="74" t="n"/>
      <c r="AV8" s="64" t="inlineStr">
        <is>
          <t>Study reveal</t>
        </is>
      </c>
    </row>
    <row r="9" ht="60" customHeight="1" s="62">
      <c r="A9" s="68" t="n">
        <v>4</v>
      </c>
      <c r="B9" s="68" t="inlineStr">
        <is>
          <t>Cognitive biases</t>
        </is>
      </c>
      <c r="C9" s="68" t="inlineStr">
        <is>
          <t>The availability heuristic</t>
        </is>
      </c>
      <c r="D9" s="68" t="inlineStr">
        <is>
          <t>Why can a scary headline feel like a common event?</t>
        </is>
      </c>
      <c r="E9" s="68" t="inlineStr">
        <is>
          <t>Explain how memorable examples can distort frequency judgments.</t>
        </is>
      </c>
      <c r="F9" s="68" t="inlineStr">
        <is>
          <t>News clip illustration and frequency chart</t>
        </is>
      </c>
      <c r="G9" s="68" t="n">
        <v>45</v>
      </c>
      <c r="H9" s="68" t="inlineStr">
        <is>
          <t>Published</t>
        </is>
      </c>
      <c r="I9" s="69" t="n">
        <v>30</v>
      </c>
      <c r="J9" s="69" t="inlineStr">
        <is>
          <t>Strong</t>
        </is>
      </c>
      <c r="K9" s="69" t="inlineStr">
        <is>
          <t>availability-heuristic</t>
        </is>
      </c>
      <c r="L9" s="70" t="n">
        <v>46314</v>
      </c>
      <c r="M9" s="68">
        <f>IF(L9="","",TEXT(L9,"ddd"))</f>
        <v/>
      </c>
      <c r="N9" s="69" t="n"/>
      <c r="O9" s="69" t="n">
        <v>43</v>
      </c>
      <c r="P9" s="69" t="inlineStr">
        <is>
          <t>Why Scary Headlines Feel More Common Than They Are #shorts</t>
        </is>
      </c>
      <c r="Q9" s="69" t="inlineStr">
        <is>
          <t>Lichtenstein, Slovic et al. 1978, JEP:HLM 4(6):551-578; 41 causes of death, dramatic over-, common underestimated; Tversky &amp; Kahneman 1973</t>
        </is>
      </c>
      <c r="R9" s="69" t="inlineStr">
        <is>
          <t>buffer:youtube=6ad514440a208cb32379c365;tiktok=6ad51445938409f1d0e23e43;instagram=6ad5279dae173d6e0017d665</t>
        </is>
      </c>
      <c r="S9" s="71" t="n"/>
      <c r="T9" s="69" t="n"/>
      <c r="U9" s="72">
        <f>IF(OR(T9="",N(O9)=0),"",T9/O9)</f>
        <v/>
      </c>
      <c r="V9" s="69" t="n"/>
      <c r="W9" s="69" t="n"/>
      <c r="X9" s="69" t="n"/>
      <c r="Y9" s="71" t="n"/>
      <c r="Z9" s="69" t="n"/>
      <c r="AA9" s="71" t="n"/>
      <c r="AB9" s="69" t="n"/>
      <c r="AC9" s="73">
        <f>IF(COUNT(S9,Y9,AA9)=0,"",SUM(S9,Y9,AA9))</f>
        <v/>
      </c>
      <c r="AD9" s="72">
        <f>IF(N(AC9)=0,"",SUM(V9,W9,X9,Z9,AB9)/AC9)</f>
        <v/>
      </c>
      <c r="AE9" s="71" t="n"/>
      <c r="AF9" s="71" t="n"/>
      <c r="AG9" s="71" t="n"/>
      <c r="AH9" s="73">
        <f>IF(COUNT(AE9,AF9,AG9)=0,"",SUM(AE9,AF9,AG9))</f>
        <v/>
      </c>
      <c r="AI9" s="71" t="n"/>
      <c r="AJ9" s="71" t="n"/>
      <c r="AK9" s="71" t="n"/>
      <c r="AL9" s="73">
        <f>IF(COUNT(AI9,AJ9,AK9)=0,"",SUM(AI9,AJ9,AK9))</f>
        <v/>
      </c>
      <c r="AM9" s="68">
        <f>IF(N(AC9)=0,"",IF(COUNT($AC$6:$AC$105)&lt;5,"Too early",IF(AC9&gt;=1.5*MEDIAN($AC$6:$AC$105),"Top",IF(AC9&lt;=0.5*MEDIAN($AC$6:$AC$105),"Low","Average"))))</f>
        <v/>
      </c>
      <c r="AN9" s="69" t="n"/>
      <c r="AO9" s="69" t="inlineStr">
        <is>
          <t>ted2</t>
        </is>
      </c>
      <c r="AP9" s="74" t="n"/>
      <c r="AQ9" s="74" t="n"/>
      <c r="AR9" s="74" t="n"/>
      <c r="AS9" s="74" t="n"/>
      <c r="AT9" s="74" t="n"/>
      <c r="AU9" s="74" t="n"/>
      <c r="AV9" s="64" t="inlineStr">
        <is>
          <t>Curiosity gap</t>
        </is>
      </c>
    </row>
    <row r="10" ht="60" customHeight="1" s="62">
      <c r="A10" s="68" t="n">
        <v>5</v>
      </c>
      <c r="B10" s="68" t="inlineStr">
        <is>
          <t>Cognitive biases</t>
        </is>
      </c>
      <c r="C10" s="68" t="inlineStr">
        <is>
          <t>The sunk-cost trap</t>
        </is>
      </c>
      <c r="D10" s="68" t="inlineStr">
        <is>
          <t>Would you keep watching a terrible movie just because you paid?</t>
        </is>
      </c>
      <c r="E10" s="68" t="inlineStr">
        <is>
          <t>Separate past spending from the next decision.</t>
        </is>
      </c>
      <c r="F10" s="68" t="inlineStr">
        <is>
          <t>Movie ticket and exit door</t>
        </is>
      </c>
      <c r="G10" s="68" t="n">
        <v>45</v>
      </c>
      <c r="H10" s="68" t="inlineStr">
        <is>
          <t>Published</t>
        </is>
      </c>
      <c r="I10" s="69" t="n">
        <v>38</v>
      </c>
      <c r="J10" s="69" t="inlineStr">
        <is>
          <t>Strong</t>
        </is>
      </c>
      <c r="K10" s="69" t="inlineStr">
        <is>
          <t>sunk-cost</t>
        </is>
      </c>
      <c r="L10" s="70" t="n">
        <v>46316</v>
      </c>
      <c r="M10" s="68">
        <f>IF(L10="","",TEXT(L10,"ddd"))</f>
        <v/>
      </c>
      <c r="N10" s="69" t="n"/>
      <c r="O10" s="69" t="n">
        <v>36</v>
      </c>
      <c r="P10" s="69" t="inlineStr">
        <is>
          <t>Why You Finish Things You Don’t Even Enjoy #shorts</t>
        </is>
      </c>
      <c r="Q10" s="69" t="inlineStr">
        <is>
          <t>Arkes &amp; Blumer 1985, OBHDP 35(1):124-140; ski trip 00 Michigan vs 0 Wisconsin, 54% (33/61) chose Michigan</t>
        </is>
      </c>
      <c r="R10" s="69" t="inlineStr">
        <is>
          <t>buffer:youtube=6ad95bd2deacf5d253225a1b;instagram=6ad95bd3b086d40f57280621;tiktok=6ad95bd3ecaa6cda041df828</t>
        </is>
      </c>
      <c r="S10" s="71" t="n"/>
      <c r="T10" s="69" t="n"/>
      <c r="U10" s="72">
        <f>IF(OR(T10="",N(O10)=0),"",T10/O10)</f>
        <v/>
      </c>
      <c r="V10" s="69" t="n"/>
      <c r="W10" s="69" t="n"/>
      <c r="X10" s="69" t="n"/>
      <c r="Y10" s="71" t="n"/>
      <c r="Z10" s="69" t="n"/>
      <c r="AA10" s="71" t="n"/>
      <c r="AB10" s="69" t="n"/>
      <c r="AC10" s="73">
        <f>IF(COUNT(S10,Y10,AA10)=0,"",SUM(S10,Y10,AA10))</f>
        <v/>
      </c>
      <c r="AD10" s="72">
        <f>IF(N(AC10)=0,"",SUM(V10,W10,X10,Z10,AB10)/AC10)</f>
        <v/>
      </c>
      <c r="AE10" s="71" t="n"/>
      <c r="AF10" s="71" t="n"/>
      <c r="AG10" s="71" t="n"/>
      <c r="AH10" s="73">
        <f>IF(COUNT(AE10,AF10,AG10)=0,"",SUM(AE10,AF10,AG10))</f>
        <v/>
      </c>
      <c r="AI10" s="71" t="n"/>
      <c r="AJ10" s="71" t="n"/>
      <c r="AK10" s="71" t="n"/>
      <c r="AL10" s="73">
        <f>IF(COUNT(AI10,AJ10,AK10)=0,"",SUM(AI10,AJ10,AK10))</f>
        <v/>
      </c>
      <c r="AM10" s="68">
        <f>IF(N(AC10)=0,"",IF(COUNT($AC$6:$AC$105)&lt;5,"Too early",IF(AC10&gt;=1.5*MEDIAN($AC$6:$AC$105),"Top",IF(AC10&lt;=0.5*MEDIAN($AC$6:$AC$105),"Low","Average"))))</f>
        <v/>
      </c>
      <c r="AN10" s="69" t="n"/>
      <c r="AO10" s="69" t="inlineStr">
        <is>
          <t>ted2</t>
        </is>
      </c>
      <c r="AP10" s="74" t="n"/>
      <c r="AQ10" s="74" t="n"/>
      <c r="AR10" s="74" t="n"/>
      <c r="AS10" s="74" t="n"/>
      <c r="AT10" s="74" t="n"/>
      <c r="AU10" s="74" t="n"/>
      <c r="AV10" s="64" t="inlineStr">
        <is>
          <t>Forced choice</t>
        </is>
      </c>
    </row>
    <row r="11" ht="60" customHeight="1" s="62">
      <c r="A11" s="68" t="n">
        <v>6</v>
      </c>
      <c r="B11" s="68" t="inlineStr">
        <is>
          <t>Cognitive biases</t>
        </is>
      </c>
      <c r="C11" s="68" t="inlineStr">
        <is>
          <t>The halo effect</t>
        </is>
      </c>
      <c r="D11" s="68" t="inlineStr">
        <is>
          <t>Can one good trait change your whole impression?</t>
        </is>
      </c>
      <c r="E11" s="68" t="inlineStr">
        <is>
          <t>Show how polished appearance can influence unrelated judgments.</t>
        </is>
      </c>
      <c r="F11" s="68" t="inlineStr">
        <is>
          <t>Same résumé with different presentation</t>
        </is>
      </c>
      <c r="G11" s="68" t="n">
        <v>45</v>
      </c>
      <c r="H11" s="68" t="inlineStr">
        <is>
          <t>Vetoed</t>
        </is>
      </c>
      <c r="I11" s="69" t="n">
        <v>45</v>
      </c>
      <c r="J11" s="69" t="inlineStr">
        <is>
          <t>Strong</t>
        </is>
      </c>
      <c r="K11" s="69" t="inlineStr">
        <is>
          <t>halo-warm</t>
        </is>
      </c>
      <c r="L11" s="70" t="n"/>
      <c r="M11" s="68">
        <f>IF(L11="","",TEXT(L11,"ddd"))</f>
        <v/>
      </c>
      <c r="N11" s="69" t="inlineStr">
        <is>
          <t>question</t>
        </is>
      </c>
      <c r="O11" s="69" t="n"/>
      <c r="P11" s="69" t="n"/>
      <c r="Q11" s="69" t="inlineStr">
        <is>
          <t>Nisbett, R. E. &amp; Wilson, T. D. (1977). The halo effect: Evidence for unconscious alteration of judgments. JPSP 35(4):250-256 (118 Michigan students; warm vs cold guise of the same Belgian-accented instructor; most warm-condition subjects rated appearance and mannerisms appealing, most cold-condition subjects irritating, accent overwhelmingly irritating when cold; subjects denied liking affected ratings)</t>
        </is>
      </c>
      <c r="R11" s="69" t="n"/>
      <c r="S11" s="71" t="n"/>
      <c r="T11" s="69" t="n"/>
      <c r="U11" s="72">
        <f>IF(OR(T11="",N(O11)=0),"",T11/O11)</f>
        <v/>
      </c>
      <c r="V11" s="69" t="n"/>
      <c r="W11" s="69" t="n"/>
      <c r="X11" s="69" t="n"/>
      <c r="Y11" s="71" t="n"/>
      <c r="Z11" s="69" t="n"/>
      <c r="AA11" s="71" t="n"/>
      <c r="AB11" s="69" t="n"/>
      <c r="AC11" s="73">
        <f>IF(COUNT(S11,Y11,AA11)=0,"",SUM(S11,Y11,AA11))</f>
        <v/>
      </c>
      <c r="AD11" s="72">
        <f>IF(N(AC11)=0,"",SUM(V11,W11,X11,Z11,AB11)/AC11)</f>
        <v/>
      </c>
      <c r="AE11" s="71" t="n"/>
      <c r="AF11" s="71" t="n"/>
      <c r="AG11" s="71" t="n"/>
      <c r="AH11" s="73">
        <f>IF(COUNT(AE11,AF11,AG11)=0,"",SUM(AE11,AF11,AG11))</f>
        <v/>
      </c>
      <c r="AI11" s="71" t="n"/>
      <c r="AJ11" s="71" t="n"/>
      <c r="AK11" s="71" t="n"/>
      <c r="AL11" s="73">
        <f>IF(COUNT(AI11,AJ11,AK11)=0,"",SUM(AI11,AJ11,AK11))</f>
        <v/>
      </c>
      <c r="AM11" s="68">
        <f>IF(N(AC11)=0,"",IF(COUNT($AC$6:$AC$105)&lt;5,"Too early",IF(AC11&gt;=1.5*MEDIAN($AC$6:$AC$105),"Top",IF(AC11&lt;=0.5*MEDIAN($AC$6:$AC$105),"Low","Average"))))</f>
        <v/>
      </c>
      <c r="AN11" s="69" t="inlineStr">
        <is>
          <t>Story Short (2026-10-17). Held from posting until 2026-11-01. | 2026-10-22: replaced by the pattern test (Shivam)</t>
        </is>
      </c>
      <c r="AO11" s="69" t="inlineStr">
        <is>
          <t>riso</t>
        </is>
      </c>
      <c r="AP11" s="74" t="inlineStr">
        <is>
          <t>story</t>
        </is>
      </c>
      <c r="AQ11" s="74" t="inlineStr">
        <is>
          <t>Soft glow editorial: dusk gradient, a literal halo ring that tints everything it touches; slow push-ins.</t>
        </is>
      </c>
      <c r="AR11" s="74" t="inlineStr">
        <is>
          <t>1. Hook: can one good trait change how you see everything else? 2. The same lecturer shown twice: warm and friendly vs cold and strict. 3. The study (Nisbett &amp; Wilson, 1977). 4. The stat: students rated the same looks, accent and mannerisms as appealing only when he was warm - and didn't know why. 5. Why: one impression colours the rest. 6. Takeaway: judge traits one at a time.</t>
        </is>
      </c>
      <c r="AS11" s="74" t="inlineStr">
        <is>
          <t>Dusk violet #2D1B69, peach #FFB38A, gold halo #FFD66B, cream text; Playfair Display headlines, Barlow captions</t>
        </is>
      </c>
      <c r="AT11" s="74" t="inlineStr">
        <is>
          <t>A lecturer (the One More protagonist with glasses), seen twice: warm and cold</t>
        </is>
      </c>
      <c r="AU11" s="74" t="inlineStr">
        <is>
          <t>A chime when the halo appears, a flip between the warm and cold versions, a rising tone on the stat</t>
        </is>
      </c>
      <c r="AV11" s="64" t="inlineStr">
        <is>
          <t>Pattern interrupt</t>
        </is>
      </c>
    </row>
    <row r="12" ht="60" customHeight="1" s="62">
      <c r="A12" s="68" t="n">
        <v>7</v>
      </c>
      <c r="B12" s="68" t="inlineStr">
        <is>
          <t>Cognitive biases</t>
        </is>
      </c>
      <c r="C12" s="68" t="inlineStr">
        <is>
          <t>Hindsight bias</t>
        </is>
      </c>
      <c r="D12" s="68" t="inlineStr">
        <is>
          <t>Why does everything seem obvious afterward?</t>
        </is>
      </c>
      <c r="E12" s="68" t="inlineStr">
        <is>
          <t>Reveal a prediction before and after an outcome.</t>
        </is>
      </c>
      <c r="F12" s="68" t="inlineStr">
        <is>
          <t>Sealed prediction envelope</t>
        </is>
      </c>
      <c r="G12" s="68" t="n">
        <v>45</v>
      </c>
      <c r="H12" s="68" t="inlineStr">
        <is>
          <t>Vetoed</t>
        </is>
      </c>
      <c r="I12" s="69" t="n">
        <v>52</v>
      </c>
      <c r="J12" s="69" t="inlineStr">
        <is>
          <t>Strong</t>
        </is>
      </c>
      <c r="K12" s="69" t="n"/>
      <c r="L12" s="70" t="n"/>
      <c r="M12" s="68">
        <f>IF(L12="","",TEXT(L12,"ddd"))</f>
        <v/>
      </c>
      <c r="N12" s="69" t="n"/>
      <c r="O12" s="69" t="n"/>
      <c r="P12" s="69" t="n"/>
      <c r="Q12" s="69" t="n"/>
      <c r="R12" s="69" t="n"/>
      <c r="S12" s="71" t="n"/>
      <c r="T12" s="69" t="n"/>
      <c r="U12" s="72">
        <f>IF(OR(T12="",N(O12)=0),"",T12/O12)</f>
        <v/>
      </c>
      <c r="V12" s="69" t="n"/>
      <c r="W12" s="69" t="n"/>
      <c r="X12" s="69" t="n"/>
      <c r="Y12" s="71" t="n"/>
      <c r="Z12" s="69" t="n"/>
      <c r="AA12" s="71" t="n"/>
      <c r="AB12" s="69" t="n"/>
      <c r="AC12" s="73">
        <f>IF(COUNT(S12,Y12,AA12)=0,"",SUM(S12,Y12,AA12))</f>
        <v/>
      </c>
      <c r="AD12" s="72">
        <f>IF(N(AC12)=0,"",SUM(V12,W12,X12,Z12,AB12)/AC12)</f>
        <v/>
      </c>
      <c r="AE12" s="71" t="n"/>
      <c r="AF12" s="71" t="n"/>
      <c r="AG12" s="71" t="n"/>
      <c r="AH12" s="73">
        <f>IF(COUNT(AE12,AF12,AG12)=0,"",SUM(AE12,AF12,AG12))</f>
        <v/>
      </c>
      <c r="AI12" s="71" t="n"/>
      <c r="AJ12" s="71" t="n"/>
      <c r="AK12" s="71" t="n"/>
      <c r="AL12" s="73">
        <f>IF(COUNT(AI12,AJ12,AK12)=0,"",SUM(AI12,AJ12,AK12))</f>
        <v/>
      </c>
      <c r="AM12" s="68">
        <f>IF(N(AC12)=0,"",IF(COUNT($AC$6:$AC$105)&lt;5,"Too early",IF(AC12&gt;=1.5*MEDIAN($AC$6:$AC$105),"Top",IF(AC12&lt;=0.5*MEDIAN($AC$6:$AC$105),"Low","Average"))))</f>
        <v/>
      </c>
      <c r="AN12" s="69" t="inlineStr">
        <is>
          <t>2026-10-22: replaced by the pattern test (Shivam)</t>
        </is>
      </c>
      <c r="AO12" s="69" t="inlineStr">
        <is>
          <t>spy-noir</t>
        </is>
      </c>
      <c r="AP12" s="74" t="n"/>
      <c r="AQ12" s="74" t="n"/>
      <c r="AR12" s="74" t="n"/>
      <c r="AS12" s="74" t="n"/>
      <c r="AT12" s="74" t="n"/>
      <c r="AU12" s="74" t="n"/>
      <c r="AV12" s="64" t="inlineStr">
        <is>
          <t>You-callout</t>
        </is>
      </c>
    </row>
    <row r="13" ht="60" customHeight="1" s="62">
      <c r="A13" s="68" t="n">
        <v>8</v>
      </c>
      <c r="B13" s="68" t="inlineStr">
        <is>
          <t>Cognitive biases</t>
        </is>
      </c>
      <c r="C13" s="68" t="inlineStr">
        <is>
          <t>Framing effects</t>
        </is>
      </c>
      <c r="D13" s="68" t="inlineStr">
        <is>
          <t>Would you choose differently if the wording changed?</t>
        </is>
      </c>
      <c r="E13" s="68" t="inlineStr">
        <is>
          <t>Present equivalent outcomes as gains and losses.</t>
        </is>
      </c>
      <c r="F13" s="68" t="inlineStr">
        <is>
          <t>Matching percentage cards</t>
        </is>
      </c>
      <c r="G13" s="68" t="n">
        <v>45</v>
      </c>
      <c r="H13" s="68" t="inlineStr">
        <is>
          <t>Vetoed</t>
        </is>
      </c>
      <c r="I13" s="69" t="n">
        <v>58</v>
      </c>
      <c r="J13" s="69" t="inlineStr">
        <is>
          <t>Strong</t>
        </is>
      </c>
      <c r="K13" s="69" t="n"/>
      <c r="L13" s="70" t="n"/>
      <c r="M13" s="68">
        <f>IF(L13="","",TEXT(L13,"ddd"))</f>
        <v/>
      </c>
      <c r="N13" s="69" t="n"/>
      <c r="O13" s="69" t="n"/>
      <c r="P13" s="69" t="n"/>
      <c r="Q13" s="69" t="n"/>
      <c r="R13" s="69" t="n"/>
      <c r="S13" s="71" t="n"/>
      <c r="T13" s="69" t="n"/>
      <c r="U13" s="72">
        <f>IF(OR(T13="",N(O13)=0),"",T13/O13)</f>
        <v/>
      </c>
      <c r="V13" s="69" t="n"/>
      <c r="W13" s="69" t="n"/>
      <c r="X13" s="69" t="n"/>
      <c r="Y13" s="71" t="n"/>
      <c r="Z13" s="69" t="n"/>
      <c r="AA13" s="71" t="n"/>
      <c r="AB13" s="69" t="n"/>
      <c r="AC13" s="73">
        <f>IF(COUNT(S13,Y13,AA13)=0,"",SUM(S13,Y13,AA13))</f>
        <v/>
      </c>
      <c r="AD13" s="72">
        <f>IF(N(AC13)=0,"",SUM(V13,W13,X13,Z13,AB13)/AC13)</f>
        <v/>
      </c>
      <c r="AE13" s="71" t="n"/>
      <c r="AF13" s="71" t="n"/>
      <c r="AG13" s="71" t="n"/>
      <c r="AH13" s="73">
        <f>IF(COUNT(AE13,AF13,AG13)=0,"",SUM(AE13,AF13,AG13))</f>
        <v/>
      </c>
      <c r="AI13" s="71" t="n"/>
      <c r="AJ13" s="71" t="n"/>
      <c r="AK13" s="71" t="n"/>
      <c r="AL13" s="73">
        <f>IF(COUNT(AI13,AJ13,AK13)=0,"",SUM(AI13,AJ13,AK13))</f>
        <v/>
      </c>
      <c r="AM13" s="68">
        <f>IF(N(AC13)=0,"",IF(COUNT($AC$6:$AC$105)&lt;5,"Too early",IF(AC13&gt;=1.5*MEDIAN($AC$6:$AC$105),"Top",IF(AC13&lt;=0.5*MEDIAN($AC$6:$AC$105),"Low","Average"))))</f>
        <v/>
      </c>
      <c r="AN13" s="69" t="inlineStr">
        <is>
          <t>2026-10-22: replaced by the pattern test (Shivam)</t>
        </is>
      </c>
      <c r="AO13" s="69" t="inlineStr">
        <is>
          <t>swiss</t>
        </is>
      </c>
      <c r="AP13" s="74" t="n"/>
      <c r="AQ13" s="74" t="n"/>
      <c r="AR13" s="74" t="n"/>
      <c r="AS13" s="74" t="n"/>
      <c r="AT13" s="74" t="n"/>
      <c r="AU13" s="74" t="n"/>
      <c r="AV13" s="64" t="inlineStr">
        <is>
          <t>Forced choice</t>
        </is>
      </c>
    </row>
    <row r="14" ht="60" customHeight="1" s="62">
      <c r="A14" s="68" t="n">
        <v>9</v>
      </c>
      <c r="B14" s="68" t="inlineStr">
        <is>
          <t>Cognitive biases</t>
        </is>
      </c>
      <c r="C14" s="68" t="inlineStr">
        <is>
          <t>The default effect</t>
        </is>
      </c>
      <c r="D14" s="68" t="inlineStr">
        <is>
          <t>Did you choose it, or was it already selected?</t>
        </is>
      </c>
      <c r="E14" s="68" t="inlineStr">
        <is>
          <t>Compare an opt-in form with a preselected option.</t>
        </is>
      </c>
      <c r="F14" s="68" t="inlineStr">
        <is>
          <t>Mock settings screen</t>
        </is>
      </c>
      <c r="G14" s="68" t="n">
        <v>45</v>
      </c>
      <c r="H14" s="68" t="inlineStr">
        <is>
          <t>Vetoed</t>
        </is>
      </c>
      <c r="I14" s="69" t="n">
        <v>64</v>
      </c>
      <c r="J14" s="69" t="inlineStr">
        <is>
          <t>Strong</t>
        </is>
      </c>
      <c r="K14" s="69" t="inlineStr">
        <is>
          <t>default-effect</t>
        </is>
      </c>
      <c r="L14" s="70" t="n"/>
      <c r="M14" s="68">
        <f>IF(L14="","",TEXT(L14,"ddd"))</f>
        <v/>
      </c>
      <c r="N14" s="69" t="inlineStr">
        <is>
          <t>Study reveal</t>
        </is>
      </c>
      <c r="O14" s="69" t="n"/>
      <c r="P14" s="69" t="n"/>
      <c r="Q14" s="69" t="inlineStr">
        <is>
          <t>Johnson &amp; Goldstein 2003, Science 'Do Defaults Save Lives?': Austria 99.98% vs Germany 12% (Columbia Business School release)</t>
        </is>
      </c>
      <c r="R14" s="69" t="n"/>
      <c r="S14" s="71" t="n"/>
      <c r="T14" s="69" t="n"/>
      <c r="U14" s="72">
        <f>IF(OR(T14="",N(O14)=0),"",T14/O14)</f>
        <v/>
      </c>
      <c r="V14" s="69" t="n"/>
      <c r="W14" s="69" t="n"/>
      <c r="X14" s="69" t="n"/>
      <c r="Y14" s="71" t="n"/>
      <c r="Z14" s="69" t="n"/>
      <c r="AA14" s="71" t="n"/>
      <c r="AB14" s="69" t="n"/>
      <c r="AC14" s="73">
        <f>IF(COUNT(S14,Y14,AA14)=0,"",SUM(S14,Y14,AA14))</f>
        <v/>
      </c>
      <c r="AD14" s="72">
        <f>IF(N(AC14)=0,"",SUM(V14,W14,X14,Z14,AB14)/AC14)</f>
        <v/>
      </c>
      <c r="AE14" s="71" t="n"/>
      <c r="AF14" s="71" t="n"/>
      <c r="AG14" s="71" t="n"/>
      <c r="AH14" s="73">
        <f>IF(COUNT(AE14,AF14,AG14)=0,"",SUM(AE14,AF14,AG14))</f>
        <v/>
      </c>
      <c r="AI14" s="71" t="n"/>
      <c r="AJ14" s="71" t="n"/>
      <c r="AK14" s="71" t="n"/>
      <c r="AL14" s="73">
        <f>IF(COUNT(AI14,AJ14,AK14)=0,"",SUM(AI14,AJ14,AK14))</f>
        <v/>
      </c>
      <c r="AM14" s="68">
        <f>IF(N(AC14)=0,"",IF(COUNT($AC$6:$AC$105)&lt;5,"Too early",IF(AC14&gt;=1.5*MEDIAN($AC$6:$AC$105),"Top",IF(AC14&lt;=0.5*MEDIAN($AC$6:$AC$105),"Low","Average"))))</f>
        <v/>
      </c>
      <c r="AN14" s="69" t="inlineStr">
        <is>
          <t>2026-10-22: replaced by the pattern test (Shivam)</t>
        </is>
      </c>
      <c r="AO14" s="69" t="inlineStr">
        <is>
          <t>keynote</t>
        </is>
      </c>
      <c r="AP14" s="74" t="inlineStr">
        <is>
          <t>story</t>
        </is>
      </c>
      <c r="AQ14" s="74" t="inlineStr">
        <is>
          <t>Minimal Swiss: white grid, black type, one red accent, a giant checkbox, crisp sliding panels and bar charts.</t>
        </is>
      </c>
      <c r="AR14" s="74" t="inlineStr">
        <is>
          <t>1. Hook: a form with a box already ticked - did you choose it? 2. Two countries' donor forms side by side: opt in vs opt out. 3. The study (Johnson &amp; Goldstein, 2003). 4. The stat: consent bars - low where you must opt in, near 100% where you must opt out. 5. Why: doing nothing is easiest and feels recommended. 6. Takeaway: check what's pre-selected, and set good defaults for yourself.</t>
        </is>
      </c>
      <c r="AS14" s="74" t="inlineStr">
        <is>
          <t>White, black #111111, red #E30613; Inter Tight headlines, Inter captions</t>
        </is>
      </c>
      <c r="AT14" s="74" t="inlineStr">
        <is>
          <t>None - objects only (forms, checkboxes, a pen)</t>
        </is>
      </c>
      <c r="AU14" s="74" t="inlineStr">
        <is>
          <t>Toggle click on the checkbox, pen tick, card slides, a settle when the bars stop</t>
        </is>
      </c>
      <c r="AV14" s="64" t="inlineStr">
        <is>
          <t>Study reveal</t>
        </is>
      </c>
    </row>
    <row r="15" ht="60" customHeight="1" s="62">
      <c r="A15" s="68" t="n">
        <v>10</v>
      </c>
      <c r="B15" s="68" t="inlineStr">
        <is>
          <t>Cognitive biases</t>
        </is>
      </c>
      <c r="C15" s="68" t="inlineStr">
        <is>
          <t>The fundamental attribution error</t>
        </is>
      </c>
      <c r="D15" s="68" t="inlineStr">
        <is>
          <t>Why is their mistake a personality flaw, but yours has a reason?</t>
        </is>
      </c>
      <c r="E15" s="68" t="inlineStr">
        <is>
          <t>Compare explanations for your lateness and someone else's.</t>
        </is>
      </c>
      <c r="F15" s="68" t="inlineStr">
        <is>
          <t>Two late arrivals</t>
        </is>
      </c>
      <c r="G15" s="68" t="n">
        <v>45</v>
      </c>
      <c r="H15" s="68" t="inlineStr">
        <is>
          <t>Vetoed</t>
        </is>
      </c>
      <c r="I15" s="69" t="n">
        <v>69</v>
      </c>
      <c r="J15" s="69" t="inlineStr">
        <is>
          <t>Strong</t>
        </is>
      </c>
      <c r="K15" s="69" t="n"/>
      <c r="L15" s="70" t="n"/>
      <c r="M15" s="68">
        <f>IF(L15="","",TEXT(L15,"ddd"))</f>
        <v/>
      </c>
      <c r="N15" s="69" t="n"/>
      <c r="O15" s="69" t="n"/>
      <c r="P15" s="69" t="n"/>
      <c r="Q15" s="69" t="n"/>
      <c r="R15" s="69" t="n"/>
      <c r="S15" s="71" t="n"/>
      <c r="T15" s="69" t="n"/>
      <c r="U15" s="72">
        <f>IF(OR(T15="",N(O15)=0),"",T15/O15)</f>
        <v/>
      </c>
      <c r="V15" s="69" t="n"/>
      <c r="W15" s="69" t="n"/>
      <c r="X15" s="69" t="n"/>
      <c r="Y15" s="71" t="n"/>
      <c r="Z15" s="69" t="n"/>
      <c r="AA15" s="71" t="n"/>
      <c r="AB15" s="69" t="n"/>
      <c r="AC15" s="73">
        <f>IF(COUNT(S15,Y15,AA15)=0,"",SUM(S15,Y15,AA15))</f>
        <v/>
      </c>
      <c r="AD15" s="72">
        <f>IF(N(AC15)=0,"",SUM(V15,W15,X15,Z15,AB15)/AC15)</f>
        <v/>
      </c>
      <c r="AE15" s="71" t="n"/>
      <c r="AF15" s="71" t="n"/>
      <c r="AG15" s="71" t="n"/>
      <c r="AH15" s="73">
        <f>IF(COUNT(AE15,AF15,AG15)=0,"",SUM(AE15,AF15,AG15))</f>
        <v/>
      </c>
      <c r="AI15" s="71" t="n"/>
      <c r="AJ15" s="71" t="n"/>
      <c r="AK15" s="71" t="n"/>
      <c r="AL15" s="73">
        <f>IF(COUNT(AI15,AJ15,AK15)=0,"",SUM(AI15,AJ15,AK15))</f>
        <v/>
      </c>
      <c r="AM15" s="68">
        <f>IF(N(AC15)=0,"",IF(COUNT($AC$6:$AC$105)&lt;5,"Too early",IF(AC15&gt;=1.5*MEDIAN($AC$6:$AC$105),"Top",IF(AC15&lt;=0.5*MEDIAN($AC$6:$AC$105),"Low","Average"))))</f>
        <v/>
      </c>
      <c r="AN15" s="69" t="inlineStr">
        <is>
          <t>2026-10-22: replaced by the pattern test (Shivam)</t>
        </is>
      </c>
      <c r="AO15" s="69" t="inlineStr">
        <is>
          <t>dossier</t>
        </is>
      </c>
      <c r="AP15" s="74" t="n"/>
      <c r="AQ15" s="74" t="n"/>
      <c r="AR15" s="74" t="n"/>
      <c r="AS15" s="74" t="n"/>
      <c r="AT15" s="74" t="n"/>
      <c r="AU15" s="74" t="n"/>
      <c r="AV15" s="64" t="inlineStr">
        <is>
          <t>You-callout</t>
        </is>
      </c>
    </row>
    <row r="16" ht="60" customHeight="1" s="62">
      <c r="A16" s="68" t="n">
        <v>11</v>
      </c>
      <c r="B16" s="68" t="inlineStr">
        <is>
          <t>Memory and learning</t>
        </is>
      </c>
      <c r="C16" s="68" t="inlineStr">
        <is>
          <t>Recognition versus recall</t>
        </is>
      </c>
      <c r="D16" s="68" t="inlineStr">
        <is>
          <t>Recognizing the answer isn't the same as knowing it.</t>
        </is>
      </c>
      <c r="E16" s="68" t="inlineStr">
        <is>
          <t>Compare multiple choice with explaining from a blank page.</t>
        </is>
      </c>
      <c r="F16" s="68" t="inlineStr">
        <is>
          <t>Quiz cards</t>
        </is>
      </c>
      <c r="G16" s="68" t="n">
        <v>45</v>
      </c>
      <c r="H16" s="68" t="inlineStr">
        <is>
          <t>Published</t>
        </is>
      </c>
      <c r="I16" s="69" t="n">
        <v>2</v>
      </c>
      <c r="J16" s="69" t="inlineStr">
        <is>
          <t>Strong</t>
        </is>
      </c>
      <c r="K16" s="69" t="inlineStr">
        <is>
          <t>recognition-vs-recall</t>
        </is>
      </c>
      <c r="L16" s="70" t="n">
        <v>46307</v>
      </c>
      <c r="M16" s="68">
        <f>IF(L16="","",TEXT(L16,"ddd"))</f>
        <v/>
      </c>
      <c r="N16" s="69" t="inlineStr">
        <is>
          <t>thoughts</t>
        </is>
      </c>
      <c r="O16" s="69" t="n">
        <v>35</v>
      </c>
      <c r="P16" s="69" t="inlineStr">
        <is>
          <t>Why You Recognize Answers You Can't Remember #shorts</t>
        </is>
      </c>
      <c r="Q16" s="69" t="inlineStr">
        <is>
          <t>Bahrick, Bahrick &amp; Wittlinger 1975, J Exp Psych: General 104(1):54-75 (ERIC EJ113581); 90% recognition over ~15 yrs and steady free-recall decline per Conway, Cohen &amp; Stanhope 1991 review + Simply Psychology. Recall % left out (secondary sources disagree).</t>
        </is>
      </c>
      <c r="R16" s="69" t="inlineStr">
        <is>
          <t>3390233992092010605</t>
        </is>
      </c>
      <c r="S16" s="71" t="n"/>
      <c r="T16" s="69" t="n"/>
      <c r="U16" s="72">
        <f>IF(OR(T16="",N(O16)=0),"",T16/O16)</f>
        <v/>
      </c>
      <c r="V16" s="69" t="n"/>
      <c r="W16" s="69" t="n"/>
      <c r="X16" s="69" t="n"/>
      <c r="Y16" s="71" t="n"/>
      <c r="Z16" s="69" t="n"/>
      <c r="AA16" s="71" t="n"/>
      <c r="AB16" s="69" t="n"/>
      <c r="AC16" s="73">
        <f>IF(COUNT(S16,Y16,AA16)=0,"",SUM(S16,Y16,AA16))</f>
        <v/>
      </c>
      <c r="AD16" s="72">
        <f>IF(N(AC16)=0,"",SUM(V16,W16,X16,Z16,AB16)/AC16)</f>
        <v/>
      </c>
      <c r="AE16" s="71" t="n"/>
      <c r="AF16" s="71" t="n"/>
      <c r="AG16" s="71" t="n"/>
      <c r="AH16" s="73">
        <f>IF(COUNT(AE16,AF16,AG16)=0,"",SUM(AE16,AF16,AG16))</f>
        <v/>
      </c>
      <c r="AI16" s="71" t="n"/>
      <c r="AJ16" s="71" t="n"/>
      <c r="AK16" s="71" t="n"/>
      <c r="AL16" s="73">
        <f>IF(COUNT(AI16,AJ16,AK16)=0,"",SUM(AI16,AJ16,AK16))</f>
        <v/>
      </c>
      <c r="AM16" s="68">
        <f>IF(N(AC16)=0,"",IF(COUNT($AC$6:$AC$105)&lt;5,"Too early",IF(AC16&gt;=1.5*MEDIAN($AC$6:$AC$105),"Top",IF(AC16&lt;=0.5*MEDIAN($AC$6:$AC$105),"Low","Average"))))</f>
        <v/>
      </c>
      <c r="AN16" s="69" t="inlineStr">
        <is>
          <t>Metricool confirms published 2026-10-12 on YouTube, Instagram and TikTok (Status still Scheduled; left for the workflow/Shivam). Per-video stats not in Metricool yet.</t>
        </is>
      </c>
      <c r="AO16" s="69" t="inlineStr">
        <is>
          <t>pixel-lab</t>
        </is>
      </c>
      <c r="AP16" s="74" t="n"/>
      <c r="AQ16" s="74" t="n"/>
      <c r="AR16" s="74" t="n"/>
      <c r="AS16" s="74" t="n"/>
      <c r="AT16" s="74" t="n"/>
      <c r="AU16" s="74" t="n"/>
      <c r="AV16" s="64" t="inlineStr">
        <is>
          <t>Contrarian</t>
        </is>
      </c>
    </row>
    <row r="17" ht="60" customHeight="1" s="62">
      <c r="A17" s="68" t="n">
        <v>12</v>
      </c>
      <c r="B17" s="68" t="inlineStr">
        <is>
          <t>Memory and learning</t>
        </is>
      </c>
      <c r="C17" s="68" t="inlineStr">
        <is>
          <t>The testing effect</t>
        </is>
      </c>
      <c r="D17" s="68" t="inlineStr">
        <is>
          <t>Can a mini quiz help more than another reread?</t>
        </is>
      </c>
      <c r="E17" s="68" t="inlineStr">
        <is>
          <t>Show a study session with retrieval and later checking.</t>
        </is>
      </c>
      <c r="F17" s="68" t="inlineStr">
        <is>
          <t>Notebook closed then reopened</t>
        </is>
      </c>
      <c r="G17" s="68" t="n">
        <v>45</v>
      </c>
      <c r="H17" s="68" t="inlineStr">
        <is>
          <t>Vetoed</t>
        </is>
      </c>
      <c r="I17" s="69" t="n">
        <v>12</v>
      </c>
      <c r="J17" s="69" t="inlineStr">
        <is>
          <t>Strong</t>
        </is>
      </c>
      <c r="K17" s="69" t="inlineStr">
        <is>
          <t>testing-effect</t>
        </is>
      </c>
      <c r="L17" s="70" t="n">
        <v>46310</v>
      </c>
      <c r="M17" s="68">
        <f>IF(L17="","",TEXT(L17,"ddd"))</f>
        <v/>
      </c>
      <c r="N17" s="69" t="inlineStr">
        <is>
          <t>thoughts</t>
        </is>
      </c>
      <c r="O17" s="69" t="n">
        <v>28</v>
      </c>
      <c r="P17" s="69" t="inlineStr">
        <is>
          <t>Stop Rereading. Do This Instead. #shorts</t>
        </is>
      </c>
      <c r="Q17" s="69" t="inlineStr">
        <is>
          <t>Roediger &amp; Karpicke 2006, Psychological Science 17(3):249-255, Exp 2: 61% (STTT) vs 40% (SSSS) after one week (WashU news)</t>
        </is>
      </c>
      <c r="R17" s="69" t="inlineStr">
        <is>
          <t>buffer:youtube=6acfed31102b7fd4a48ef6cc;instagram=6acfed31ad454aea56cdfb2b;tiktok=6acfed3268efdf6f76c436db</t>
        </is>
      </c>
      <c r="S17" s="71" t="n"/>
      <c r="T17" s="69" t="n"/>
      <c r="U17" s="72">
        <f>IF(OR(T17="",N(O17)=0),"",T17/O17)</f>
        <v/>
      </c>
      <c r="V17" s="69" t="n"/>
      <c r="W17" s="69" t="n"/>
      <c r="X17" s="69" t="n"/>
      <c r="Y17" s="71" t="n"/>
      <c r="Z17" s="69" t="n"/>
      <c r="AA17" s="71" t="n"/>
      <c r="AB17" s="69" t="n"/>
      <c r="AC17" s="73">
        <f>IF(COUNT(S17,Y17,AA17)=0,"",SUM(S17,Y17,AA17))</f>
        <v/>
      </c>
      <c r="AD17" s="72">
        <f>IF(N(AC17)=0,"",SUM(V17,W17,X17,Z17,AB17)/AC17)</f>
        <v/>
      </c>
      <c r="AE17" s="71" t="n"/>
      <c r="AF17" s="71" t="n"/>
      <c r="AG17" s="71" t="n"/>
      <c r="AH17" s="73">
        <f>IF(COUNT(AE17,AF17,AG17)=0,"",SUM(AE17,AF17,AG17))</f>
        <v/>
      </c>
      <c r="AI17" s="71" t="n"/>
      <c r="AJ17" s="71" t="n"/>
      <c r="AK17" s="71" t="n"/>
      <c r="AL17" s="73">
        <f>IF(COUNT(AI17,AJ17,AK17)=0,"",SUM(AI17,AJ17,AK17))</f>
        <v/>
      </c>
      <c r="AM17" s="68">
        <f>IF(N(AC17)=0,"",IF(COUNT($AC$6:$AC$105)&lt;5,"Too early",IF(AC17&gt;=1.5*MEDIAN($AC$6:$AC$105),"Top",IF(AC17&lt;=0.5*MEDIAN($AC$6:$AC$105),"Low","Average"))))</f>
        <v/>
      </c>
      <c r="AN17" s="69" t="inlineStr">
        <is>
          <t>Cancelled in Buffer 2026-10-15 before posting: Shivam retired the 8-bit avatar format (Ted type 2 only)</t>
        </is>
      </c>
      <c r="AO17" s="69" t="inlineStr">
        <is>
          <t>whiteboard</t>
        </is>
      </c>
      <c r="AP17" s="74" t="n"/>
      <c r="AQ17" s="74" t="n"/>
      <c r="AR17" s="74" t="n"/>
      <c r="AS17" s="74" t="n"/>
      <c r="AT17" s="74" t="n"/>
      <c r="AU17" s="74" t="n"/>
      <c r="AV17" s="64" t="inlineStr">
        <is>
          <t>Study reveal</t>
        </is>
      </c>
    </row>
    <row r="18" ht="60" customHeight="1" s="62">
      <c r="A18" s="68" t="n">
        <v>13</v>
      </c>
      <c r="B18" s="68" t="inlineStr">
        <is>
          <t>Memory and learning</t>
        </is>
      </c>
      <c r="C18" s="68" t="inlineStr">
        <is>
          <t>Spacing your practice</t>
        </is>
      </c>
      <c r="D18" s="68" t="inlineStr">
        <is>
          <t>What happens when studying is spread across the week?</t>
        </is>
      </c>
      <c r="E18" s="68" t="inlineStr">
        <is>
          <t>Compare spaced sessions with one long cram session.</t>
        </is>
      </c>
      <c r="F18" s="68" t="inlineStr">
        <is>
          <t>Two study calendars</t>
        </is>
      </c>
      <c r="G18" s="68" t="n">
        <v>45</v>
      </c>
      <c r="H18" s="68" t="inlineStr">
        <is>
          <t>Published</t>
        </is>
      </c>
      <c r="I18" s="69" t="n">
        <v>22</v>
      </c>
      <c r="J18" s="69" t="inlineStr">
        <is>
          <t>Strong</t>
        </is>
      </c>
      <c r="K18" s="69" t="inlineStr">
        <is>
          <t>spacing-effect</t>
        </is>
      </c>
      <c r="L18" s="70" t="n">
        <v>46312</v>
      </c>
      <c r="M18" s="68">
        <f>IF(L18="","",TEXT(L18,"ddd"))</f>
        <v/>
      </c>
      <c r="N18" s="69" t="n"/>
      <c r="O18" s="69" t="n">
        <v>34</v>
      </c>
      <c r="P18" s="69" t="inlineStr">
        <is>
          <t>Why Cramming Loses to This Simple Schedule #shorts</t>
        </is>
      </c>
      <c r="Q18" s="69" t="inlineStr">
        <is>
          <t>Cepeda et al. 2006, Psychological Bulletin 132(3):354-380; 317 experiments/184 articles, spaced &gt; massed recall</t>
        </is>
      </c>
      <c r="R18" s="69" t="inlineStr">
        <is>
          <t>buffer:youtube=6ad27dfc346e510ac44f4f11;tiktok=6ad27dfd5720e82b418e1add;instagram=6addab04bd33ce99c35d20e4</t>
        </is>
      </c>
      <c r="S18" s="71" t="n"/>
      <c r="T18" s="69" t="n"/>
      <c r="U18" s="72">
        <f>IF(OR(T18="",N(O18)=0),"",T18/O18)</f>
        <v/>
      </c>
      <c r="V18" s="69" t="n"/>
      <c r="W18" s="69" t="n"/>
      <c r="X18" s="69" t="n"/>
      <c r="Y18" s="71" t="n"/>
      <c r="Z18" s="69" t="n"/>
      <c r="AA18" s="71" t="n"/>
      <c r="AB18" s="69" t="n"/>
      <c r="AC18" s="73">
        <f>IF(COUNT(S18,Y18,AA18)=0,"",SUM(S18,Y18,AA18))</f>
        <v/>
      </c>
      <c r="AD18" s="72">
        <f>IF(N(AC18)=0,"",SUM(V18,W18,X18,Z18,AB18)/AC18)</f>
        <v/>
      </c>
      <c r="AE18" s="71" t="n"/>
      <c r="AF18" s="71" t="n"/>
      <c r="AG18" s="71" t="n"/>
      <c r="AH18" s="73">
        <f>IF(COUNT(AE18,AF18,AG18)=0,"",SUM(AE18,AF18,AG18))</f>
        <v/>
      </c>
      <c r="AI18" s="71" t="n"/>
      <c r="AJ18" s="71" t="n"/>
      <c r="AK18" s="71" t="n"/>
      <c r="AL18" s="73">
        <f>IF(COUNT(AI18,AJ18,AK18)=0,"",SUM(AI18,AJ18,AK18))</f>
        <v/>
      </c>
      <c r="AM18" s="68">
        <f>IF(N(AC18)=0,"",IF(COUNT($AC$6:$AC$105)&lt;5,"Too early",IF(AC18&gt;=1.5*MEDIAN($AC$6:$AC$105),"Top",IF(AC18&lt;=0.5*MEDIAN($AC$6:$AC$105),"Low","Average"))))</f>
        <v/>
      </c>
      <c r="AN18" s="69" t="n"/>
      <c r="AO18" s="69" t="inlineStr">
        <is>
          <t>ted2</t>
        </is>
      </c>
      <c r="AP18" s="74" t="n"/>
      <c r="AQ18" s="74" t="n"/>
      <c r="AR18" s="74" t="n"/>
      <c r="AS18" s="74" t="n"/>
      <c r="AT18" s="74" t="n"/>
      <c r="AU18" s="74" t="n"/>
      <c r="AV18" s="64" t="inlineStr">
        <is>
          <t>Forced choice</t>
        </is>
      </c>
    </row>
    <row r="19" ht="60" customHeight="1" s="62">
      <c r="A19" s="68" t="n">
        <v>14</v>
      </c>
      <c r="B19" s="68" t="inlineStr">
        <is>
          <t>Memory and learning</t>
        </is>
      </c>
      <c r="C19" s="68" t="inlineStr">
        <is>
          <t>Interleaving practice</t>
        </is>
      </c>
      <c r="D19" s="68" t="inlineStr">
        <is>
          <t>Why mix problem types while studying?</t>
        </is>
      </c>
      <c r="E19" s="68" t="inlineStr">
        <is>
          <t>Show choosing a method rather than repeating one method.</t>
        </is>
      </c>
      <c r="F19" s="68" t="inlineStr">
        <is>
          <t>Shuffled problem cards</t>
        </is>
      </c>
      <c r="G19" s="68" t="n">
        <v>45</v>
      </c>
      <c r="H19" s="68" t="inlineStr">
        <is>
          <t>Published</t>
        </is>
      </c>
      <c r="I19" s="69" t="n">
        <v>31</v>
      </c>
      <c r="J19" s="69" t="inlineStr">
        <is>
          <t>Strong</t>
        </is>
      </c>
      <c r="K19" s="69" t="inlineStr">
        <is>
          <t>interleaving</t>
        </is>
      </c>
      <c r="L19" s="70" t="n">
        <v>46315</v>
      </c>
      <c r="M19" s="68">
        <f>IF(L19="","",TEXT(L19,"ddd"))</f>
        <v/>
      </c>
      <c r="N19" s="69" t="n"/>
      <c r="O19" s="69" t="n">
        <v>37</v>
      </c>
      <c r="P19" s="69" t="inlineStr">
        <is>
          <t>The Study Trick That Looks Worse but Wins a Week Later #shorts</t>
        </is>
      </c>
      <c r="Q19" s="69" t="inlineStr">
        <is>
          <t>Rohrer &amp; Taylor 2007, Instructional Science 35:481-498; practice 89% blocked vs 60% mixed; test 1 wk later 63% mixed vs 20% blocked</t>
        </is>
      </c>
      <c r="R19" s="69" t="inlineStr">
        <is>
          <t>buffer:youtube=6ad6883a4d4b435031506c2c;instagram=6ad6883a46c9e2453ba0b1e9;tiktok=6ad6883b7b002f7cbe4fb96a</t>
        </is>
      </c>
      <c r="S19" s="71" t="n"/>
      <c r="T19" s="69" t="n"/>
      <c r="U19" s="72">
        <f>IF(OR(T19="",N(O19)=0),"",T19/O19)</f>
        <v/>
      </c>
      <c r="V19" s="69" t="n"/>
      <c r="W19" s="69" t="n"/>
      <c r="X19" s="69" t="n"/>
      <c r="Y19" s="71" t="n"/>
      <c r="Z19" s="69" t="n"/>
      <c r="AA19" s="71" t="n"/>
      <c r="AB19" s="69" t="n"/>
      <c r="AC19" s="73">
        <f>IF(COUNT(S19,Y19,AA19)=0,"",SUM(S19,Y19,AA19))</f>
        <v/>
      </c>
      <c r="AD19" s="72">
        <f>IF(N(AC19)=0,"",SUM(V19,W19,X19,Z19,AB19)/AC19)</f>
        <v/>
      </c>
      <c r="AE19" s="71" t="n"/>
      <c r="AF19" s="71" t="n"/>
      <c r="AG19" s="71" t="n"/>
      <c r="AH19" s="73">
        <f>IF(COUNT(AE19,AF19,AG19)=0,"",SUM(AE19,AF19,AG19))</f>
        <v/>
      </c>
      <c r="AI19" s="71" t="n"/>
      <c r="AJ19" s="71" t="n"/>
      <c r="AK19" s="71" t="n"/>
      <c r="AL19" s="73">
        <f>IF(COUNT(AI19,AJ19,AK19)=0,"",SUM(AI19,AJ19,AK19))</f>
        <v/>
      </c>
      <c r="AM19" s="68">
        <f>IF(N(AC19)=0,"",IF(COUNT($AC$6:$AC$105)&lt;5,"Too early",IF(AC19&gt;=1.5*MEDIAN($AC$6:$AC$105),"Top",IF(AC19&lt;=0.5*MEDIAN($AC$6:$AC$105),"Low","Average"))))</f>
        <v/>
      </c>
      <c r="AN19" s="69" t="n"/>
      <c r="AO19" s="69" t="inlineStr">
        <is>
          <t>ted2</t>
        </is>
      </c>
      <c r="AP19" s="74" t="n"/>
      <c r="AQ19" s="74" t="n"/>
      <c r="AR19" s="74" t="n"/>
      <c r="AS19" s="74" t="n"/>
      <c r="AT19" s="74" t="n"/>
      <c r="AU19" s="74" t="n"/>
      <c r="AV19" s="64" t="inlineStr">
        <is>
          <t>Study reveal</t>
        </is>
      </c>
    </row>
    <row r="20" ht="60" customHeight="1" s="62">
      <c r="A20" s="68" t="n">
        <v>15</v>
      </c>
      <c r="B20" s="68" t="inlineStr">
        <is>
          <t>Memory and learning</t>
        </is>
      </c>
      <c r="C20" s="68" t="inlineStr">
        <is>
          <t>Memory is reconstructive</t>
        </is>
      </c>
      <c r="D20" s="68" t="inlineStr">
        <is>
          <t>Can two honest people remember the same event differently?</t>
        </is>
      </c>
      <c r="E20" s="68" t="inlineStr">
        <is>
          <t>Show how recall can rebuild details rather than replay video.</t>
        </is>
      </c>
      <c r="F20" s="68" t="inlineStr">
        <is>
          <t>Two drawings of one scene</t>
        </is>
      </c>
      <c r="G20" s="68" t="n">
        <v>45</v>
      </c>
      <c r="H20" s="68" t="inlineStr">
        <is>
          <t>Published</t>
        </is>
      </c>
      <c r="I20" s="69" t="n">
        <v>39</v>
      </c>
      <c r="J20" s="69" t="inlineStr">
        <is>
          <t>Strong</t>
        </is>
      </c>
      <c r="K20" s="69" t="inlineStr">
        <is>
          <t>memory-rebuilds</t>
        </is>
      </c>
      <c r="L20" s="70" t="n">
        <v>46317</v>
      </c>
      <c r="M20" s="68">
        <f>IF(L20="","",TEXT(L20,"ddd"))</f>
        <v/>
      </c>
      <c r="N20" s="69" t="n"/>
      <c r="O20" s="69" t="n">
        <v>39</v>
      </c>
      <c r="P20" s="69" t="inlineStr">
        <is>
          <t>Two Honest People, Two Different Memories #shorts</t>
        </is>
      </c>
      <c r="Q20" s="69" t="inlineStr">
        <is>
          <t>Loftus &amp; Palmer 1974, JVLVB 13(5):585-589; smashed 40.5 mph vs hit 34.0; broken glass 32% vs 14%</t>
        </is>
      </c>
      <c r="R20" s="69" t="inlineStr">
        <is>
          <t>buffer:youtube=6ad95bdf1093844846d4656b;instagram=6ad95be0b086d40f57280748;tiktok=6ad95be0b086d40f5728077b</t>
        </is>
      </c>
      <c r="S20" s="71" t="n"/>
      <c r="T20" s="69" t="n"/>
      <c r="U20" s="72">
        <f>IF(OR(T20="",N(O20)=0),"",T20/O20)</f>
        <v/>
      </c>
      <c r="V20" s="69" t="n"/>
      <c r="W20" s="69" t="n"/>
      <c r="X20" s="69" t="n"/>
      <c r="Y20" s="71" t="n"/>
      <c r="Z20" s="69" t="n"/>
      <c r="AA20" s="71" t="n"/>
      <c r="AB20" s="69" t="n"/>
      <c r="AC20" s="73">
        <f>IF(COUNT(S20,Y20,AA20)=0,"",SUM(S20,Y20,AA20))</f>
        <v/>
      </c>
      <c r="AD20" s="72">
        <f>IF(N(AC20)=0,"",SUM(V20,W20,X20,Z20,AB20)/AC20)</f>
        <v/>
      </c>
      <c r="AE20" s="71" t="n"/>
      <c r="AF20" s="71" t="n"/>
      <c r="AG20" s="71" t="n"/>
      <c r="AH20" s="73">
        <f>IF(COUNT(AE20,AF20,AG20)=0,"",SUM(AE20,AF20,AG20))</f>
        <v/>
      </c>
      <c r="AI20" s="71" t="n"/>
      <c r="AJ20" s="71" t="n"/>
      <c r="AK20" s="71" t="n"/>
      <c r="AL20" s="73">
        <f>IF(COUNT(AI20,AJ20,AK20)=0,"",SUM(AI20,AJ20,AK20))</f>
        <v/>
      </c>
      <c r="AM20" s="68">
        <f>IF(N(AC20)=0,"",IF(COUNT($AC$6:$AC$105)&lt;5,"Too early",IF(AC20&gt;=1.5*MEDIAN($AC$6:$AC$105),"Top",IF(AC20&lt;=0.5*MEDIAN($AC$6:$AC$105),"Low","Average"))))</f>
        <v/>
      </c>
      <c r="AN20" s="69" t="n"/>
      <c r="AO20" s="69" t="inlineStr">
        <is>
          <t>ted2</t>
        </is>
      </c>
      <c r="AP20" s="74" t="n"/>
      <c r="AQ20" s="74" t="n"/>
      <c r="AR20" s="74" t="n"/>
      <c r="AS20" s="74" t="n"/>
      <c r="AT20" s="74" t="n"/>
      <c r="AU20" s="74" t="n"/>
      <c r="AV20" s="64" t="inlineStr">
        <is>
          <t>Pattern interrupt</t>
        </is>
      </c>
    </row>
    <row r="21" ht="60" customHeight="1" s="62">
      <c r="A21" s="68" t="n">
        <v>16</v>
      </c>
      <c r="B21" s="68" t="inlineStr">
        <is>
          <t>Memory and learning</t>
        </is>
      </c>
      <c r="C21" s="68" t="inlineStr">
        <is>
          <t>The misinformation effect</t>
        </is>
      </c>
      <c r="D21" s="68" t="inlineStr">
        <is>
          <t>Can a question change what someone remembers?</t>
        </is>
      </c>
      <c r="E21" s="68" t="inlineStr">
        <is>
          <t>Compare neutral wording with a question suggesting a detail.</t>
        </is>
      </c>
      <c r="F21" s="68" t="inlineStr">
        <is>
          <t>Two interview captions</t>
        </is>
      </c>
      <c r="G21" s="68" t="n">
        <v>45</v>
      </c>
      <c r="H21" s="68" t="inlineStr">
        <is>
          <t>Vetoed</t>
        </is>
      </c>
      <c r="I21" s="69" t="n">
        <v>46</v>
      </c>
      <c r="J21" s="69" t="inlineStr">
        <is>
          <t>Strong</t>
        </is>
      </c>
      <c r="K21" s="69" t="n"/>
      <c r="L21" s="70" t="n"/>
      <c r="M21" s="68">
        <f>IF(L21="","",TEXT(L21,"ddd"))</f>
        <v/>
      </c>
      <c r="N21" s="69" t="n"/>
      <c r="O21" s="69" t="n"/>
      <c r="P21" s="69" t="n"/>
      <c r="Q21" s="69" t="n"/>
      <c r="R21" s="69" t="n"/>
      <c r="S21" s="71" t="n"/>
      <c r="T21" s="69" t="n"/>
      <c r="U21" s="72">
        <f>IF(OR(T21="",N(O21)=0),"",T21/O21)</f>
        <v/>
      </c>
      <c r="V21" s="69" t="n"/>
      <c r="W21" s="69" t="n"/>
      <c r="X21" s="69" t="n"/>
      <c r="Y21" s="71" t="n"/>
      <c r="Z21" s="69" t="n"/>
      <c r="AA21" s="71" t="n"/>
      <c r="AB21" s="69" t="n"/>
      <c r="AC21" s="73">
        <f>IF(COUNT(S21,Y21,AA21)=0,"",SUM(S21,Y21,AA21))</f>
        <v/>
      </c>
      <c r="AD21" s="72">
        <f>IF(N(AC21)=0,"",SUM(V21,W21,X21,Z21,AB21)/AC21)</f>
        <v/>
      </c>
      <c r="AE21" s="71" t="n"/>
      <c r="AF21" s="71" t="n"/>
      <c r="AG21" s="71" t="n"/>
      <c r="AH21" s="73">
        <f>IF(COUNT(AE21,AF21,AG21)=0,"",SUM(AE21,AF21,AG21))</f>
        <v/>
      </c>
      <c r="AI21" s="71" t="n"/>
      <c r="AJ21" s="71" t="n"/>
      <c r="AK21" s="71" t="n"/>
      <c r="AL21" s="73">
        <f>IF(COUNT(AI21,AJ21,AK21)=0,"",SUM(AI21,AJ21,AK21))</f>
        <v/>
      </c>
      <c r="AM21" s="68">
        <f>IF(N(AC21)=0,"",IF(COUNT($AC$6:$AC$105)&lt;5,"Too early",IF(AC21&gt;=1.5*MEDIAN($AC$6:$AC$105),"Top",IF(AC21&lt;=0.5*MEDIAN($AC$6:$AC$105),"Low","Average"))))</f>
        <v/>
      </c>
      <c r="AN21" s="69" t="inlineStr">
        <is>
          <t>Skipped by script writer 2026-10-17: storyboard is the same Loftus &amp; Palmer (1974) study as memory-rebuilds (No. 15, already Scripted) - near-duplicate. Needs a different angle (e.g. Loftus, Miller &amp; Burns 1978 stop/yield sign) or a later slot. | 2026-10-22: replaced by the pattern test (Shivam)</t>
        </is>
      </c>
      <c r="AO21" s="69" t="inlineStr">
        <is>
          <t>dossier</t>
        </is>
      </c>
      <c r="AP21" s="74" t="inlineStr">
        <is>
          <t>story</t>
        </is>
      </c>
      <c r="AQ21" s="74" t="inlineStr">
        <is>
          <t>Noir detective sketch: charcoal lines on cream paper, one red spot colour, slow pans across a crime board; the remembered scene redraws itself as the question changes.</t>
        </is>
      </c>
      <c r="AR21" s="74" t="inlineStr">
        <is>
          <t>1. Hook: two cars bump at a junction; a witness watches. 2. A detective asks 'how fast were they going when they SMASHED?' - the word cracks the frame. 3. The study (Loftus &amp; Palmer, 1974): a film clip, two question cards, hit vs smashed. 4. The stat: two speedometers (lower for hit, higher for smashed); a week later, broken glass appears in the memory that was never in the film. 5. Why: each retelling redraws the memory - pencil strokes move. 6. Takeaway: ask open questions and write it down early.</t>
        </is>
      </c>
      <c r="AS21" s="74" t="inlineStr">
        <is>
          <t>Cream paper #F3EBDD, charcoal ink #1E1B18, crime red #C8322B; Bebas Neue headlines, Courier Prime captions</t>
        </is>
      </c>
      <c r="AT21" s="74" t="inlineStr">
        <is>
          <t>The witness (the One More protagonist redrawn in charcoal) and a faceless detective silhouette</t>
        </is>
      </c>
      <c r="AU21" s="74" t="inlineStr">
        <is>
          <t>Soft car bump, pen scratches on the board, a glass tinkle when the broken glass appears, a page turn at the end</t>
        </is>
      </c>
      <c r="AV21" s="64" t="inlineStr">
        <is>
          <t>Curiosity gap</t>
        </is>
      </c>
    </row>
    <row r="22" ht="60" customHeight="1" s="62">
      <c r="A22" s="68" t="n">
        <v>17</v>
      </c>
      <c r="B22" s="68" t="inlineStr">
        <is>
          <t>Memory and learning</t>
        </is>
      </c>
      <c r="C22" s="68" t="inlineStr">
        <is>
          <t>Tip-of-the-tongue moments</t>
        </is>
      </c>
      <c r="D22" s="68" t="inlineStr">
        <is>
          <t>You know the word, so why won't it come out?</t>
        </is>
      </c>
      <c r="E22" s="68" t="inlineStr">
        <is>
          <t>Explore partial access to a word and its related clues.</t>
        </is>
      </c>
      <c r="F22" s="68" t="inlineStr">
        <is>
          <t>Missing-word bubble</t>
        </is>
      </c>
      <c r="G22" s="68" t="n">
        <v>45</v>
      </c>
      <c r="H22" s="68" t="inlineStr">
        <is>
          <t>Vetoed</t>
        </is>
      </c>
      <c r="I22" s="69" t="n">
        <v>53</v>
      </c>
      <c r="J22" s="69" t="inlineStr">
        <is>
          <t>Strong</t>
        </is>
      </c>
      <c r="K22" s="69" t="n"/>
      <c r="L22" s="70" t="n"/>
      <c r="M22" s="68">
        <f>IF(L22="","",TEXT(L22,"ddd"))</f>
        <v/>
      </c>
      <c r="N22" s="69" t="n"/>
      <c r="O22" s="69" t="n"/>
      <c r="P22" s="69" t="n"/>
      <c r="Q22" s="69" t="n"/>
      <c r="R22" s="69" t="n"/>
      <c r="S22" s="71" t="n"/>
      <c r="T22" s="69" t="n"/>
      <c r="U22" s="72">
        <f>IF(OR(T22="",N(O22)=0),"",T22/O22)</f>
        <v/>
      </c>
      <c r="V22" s="69" t="n"/>
      <c r="W22" s="69" t="n"/>
      <c r="X22" s="69" t="n"/>
      <c r="Y22" s="71" t="n"/>
      <c r="Z22" s="69" t="n"/>
      <c r="AA22" s="71" t="n"/>
      <c r="AB22" s="69" t="n"/>
      <c r="AC22" s="73">
        <f>IF(COUNT(S22,Y22,AA22)=0,"",SUM(S22,Y22,AA22))</f>
        <v/>
      </c>
      <c r="AD22" s="72">
        <f>IF(N(AC22)=0,"",SUM(V22,W22,X22,Z22,AB22)/AC22)</f>
        <v/>
      </c>
      <c r="AE22" s="71" t="n"/>
      <c r="AF22" s="71" t="n"/>
      <c r="AG22" s="71" t="n"/>
      <c r="AH22" s="73">
        <f>IF(COUNT(AE22,AF22,AG22)=0,"",SUM(AE22,AF22,AG22))</f>
        <v/>
      </c>
      <c r="AI22" s="71" t="n"/>
      <c r="AJ22" s="71" t="n"/>
      <c r="AK22" s="71" t="n"/>
      <c r="AL22" s="73">
        <f>IF(COUNT(AI22,AJ22,AK22)=0,"",SUM(AI22,AJ22,AK22))</f>
        <v/>
      </c>
      <c r="AM22" s="68">
        <f>IF(N(AC22)=0,"",IF(COUNT($AC$6:$AC$105)&lt;5,"Too early",IF(AC22&gt;=1.5*MEDIAN($AC$6:$AC$105),"Top",IF(AC22&lt;=0.5*MEDIAN($AC$6:$AC$105),"Low","Average"))))</f>
        <v/>
      </c>
      <c r="AN22" s="69" t="inlineStr">
        <is>
          <t>2026-10-22: replaced by the pattern test (Shivam)</t>
        </is>
      </c>
      <c r="AO22" s="69" t="inlineStr">
        <is>
          <t>crayon</t>
        </is>
      </c>
      <c r="AP22" s="74" t="n"/>
      <c r="AQ22" s="74" t="n"/>
      <c r="AR22" s="74" t="n"/>
      <c r="AS22" s="74" t="n"/>
      <c r="AT22" s="74" t="n"/>
      <c r="AU22" s="74" t="n"/>
      <c r="AV22" s="64" t="inlineStr">
        <is>
          <t>You-callout</t>
        </is>
      </c>
    </row>
    <row r="23" ht="60" customHeight="1" s="62">
      <c r="A23" s="68" t="n">
        <v>18</v>
      </c>
      <c r="B23" s="68" t="inlineStr">
        <is>
          <t>Memory and learning</t>
        </is>
      </c>
      <c r="C23" s="68" t="inlineStr">
        <is>
          <t>The serial-position effect</t>
        </is>
      </c>
      <c r="D23" s="68" t="inlineStr">
        <is>
          <t>Which items from this list will you remember?</t>
        </is>
      </c>
      <c r="E23" s="68" t="inlineStr">
        <is>
          <t>Run a short list demo and discuss beginning and end advantages.</t>
        </is>
      </c>
      <c r="F23" s="68" t="inlineStr">
        <is>
          <t>Ten words flashed onscreen</t>
        </is>
      </c>
      <c r="G23" s="68" t="n">
        <v>45</v>
      </c>
      <c r="H23" s="68" t="inlineStr">
        <is>
          <t>Vetoed</t>
        </is>
      </c>
      <c r="I23" s="69" t="n">
        <v>59</v>
      </c>
      <c r="J23" s="69" t="inlineStr">
        <is>
          <t>Strong</t>
        </is>
      </c>
      <c r="K23" s="69" t="inlineStr">
        <is>
          <t>serial-position</t>
        </is>
      </c>
      <c r="L23" s="70" t="n"/>
      <c r="M23" s="68">
        <f>IF(L23="","",TEXT(L23,"ddd"))</f>
        <v/>
      </c>
      <c r="N23" s="69" t="inlineStr">
        <is>
          <t>challenge</t>
        </is>
      </c>
      <c r="O23" s="69" t="n"/>
      <c r="P23" s="69" t="n"/>
      <c r="Q23" s="69" t="inlineStr">
        <is>
          <t>Murdock, B. B., Jr. (1962). The serial position effect of free recall. J Exp Psychol 64(5):482-488 (free recall of 10-40 word lists; U-shaped curve with primacy and recency); rehearsal/short-term memory account per Rundus (1971), Glanzer &amp; Cunitz (1966)</t>
        </is>
      </c>
      <c r="R23" s="69" t="n"/>
      <c r="S23" s="71" t="n"/>
      <c r="T23" s="69" t="n"/>
      <c r="U23" s="72">
        <f>IF(OR(T23="",N(O23)=0),"",T23/O23)</f>
        <v/>
      </c>
      <c r="V23" s="69" t="n"/>
      <c r="W23" s="69" t="n"/>
      <c r="X23" s="69" t="n"/>
      <c r="Y23" s="71" t="n"/>
      <c r="Z23" s="69" t="n"/>
      <c r="AA23" s="71" t="n"/>
      <c r="AB23" s="69" t="n"/>
      <c r="AC23" s="73">
        <f>IF(COUNT(S23,Y23,AA23)=0,"",SUM(S23,Y23,AA23))</f>
        <v/>
      </c>
      <c r="AD23" s="72">
        <f>IF(N(AC23)=0,"",SUM(V23,W23,X23,Z23,AB23)/AC23)</f>
        <v/>
      </c>
      <c r="AE23" s="71" t="n"/>
      <c r="AF23" s="71" t="n"/>
      <c r="AG23" s="71" t="n"/>
      <c r="AH23" s="73">
        <f>IF(COUNT(AE23,AF23,AG23)=0,"",SUM(AE23,AF23,AG23))</f>
        <v/>
      </c>
      <c r="AI23" s="71" t="n"/>
      <c r="AJ23" s="71" t="n"/>
      <c r="AK23" s="71" t="n"/>
      <c r="AL23" s="73">
        <f>IF(COUNT(AI23,AJ23,AK23)=0,"",SUM(AI23,AJ23,AK23))</f>
        <v/>
      </c>
      <c r="AM23" s="68">
        <f>IF(N(AC23)=0,"",IF(COUNT($AC$6:$AC$105)&lt;5,"Too early",IF(AC23&gt;=1.5*MEDIAN($AC$6:$AC$105),"Top",IF(AC23&lt;=0.5*MEDIAN($AC$6:$AC$105),"Low","Average"))))</f>
        <v/>
      </c>
      <c r="AN23" s="69" t="inlineStr">
        <is>
          <t>Story Short (2026-10-17). Headline font Baloo 2 instead of Fredoka (Fredoka has no 800 weight, which the build requests). Held from posting until 2026-11-01. | 2026-10-22: replaced by the pattern test (Shivam)</t>
        </is>
      </c>
      <c r="AO23" s="69" t="inlineStr">
        <is>
          <t>data-story</t>
        </is>
      </c>
      <c r="AP23" s="74" t="inlineStr">
        <is>
          <t>story</t>
        </is>
      </c>
      <c r="AQ23" s="74" t="inlineStr">
        <is>
          <t>Game-show flat: a list of words on flip cards, then a U-shaped curve drawn live like a scoreboard; bouncy pops.</t>
        </is>
      </c>
      <c r="AR23" s="74" t="inlineStr">
        <is>
          <t>1. Hook: try to remember this list - 12 words flip by. 2. Which ones stuck? The first and last glow. 3. The study (Murdock, 1962): people recalled word lists; points appear on a chart. 4. The stat: a U-curve - first (primacy) and last (recency) remembered best, the middle dips. 5. Why: early words get rehearsed, the last ones are still in mind. 6. Takeaway: put the important point first or last.</t>
        </is>
      </c>
      <c r="AS23" s="74" t="inlineStr">
        <is>
          <t>Violet stage #4B2AA5, gold #FFD23F, white cards, pink #FF4FA3; Fredoka headlines, Nunito captions</t>
        </is>
      </c>
      <c r="AT23" s="74" t="inlineStr">
        <is>
          <t>A quiz host (the One More protagonist in a bow tie)</t>
        </is>
      </c>
      <c r="AU23" s="74" t="inlineStr">
        <is>
          <t>A card flip and tick per word, a rising tone as the curve draws, chime-bright on the takeaway</t>
        </is>
      </c>
      <c r="AV23" s="64" t="inlineStr">
        <is>
          <t>Pattern interrupt</t>
        </is>
      </c>
    </row>
    <row r="24" ht="60" customHeight="1" s="62">
      <c r="A24" s="68" t="n">
        <v>19</v>
      </c>
      <c r="B24" s="68" t="inlineStr">
        <is>
          <t>Memory and learning</t>
        </is>
      </c>
      <c r="C24" s="68" t="inlineStr">
        <is>
          <t>Context and recall</t>
        </is>
      </c>
      <c r="D24" s="68" t="inlineStr">
        <is>
          <t>Why can returning to a room remind you of something?</t>
        </is>
      </c>
      <c r="E24" s="68" t="inlineStr">
        <is>
          <t>Explore how environmental cues can support recall.</t>
        </is>
      </c>
      <c r="F24" s="68" t="inlineStr">
        <is>
          <t>Doorway and reminder prop</t>
        </is>
      </c>
      <c r="G24" s="68" t="n">
        <v>45</v>
      </c>
      <c r="H24" s="68" t="inlineStr">
        <is>
          <t>Vetoed</t>
        </is>
      </c>
      <c r="I24" s="69" t="n">
        <v>65</v>
      </c>
      <c r="J24" s="69" t="inlineStr">
        <is>
          <t>Strong</t>
        </is>
      </c>
      <c r="K24" s="69" t="n"/>
      <c r="L24" s="70" t="n"/>
      <c r="M24" s="68">
        <f>IF(L24="","",TEXT(L24,"ddd"))</f>
        <v/>
      </c>
      <c r="N24" s="69" t="n"/>
      <c r="O24" s="69" t="n"/>
      <c r="P24" s="69" t="n"/>
      <c r="Q24" s="69" t="n"/>
      <c r="R24" s="69" t="n"/>
      <c r="S24" s="71" t="n"/>
      <c r="T24" s="69" t="n"/>
      <c r="U24" s="72">
        <f>IF(OR(T24="",N(O24)=0),"",T24/O24)</f>
        <v/>
      </c>
      <c r="V24" s="69" t="n"/>
      <c r="W24" s="69" t="n"/>
      <c r="X24" s="69" t="n"/>
      <c r="Y24" s="71" t="n"/>
      <c r="Z24" s="69" t="n"/>
      <c r="AA24" s="71" t="n"/>
      <c r="AB24" s="69" t="n"/>
      <c r="AC24" s="73">
        <f>IF(COUNT(S24,Y24,AA24)=0,"",SUM(S24,Y24,AA24))</f>
        <v/>
      </c>
      <c r="AD24" s="72">
        <f>IF(N(AC24)=0,"",SUM(V24,W24,X24,Z24,AB24)/AC24)</f>
        <v/>
      </c>
      <c r="AE24" s="71" t="n"/>
      <c r="AF24" s="71" t="n"/>
      <c r="AG24" s="71" t="n"/>
      <c r="AH24" s="73">
        <f>IF(COUNT(AE24,AF24,AG24)=0,"",SUM(AE24,AF24,AG24))</f>
        <v/>
      </c>
      <c r="AI24" s="71" t="n"/>
      <c r="AJ24" s="71" t="n"/>
      <c r="AK24" s="71" t="n"/>
      <c r="AL24" s="73">
        <f>IF(COUNT(AI24,AJ24,AK24)=0,"",SUM(AI24,AJ24,AK24))</f>
        <v/>
      </c>
      <c r="AM24" s="68">
        <f>IF(N(AC24)=0,"",IF(COUNT($AC$6:$AC$105)&lt;5,"Too early",IF(AC24&gt;=1.5*MEDIAN($AC$6:$AC$105),"Top",IF(AC24&lt;=0.5*MEDIAN($AC$6:$AC$105),"Low","Average"))))</f>
        <v/>
      </c>
      <c r="AN24" s="69" t="inlineStr">
        <is>
          <t>2026-10-22: replaced by the pattern test (Shivam)</t>
        </is>
      </c>
      <c r="AO24" s="69" t="inlineStr">
        <is>
          <t>riso</t>
        </is>
      </c>
      <c r="AP24" s="74" t="n"/>
      <c r="AQ24" s="74" t="n"/>
      <c r="AR24" s="74" t="n"/>
      <c r="AS24" s="74" t="n"/>
      <c r="AT24" s="74" t="n"/>
      <c r="AU24" s="74" t="n"/>
      <c r="AV24" s="64" t="inlineStr">
        <is>
          <t>Study reveal</t>
        </is>
      </c>
    </row>
    <row r="25" ht="60" customHeight="1" s="62">
      <c r="A25" s="68" t="n">
        <v>20</v>
      </c>
      <c r="B25" s="68" t="inlineStr">
        <is>
          <t>Memory and learning</t>
        </is>
      </c>
      <c r="C25" s="68" t="inlineStr">
        <is>
          <t>The illusion of understanding</t>
        </is>
      </c>
      <c r="D25" s="68" t="inlineStr">
        <is>
          <t>Can you explain how a zipper actually works?</t>
        </is>
      </c>
      <c r="E25" s="68" t="inlineStr">
        <is>
          <t>Ask for an explanation before showing the mechanism.</t>
        </is>
      </c>
      <c r="F25" s="68" t="inlineStr">
        <is>
          <t>Zipper close-up</t>
        </is>
      </c>
      <c r="G25" s="68" t="n">
        <v>45</v>
      </c>
      <c r="H25" s="68" t="inlineStr">
        <is>
          <t>Vetoed</t>
        </is>
      </c>
      <c r="I25" s="69" t="n">
        <v>70</v>
      </c>
      <c r="J25" s="69" t="inlineStr">
        <is>
          <t>Strong</t>
        </is>
      </c>
      <c r="K25" s="69" t="n"/>
      <c r="L25" s="70" t="n"/>
      <c r="M25" s="68">
        <f>IF(L25="","",TEXT(L25,"ddd"))</f>
        <v/>
      </c>
      <c r="N25" s="69" t="n"/>
      <c r="O25" s="69" t="n"/>
      <c r="P25" s="69" t="n"/>
      <c r="Q25" s="69" t="n"/>
      <c r="R25" s="69" t="n"/>
      <c r="S25" s="71" t="n"/>
      <c r="T25" s="69" t="n"/>
      <c r="U25" s="72">
        <f>IF(OR(T25="",N(O25)=0),"",T25/O25)</f>
        <v/>
      </c>
      <c r="V25" s="69" t="n"/>
      <c r="W25" s="69" t="n"/>
      <c r="X25" s="69" t="n"/>
      <c r="Y25" s="71" t="n"/>
      <c r="Z25" s="69" t="n"/>
      <c r="AA25" s="71" t="n"/>
      <c r="AB25" s="69" t="n"/>
      <c r="AC25" s="73">
        <f>IF(COUNT(S25,Y25,AA25)=0,"",SUM(S25,Y25,AA25))</f>
        <v/>
      </c>
      <c r="AD25" s="72">
        <f>IF(N(AC25)=0,"",SUM(V25,W25,X25,Z25,AB25)/AC25)</f>
        <v/>
      </c>
      <c r="AE25" s="71" t="n"/>
      <c r="AF25" s="71" t="n"/>
      <c r="AG25" s="71" t="n"/>
      <c r="AH25" s="73">
        <f>IF(COUNT(AE25,AF25,AG25)=0,"",SUM(AE25,AF25,AG25))</f>
        <v/>
      </c>
      <c r="AI25" s="71" t="n"/>
      <c r="AJ25" s="71" t="n"/>
      <c r="AK25" s="71" t="n"/>
      <c r="AL25" s="73">
        <f>IF(COUNT(AI25,AJ25,AK25)=0,"",SUM(AI25,AJ25,AK25))</f>
        <v/>
      </c>
      <c r="AM25" s="68">
        <f>IF(N(AC25)=0,"",IF(COUNT($AC$6:$AC$105)&lt;5,"Too early",IF(AC25&gt;=1.5*MEDIAN($AC$6:$AC$105),"Top",IF(AC25&lt;=0.5*MEDIAN($AC$6:$AC$105),"Low","Average"))))</f>
        <v/>
      </c>
      <c r="AN25" s="69" t="inlineStr">
        <is>
          <t>2026-10-22: replaced by the pattern test (Shivam)</t>
        </is>
      </c>
      <c r="AO25" s="69" t="inlineStr">
        <is>
          <t>blueprint</t>
        </is>
      </c>
      <c r="AP25" s="74" t="n"/>
      <c r="AQ25" s="74" t="n"/>
      <c r="AR25" s="74" t="n"/>
      <c r="AS25" s="74" t="n"/>
      <c r="AT25" s="74" t="n"/>
      <c r="AU25" s="74" t="n"/>
      <c r="AV25" s="64" t="inlineStr">
        <is>
          <t>Forced choice</t>
        </is>
      </c>
    </row>
    <row r="26" ht="60" customHeight="1" s="62">
      <c r="A26" s="68" t="n">
        <v>21</v>
      </c>
      <c r="B26" s="68" t="inlineStr">
        <is>
          <t>Attention and perception</t>
        </is>
      </c>
      <c r="C26" s="68" t="inlineStr">
        <is>
          <t>The Stroop challenge</t>
        </is>
      </c>
      <c r="D26" s="68" t="inlineStr">
        <is>
          <t>Say the ink color, not the word.</t>
        </is>
      </c>
      <c r="E26" s="68" t="inlineStr">
        <is>
          <t>Run a brief demo of competing automatic responses.</t>
        </is>
      </c>
      <c r="F26" s="68" t="inlineStr">
        <is>
          <t>Colored color words</t>
        </is>
      </c>
      <c r="G26" s="68" t="n">
        <v>45</v>
      </c>
      <c r="H26" s="68" t="inlineStr">
        <is>
          <t>Vetoed</t>
        </is>
      </c>
      <c r="I26" s="69" t="n">
        <v>72</v>
      </c>
      <c r="J26" s="69" t="inlineStr">
        <is>
          <t>Weak</t>
        </is>
      </c>
      <c r="K26" s="69" t="inlineStr">
        <is>
          <t>stroop-ink</t>
        </is>
      </c>
      <c r="L26" s="70" t="n"/>
      <c r="M26" s="68">
        <f>IF(L26="","",TEXT(L26,"ddd"))</f>
        <v/>
      </c>
      <c r="N26" s="69" t="inlineStr">
        <is>
          <t>challenge</t>
        </is>
      </c>
      <c r="O26" s="69" t="n"/>
      <c r="P26" s="69" t="n"/>
      <c r="Q26" s="69" t="inlineStr">
        <is>
          <t>Stroop, J. R. (1935). Studies of interference in serial verbal reactions. J Exp Psychol 18:643-662 (Exp. 2, 100 students: ~110 s vs ~63 s per sheet, +74%); MacLeod (1991) review</t>
        </is>
      </c>
      <c r="R26" s="69" t="n"/>
      <c r="S26" s="71" t="n"/>
      <c r="T26" s="69" t="n"/>
      <c r="U26" s="72">
        <f>IF(OR(T26="",N(O26)=0),"",T26/O26)</f>
        <v/>
      </c>
      <c r="V26" s="69" t="n"/>
      <c r="W26" s="69" t="n"/>
      <c r="X26" s="69" t="n"/>
      <c r="Y26" s="71" t="n"/>
      <c r="Z26" s="69" t="n"/>
      <c r="AA26" s="71" t="n"/>
      <c r="AB26" s="69" t="n"/>
      <c r="AC26" s="73">
        <f>IF(COUNT(S26,Y26,AA26)=0,"",SUM(S26,Y26,AA26))</f>
        <v/>
      </c>
      <c r="AD26" s="72">
        <f>IF(N(AC26)=0,"",SUM(V26,W26,X26,Z26,AB26)/AC26)</f>
        <v/>
      </c>
      <c r="AE26" s="71" t="n"/>
      <c r="AF26" s="71" t="n"/>
      <c r="AG26" s="71" t="n"/>
      <c r="AH26" s="73">
        <f>IF(COUNT(AE26,AF26,AG26)=0,"",SUM(AE26,AF26,AG26))</f>
        <v/>
      </c>
      <c r="AI26" s="71" t="n"/>
      <c r="AJ26" s="71" t="n"/>
      <c r="AK26" s="71" t="n"/>
      <c r="AL26" s="73">
        <f>IF(COUNT(AI26,AJ26,AK26)=0,"",SUM(AI26,AJ26,AK26))</f>
        <v/>
      </c>
      <c r="AM26" s="68">
        <f>IF(N(AC26)=0,"",IF(COUNT($AC$6:$AC$105)&lt;5,"Too early",IF(AC26&gt;=1.5*MEDIAN($AC$6:$AC$105),"Top",IF(AC26&lt;=0.5*MEDIAN($AC$6:$AC$105),"Low","Average"))))</f>
        <v/>
      </c>
      <c r="AN26" s="69" t="inlineStr">
        <is>
          <t>Story format demo (2026-10-16). Held from posting until 2026-11-01. | 2026-10-22: replaced by the pattern test (Shivam)</t>
        </is>
      </c>
      <c r="AO26" s="69" t="inlineStr">
        <is>
          <t>game-show</t>
        </is>
      </c>
      <c r="AP26" s="74" t="inlineStr">
        <is>
          <t>story</t>
        </is>
      </c>
      <c r="AQ26" s="74" t="inlineStr">
        <is>
          <t>Flat neon editorial like One More Never Enough: the same curly-haired protagonist, bold ink outlines, white page, rounded stage, pop-in shapes, swipe transitions; colour words that shake when ink and meaning clash.</t>
        </is>
      </c>
      <c r="AR26" s="74" t="inlineStr">
        <is>
          <t>1. Hook: a giant word RED printed in blue ink; the protagonist leans in, stalls. 2. Try it: three clashing colour words pop in, a stopwatch ticks. 3. The study: Stroop, 1935 - a sheet of colour squares vs a sheet of colour words, a row of students. 4. The stat: two timing bars race, squares 63 s vs clashing words 110 s, +74% stamp. 5. Why: reading takes the fast lane and must be braked before the colour answer arrives. 6. Takeaway: protagonist pauses, raises a finger, green check; save it and try it on a friend.</t>
        </is>
      </c>
      <c r="AS26" s="74" t="inlineStr">
        <is>
          <t>White page, ink #210B3D, violet #7624CE, hot pink, cyan, neon green highlight; Barlow Condensed headlines, Barlow captions</t>
        </is>
      </c>
      <c r="AT26" s="74" t="inlineStr">
        <is>
          <t>the One More protagonist (curly hair, violet jacket)</t>
        </is>
      </c>
      <c r="AU26" s="74" t="inlineStr">
        <is>
          <t>pop as each word appears, ticks while trying, a lightning zap when ink and word clash, chime-bright on +74%, three wooden taps at the end</t>
        </is>
      </c>
      <c r="AV26" s="64" t="inlineStr">
        <is>
          <t>Pattern interrupt</t>
        </is>
      </c>
    </row>
    <row r="27" ht="60" customHeight="1" s="62">
      <c r="A27" s="68" t="n">
        <v>22</v>
      </c>
      <c r="B27" s="68" t="inlineStr">
        <is>
          <t>Attention and perception</t>
        </is>
      </c>
      <c r="C27" s="68" t="inlineStr">
        <is>
          <t>Inattentional blindness</t>
        </is>
      </c>
      <c r="D27" s="68" t="inlineStr">
        <is>
          <t>Can you miss something obvious while concentrating?</t>
        </is>
      </c>
      <c r="E27" s="68" t="inlineStr">
        <is>
          <t>Give a counting task with an unexpected background change.</t>
        </is>
      </c>
      <c r="F27" s="68" t="inlineStr">
        <is>
          <t>Original ball-counting animation</t>
        </is>
      </c>
      <c r="G27" s="68" t="n">
        <v>45</v>
      </c>
      <c r="H27" s="68" t="inlineStr">
        <is>
          <t>Published</t>
        </is>
      </c>
      <c r="I27" s="69" t="n">
        <v>3</v>
      </c>
      <c r="J27" s="69" t="inlineStr">
        <is>
          <t>Strong</t>
        </is>
      </c>
      <c r="K27" s="69" t="inlineStr">
        <is>
          <t>inattentional-blindness</t>
        </is>
      </c>
      <c r="L27" s="70" t="n">
        <v>46308</v>
      </c>
      <c r="M27" s="68">
        <f>IF(L27="","",TEXT(L27,"ddd"))</f>
        <v/>
      </c>
      <c r="N27" s="69" t="inlineStr">
        <is>
          <t>thoughts</t>
        </is>
      </c>
      <c r="O27" s="69" t="n">
        <v>27</v>
      </c>
      <c r="P27" s="69" t="inlineStr">
        <is>
          <t>Why You Can Miss a Gorilla Right in Front of You #shorts</t>
        </is>
      </c>
      <c r="Q27" s="69" t="inlineStr">
        <is>
          <t>Simons &amp; Chabris 1999, Perception 28(9):1059-1074, doi:10.1068/p281059; gorilla condition 56% missed / 44% noticed (overall 46% missed, incl. umbrella woman).</t>
        </is>
      </c>
      <c r="R27" s="69" t="inlineStr">
        <is>
          <t>-7020071267758420690</t>
        </is>
      </c>
      <c r="S27" s="71" t="n"/>
      <c r="T27" s="69" t="n"/>
      <c r="U27" s="72">
        <f>IF(OR(T27="",N(O27)=0),"",T27/O27)</f>
        <v/>
      </c>
      <c r="V27" s="69" t="n"/>
      <c r="W27" s="69" t="n"/>
      <c r="X27" s="69" t="n"/>
      <c r="Y27" s="71" t="n"/>
      <c r="Z27" s="69" t="n"/>
      <c r="AA27" s="71" t="n"/>
      <c r="AB27" s="69" t="n"/>
      <c r="AC27" s="73">
        <f>IF(COUNT(S27,Y27,AA27)=0,"",SUM(S27,Y27,AA27))</f>
        <v/>
      </c>
      <c r="AD27" s="72">
        <f>IF(N(AC27)=0,"",SUM(V27,W27,X27,Z27,AB27)/AC27)</f>
        <v/>
      </c>
      <c r="AE27" s="71" t="n"/>
      <c r="AF27" s="71" t="n"/>
      <c r="AG27" s="71" t="n"/>
      <c r="AH27" s="73">
        <f>IF(COUNT(AE27,AF27,AG27)=0,"",SUM(AE27,AF27,AG27))</f>
        <v/>
      </c>
      <c r="AI27" s="71" t="n"/>
      <c r="AJ27" s="71" t="n"/>
      <c r="AK27" s="71" t="n"/>
      <c r="AL27" s="73">
        <f>IF(COUNT(AI27,AJ27,AK27)=0,"",SUM(AI27,AJ27,AK27))</f>
        <v/>
      </c>
      <c r="AM27" s="68">
        <f>IF(N(AC27)=0,"",IF(COUNT($AC$6:$AC$105)&lt;5,"Too early",IF(AC27&gt;=1.5*MEDIAN($AC$6:$AC$105),"Top",IF(AC27&lt;=0.5*MEDIAN($AC$6:$AC$105),"Low","Average"))))</f>
        <v/>
      </c>
      <c r="AN27" s="69" t="inlineStr">
        <is>
          <t>Metricool: published 2026-10-13 on YouTube + TikTok; Instagram ERROR (Unknown). Status still Scheduled. Per-video stats not in Metricool yet.</t>
        </is>
      </c>
      <c r="AO27" s="69" t="inlineStr">
        <is>
          <t>pixel-lab</t>
        </is>
      </c>
      <c r="AP27" s="74" t="n"/>
      <c r="AQ27" s="74" t="n"/>
      <c r="AR27" s="74" t="n"/>
      <c r="AS27" s="74" t="n"/>
      <c r="AT27" s="74" t="n"/>
      <c r="AU27" s="74" t="n"/>
      <c r="AV27" s="64" t="inlineStr">
        <is>
          <t>Pattern interrupt</t>
        </is>
      </c>
    </row>
    <row r="28" ht="60" customHeight="1" s="62">
      <c r="A28" s="68" t="n">
        <v>23</v>
      </c>
      <c r="B28" s="68" t="inlineStr">
        <is>
          <t>Attention and perception</t>
        </is>
      </c>
      <c r="C28" s="68" t="inlineStr">
        <is>
          <t>Change blindness</t>
        </is>
      </c>
      <c r="D28" s="68" t="inlineStr">
        <is>
          <t>What changed between these two scenes?</t>
        </is>
      </c>
      <c r="E28" s="68" t="inlineStr">
        <is>
          <t>Reveal a changed object and explain limits of attention.</t>
        </is>
      </c>
      <c r="F28" s="68" t="inlineStr">
        <is>
          <t>Alternating room illustrations</t>
        </is>
      </c>
      <c r="G28" s="68" t="n">
        <v>45</v>
      </c>
      <c r="H28" s="68" t="inlineStr">
        <is>
          <t>Vetoed</t>
        </is>
      </c>
      <c r="I28" s="69" t="n">
        <v>79</v>
      </c>
      <c r="J28" s="69" t="inlineStr">
        <is>
          <t>Weak</t>
        </is>
      </c>
      <c r="K28" s="69" t="inlineStr">
        <is>
          <t>change-blindness</t>
        </is>
      </c>
      <c r="L28" s="70" t="n"/>
      <c r="M28" s="68">
        <f>IF(L28="","",TEXT(L28,"ddd"))</f>
        <v/>
      </c>
      <c r="N28" s="69" t="inlineStr">
        <is>
          <t>Study reveal</t>
        </is>
      </c>
      <c r="O28" s="69" t="n"/>
      <c r="P28" s="69" t="n"/>
      <c r="Q28" s="69" t="inlineStr">
        <is>
          <t>Simons &amp; Levin 1998, Psychon Bull Rev: 7 of 15 noticed the door swap (paper PDF)</t>
        </is>
      </c>
      <c r="R28" s="69" t="n"/>
      <c r="S28" s="71" t="n"/>
      <c r="T28" s="69" t="n"/>
      <c r="U28" s="72">
        <f>IF(OR(T28="",N(O28)=0),"",T28/O28)</f>
        <v/>
      </c>
      <c r="V28" s="69" t="n"/>
      <c r="W28" s="69" t="n"/>
      <c r="X28" s="69" t="n"/>
      <c r="Y28" s="71" t="n"/>
      <c r="Z28" s="69" t="n"/>
      <c r="AA28" s="71" t="n"/>
      <c r="AB28" s="69" t="n"/>
      <c r="AC28" s="73">
        <f>IF(COUNT(S28,Y28,AA28)=0,"",SUM(S28,Y28,AA28))</f>
        <v/>
      </c>
      <c r="AD28" s="72">
        <f>IF(N(AC28)=0,"",SUM(V28,W28,X28,Z28,AB28)/AC28)</f>
        <v/>
      </c>
      <c r="AE28" s="71" t="n"/>
      <c r="AF28" s="71" t="n"/>
      <c r="AG28" s="71" t="n"/>
      <c r="AH28" s="73">
        <f>IF(COUNT(AE28,AF28,AG28)=0,"",SUM(AE28,AF28,AG28))</f>
        <v/>
      </c>
      <c r="AI28" s="71" t="n"/>
      <c r="AJ28" s="71" t="n"/>
      <c r="AK28" s="71" t="n"/>
      <c r="AL28" s="73">
        <f>IF(COUNT(AI28,AJ28,AK28)=0,"",SUM(AI28,AJ28,AK28))</f>
        <v/>
      </c>
      <c r="AM28" s="68">
        <f>IF(N(AC28)=0,"",IF(COUNT($AC$6:$AC$105)&lt;5,"Too early",IF(AC28&gt;=1.5*MEDIAN($AC$6:$AC$105),"Top",IF(AC28&lt;=0.5*MEDIAN($AC$6:$AC$105),"Low","Average"))))</f>
        <v/>
      </c>
      <c r="AN28" s="69" t="inlineStr">
        <is>
          <t>2026-10-22: replaced by the pattern test (Shivam)</t>
        </is>
      </c>
      <c r="AO28" s="69" t="inlineStr">
        <is>
          <t>spy-noir</t>
        </is>
      </c>
      <c r="AP28" s="74" t="inlineStr">
        <is>
          <t>story</t>
        </is>
      </c>
      <c r="AQ28" s="74" t="inlineStr">
        <is>
          <t>Bright flat cartoon street, playful and fast; spot-the-difference flicker panels; a big door slides through the frame and hides a swap.</t>
        </is>
      </c>
      <c r="AR28" s="74" t="inlineStr">
        <is>
          <t>1. Hook: two pictures flicker - what changed? 2. A tourist with a map asks a stranger for directions. 3. Two workers carry a door between them; behind it the stranger is swapped for a different person. 4. The stat (Simons &amp; Levin, 1998): about half of people kept giving directions without noticing. 5. Why: we keep the gist, not the details. 6. Takeaway: double-check the details that matter.</t>
        </is>
      </c>
      <c r="AS28" s="74" t="inlineStr">
        <is>
          <t>Sky #8FD3FF, sunny yellow #FFD447, coral #FF6B5B, ink #1D1D2C; Fredoka headlines, Nunito captions</t>
        </is>
      </c>
      <c r="AT28" s="74" t="inlineStr">
        <is>
          <t>Two different strangers (one in a cap, one in glasses), a tourist with a map, two door carriers</t>
        </is>
      </c>
      <c r="AU28" s="74" t="inlineStr">
        <is>
          <t>Camera-shutter flicker, footsteps, a whoosh as the door passes, a bright chime on the reveal</t>
        </is>
      </c>
      <c r="AV28" s="64" t="inlineStr">
        <is>
          <t>Study reveal</t>
        </is>
      </c>
    </row>
    <row r="29" ht="60" customHeight="1" s="62">
      <c r="A29" s="68" t="n">
        <v>24</v>
      </c>
      <c r="B29" s="68" t="inlineStr">
        <is>
          <t>Attention and perception</t>
        </is>
      </c>
      <c r="C29" s="68" t="inlineStr">
        <is>
          <t>The multitasking myth</t>
        </is>
      </c>
      <c r="D29" s="68" t="inlineStr">
        <is>
          <t>Try reading while counting backward.</t>
        </is>
      </c>
      <c r="E29" s="68" t="inlineStr">
        <is>
          <t>Demonstrate task switching and discuss its costs.</t>
        </is>
      </c>
      <c r="F29" s="68" t="inlineStr">
        <is>
          <t>Two competing tasks</t>
        </is>
      </c>
      <c r="G29" s="68" t="n">
        <v>45</v>
      </c>
      <c r="H29" s="68" t="inlineStr">
        <is>
          <t>Vetoed</t>
        </is>
      </c>
      <c r="I29" s="69" t="n">
        <v>13</v>
      </c>
      <c r="J29" s="69" t="inlineStr">
        <is>
          <t>Strong</t>
        </is>
      </c>
      <c r="K29" s="69" t="inlineStr">
        <is>
          <t>multitasking-myth</t>
        </is>
      </c>
      <c r="L29" s="70" t="n">
        <v>46310</v>
      </c>
      <c r="M29" s="68">
        <f>IF(L29="","",TEXT(L29,"ddd"))</f>
        <v/>
      </c>
      <c r="N29" s="69" t="inlineStr">
        <is>
          <t>thoughts</t>
        </is>
      </c>
      <c r="O29" s="69" t="n">
        <v>26</v>
      </c>
      <c r="P29" s="69" t="inlineStr">
        <is>
          <t>Your Brain Can't Actually Multitask #shorts</t>
        </is>
      </c>
      <c r="Q29" s="69" t="inlineStr">
        <is>
          <t>Strayer &amp; Johnston 2001, Psychological Science 12(6):462-466, Exp 1: miss rate more than doubled on phone; handheld = hands-free; radio n.s.</t>
        </is>
      </c>
      <c r="R29" s="69" t="inlineStr">
        <is>
          <t>buffer:youtube=6acfed33d7ed7764890a8f2b;instagram=6acfed33ad454aea56cdfbf1;tiktok=6acfed34d7ed7764890a8f69</t>
        </is>
      </c>
      <c r="S29" s="71" t="n"/>
      <c r="T29" s="69" t="n"/>
      <c r="U29" s="72">
        <f>IF(OR(T29="",N(O29)=0),"",T29/O29)</f>
        <v/>
      </c>
      <c r="V29" s="69" t="n"/>
      <c r="W29" s="69" t="n"/>
      <c r="X29" s="69" t="n"/>
      <c r="Y29" s="71" t="n"/>
      <c r="Z29" s="69" t="n"/>
      <c r="AA29" s="71" t="n"/>
      <c r="AB29" s="69" t="n"/>
      <c r="AC29" s="73">
        <f>IF(COUNT(S29,Y29,AA29)=0,"",SUM(S29,Y29,AA29))</f>
        <v/>
      </c>
      <c r="AD29" s="72">
        <f>IF(N(AC29)=0,"",SUM(V29,W29,X29,Z29,AB29)/AC29)</f>
        <v/>
      </c>
      <c r="AE29" s="71" t="n"/>
      <c r="AF29" s="71" t="n"/>
      <c r="AG29" s="71" t="n"/>
      <c r="AH29" s="73">
        <f>IF(COUNT(AE29,AF29,AG29)=0,"",SUM(AE29,AF29,AG29))</f>
        <v/>
      </c>
      <c r="AI29" s="71" t="n"/>
      <c r="AJ29" s="71" t="n"/>
      <c r="AK29" s="71" t="n"/>
      <c r="AL29" s="73">
        <f>IF(COUNT(AI29,AJ29,AK29)=0,"",SUM(AI29,AJ29,AK29))</f>
        <v/>
      </c>
      <c r="AM29" s="68">
        <f>IF(N(AC29)=0,"",IF(COUNT($AC$6:$AC$105)&lt;5,"Too early",IF(AC29&gt;=1.5*MEDIAN($AC$6:$AC$105),"Top",IF(AC29&lt;=0.5*MEDIAN($AC$6:$AC$105),"Low","Average"))))</f>
        <v/>
      </c>
      <c r="AN29" s="69" t="inlineStr">
        <is>
          <t>Cancelled in Buffer 2026-10-15 before posting: Shivam retired the 8-bit avatar format (Ted type 2 only)</t>
        </is>
      </c>
      <c r="AO29" s="69" t="inlineStr">
        <is>
          <t>terminal</t>
        </is>
      </c>
      <c r="AP29" s="74" t="n"/>
      <c r="AQ29" s="74" t="n"/>
      <c r="AR29" s="74" t="n"/>
      <c r="AS29" s="74" t="n"/>
      <c r="AT29" s="74" t="n"/>
      <c r="AU29" s="74" t="n"/>
      <c r="AV29" s="64" t="inlineStr">
        <is>
          <t>Pattern interrupt</t>
        </is>
      </c>
    </row>
    <row r="30" ht="60" customHeight="1" s="62">
      <c r="A30" s="68" t="n">
        <v>25</v>
      </c>
      <c r="B30" s="68" t="inlineStr">
        <is>
          <t>Attention and perception</t>
        </is>
      </c>
      <c r="C30" s="68" t="inlineStr">
        <is>
          <t>Selective attention</t>
        </is>
      </c>
      <c r="D30" s="68" t="inlineStr">
        <is>
          <t>How do you hear your name in a noisy room?</t>
        </is>
      </c>
      <c r="E30" s="68" t="inlineStr">
        <is>
          <t>Explore attention to personally relevant signals.</t>
        </is>
      </c>
      <c r="F30" s="68" t="inlineStr">
        <is>
          <t>Party scene with name bubble</t>
        </is>
      </c>
      <c r="G30" s="68" t="n">
        <v>45</v>
      </c>
      <c r="H30" s="68" t="inlineStr">
        <is>
          <t>Published</t>
        </is>
      </c>
      <c r="I30" s="69" t="n">
        <v>23</v>
      </c>
      <c r="J30" s="69" t="inlineStr">
        <is>
          <t>Strong</t>
        </is>
      </c>
      <c r="K30" s="69" t="inlineStr">
        <is>
          <t>cocktail-party</t>
        </is>
      </c>
      <c r="L30" s="70" t="n">
        <v>46312</v>
      </c>
      <c r="M30" s="68">
        <f>IF(L30="","",TEXT(L30,"ddd"))</f>
        <v/>
      </c>
      <c r="N30" s="69" t="n"/>
      <c r="O30" s="69" t="n">
        <v>34</v>
      </c>
      <c r="P30" s="69" t="inlineStr">
        <is>
          <t>Why You Hear Your Name in a Noisy Room #shorts</t>
        </is>
      </c>
      <c r="Q30" s="69" t="inlineStr">
        <is>
          <t>Moray 1959, QJEP 11(1):56-60; words repeated 35x in rejected ear not recalled, ~1/3 noticed own name (cf. Wood &amp; Cowan 1995)</t>
        </is>
      </c>
      <c r="R30" s="69" t="inlineStr">
        <is>
          <t>buffer:youtube=6ad27dfe5720e82b418e1b51;tiktok=6ad27dfe346e510ac44f4f9b</t>
        </is>
      </c>
      <c r="S30" s="71" t="n"/>
      <c r="T30" s="69" t="n"/>
      <c r="U30" s="72">
        <f>IF(OR(T30="",N(O30)=0),"",T30/O30)</f>
        <v/>
      </c>
      <c r="V30" s="69" t="n"/>
      <c r="W30" s="69" t="n"/>
      <c r="X30" s="69" t="n"/>
      <c r="Y30" s="71" t="n"/>
      <c r="Z30" s="69" t="n"/>
      <c r="AA30" s="71" t="n"/>
      <c r="AB30" s="69" t="n"/>
      <c r="AC30" s="73">
        <f>IF(COUNT(S30,Y30,AA30)=0,"",SUM(S30,Y30,AA30))</f>
        <v/>
      </c>
      <c r="AD30" s="72">
        <f>IF(N(AC30)=0,"",SUM(V30,W30,X30,Z30,AB30)/AC30)</f>
        <v/>
      </c>
      <c r="AE30" s="71" t="n"/>
      <c r="AF30" s="71" t="n"/>
      <c r="AG30" s="71" t="n"/>
      <c r="AH30" s="73">
        <f>IF(COUNT(AE30,AF30,AG30)=0,"",SUM(AE30,AF30,AG30))</f>
        <v/>
      </c>
      <c r="AI30" s="71" t="n"/>
      <c r="AJ30" s="71" t="n"/>
      <c r="AK30" s="71" t="n"/>
      <c r="AL30" s="73">
        <f>IF(COUNT(AI30,AJ30,AK30)=0,"",SUM(AI30,AJ30,AK30))</f>
        <v/>
      </c>
      <c r="AM30" s="68">
        <f>IF(N(AC30)=0,"",IF(COUNT($AC$6:$AC$105)&lt;5,"Too early",IF(AC30&gt;=1.5*MEDIAN($AC$6:$AC$105),"Top",IF(AC30&lt;=0.5*MEDIAN($AC$6:$AC$105),"Low","Average"))))</f>
        <v/>
      </c>
      <c r="AN30" s="69" t="n"/>
      <c r="AO30" s="69" t="inlineStr">
        <is>
          <t>ted2</t>
        </is>
      </c>
      <c r="AP30" s="74" t="n"/>
      <c r="AQ30" s="74" t="n"/>
      <c r="AR30" s="74" t="n"/>
      <c r="AS30" s="74" t="n"/>
      <c r="AT30" s="74" t="n"/>
      <c r="AU30" s="74" t="n"/>
      <c r="AV30" s="64" t="inlineStr">
        <is>
          <t>You-callout</t>
        </is>
      </c>
    </row>
    <row r="31" ht="60" customHeight="1" s="62">
      <c r="A31" s="68" t="n">
        <v>26</v>
      </c>
      <c r="B31" s="68" t="inlineStr">
        <is>
          <t>Attention and perception</t>
        </is>
      </c>
      <c r="C31" s="68" t="inlineStr">
        <is>
          <t>Expectation shapes perception</t>
        </is>
      </c>
      <c r="D31" s="68" t="inlineStr">
        <is>
          <t>What do you see before I give you a clue?</t>
        </is>
      </c>
      <c r="E31" s="68" t="inlineStr">
        <is>
          <t>Use an ambiguous image and then provide context.</t>
        </is>
      </c>
      <c r="F31" s="68" t="inlineStr">
        <is>
          <t>Original ambiguous drawing</t>
        </is>
      </c>
      <c r="G31" s="68" t="n">
        <v>45</v>
      </c>
      <c r="H31" s="68" t="inlineStr">
        <is>
          <t>Vetoed</t>
        </is>
      </c>
      <c r="I31" s="69" t="n">
        <v>84</v>
      </c>
      <c r="J31" s="69" t="inlineStr">
        <is>
          <t>Weak</t>
        </is>
      </c>
      <c r="K31" s="69" t="n"/>
      <c r="L31" s="70" t="n"/>
      <c r="M31" s="68">
        <f>IF(L31="","",TEXT(L31,"ddd"))</f>
        <v/>
      </c>
      <c r="N31" s="69" t="n"/>
      <c r="O31" s="69" t="n"/>
      <c r="P31" s="69" t="n"/>
      <c r="Q31" s="69" t="n"/>
      <c r="R31" s="69" t="n"/>
      <c r="S31" s="71" t="n"/>
      <c r="T31" s="69" t="n"/>
      <c r="U31" s="72">
        <f>IF(OR(T31="",N(O31)=0),"",T31/O31)</f>
        <v/>
      </c>
      <c r="V31" s="69" t="n"/>
      <c r="W31" s="69" t="n"/>
      <c r="X31" s="69" t="n"/>
      <c r="Y31" s="71" t="n"/>
      <c r="Z31" s="69" t="n"/>
      <c r="AA31" s="71" t="n"/>
      <c r="AB31" s="69" t="n"/>
      <c r="AC31" s="73">
        <f>IF(COUNT(S31,Y31,AA31)=0,"",SUM(S31,Y31,AA31))</f>
        <v/>
      </c>
      <c r="AD31" s="72">
        <f>IF(N(AC31)=0,"",SUM(V31,W31,X31,Z31,AB31)/AC31)</f>
        <v/>
      </c>
      <c r="AE31" s="71" t="n"/>
      <c r="AF31" s="71" t="n"/>
      <c r="AG31" s="71" t="n"/>
      <c r="AH31" s="73">
        <f>IF(COUNT(AE31,AF31,AG31)=0,"",SUM(AE31,AF31,AG31))</f>
        <v/>
      </c>
      <c r="AI31" s="71" t="n"/>
      <c r="AJ31" s="71" t="n"/>
      <c r="AK31" s="71" t="n"/>
      <c r="AL31" s="73">
        <f>IF(COUNT(AI31,AJ31,AK31)=0,"",SUM(AI31,AJ31,AK31))</f>
        <v/>
      </c>
      <c r="AM31" s="68">
        <f>IF(N(AC31)=0,"",IF(COUNT($AC$6:$AC$105)&lt;5,"Too early",IF(AC31&gt;=1.5*MEDIAN($AC$6:$AC$105),"Top",IF(AC31&lt;=0.5*MEDIAN($AC$6:$AC$105),"Low","Average"))))</f>
        <v/>
      </c>
      <c r="AN31" s="69" t="inlineStr">
        <is>
          <t>2026-10-22: replaced by the pattern test (Shivam)</t>
        </is>
      </c>
      <c r="AO31" s="69" t="inlineStr">
        <is>
          <t>one-line</t>
        </is>
      </c>
      <c r="AP31" s="74" t="n"/>
      <c r="AQ31" s="74" t="n"/>
      <c r="AR31" s="74" t="n"/>
      <c r="AS31" s="74" t="n"/>
      <c r="AT31" s="74" t="n"/>
      <c r="AU31" s="74" t="n"/>
      <c r="AV31" s="64" t="inlineStr">
        <is>
          <t>Pattern interrupt</t>
        </is>
      </c>
    </row>
    <row r="32" ht="60" customHeight="1" s="62">
      <c r="A32" s="68" t="n">
        <v>27</v>
      </c>
      <c r="B32" s="68" t="inlineStr">
        <is>
          <t>Attention and perception</t>
        </is>
      </c>
      <c r="C32" s="68" t="inlineStr">
        <is>
          <t>Top-down processing</t>
        </is>
      </c>
      <c r="D32" s="68" t="inlineStr">
        <is>
          <t>Can you read a sentence with missing letters?</t>
        </is>
      </c>
      <c r="E32" s="68" t="inlineStr">
        <is>
          <t>Show how context helps interpret incomplete information.</t>
        </is>
      </c>
      <c r="F32" s="68" t="inlineStr">
        <is>
          <t>Incomplete sentence reveal</t>
        </is>
      </c>
      <c r="G32" s="68" t="n">
        <v>45</v>
      </c>
      <c r="H32" s="68" t="inlineStr">
        <is>
          <t>Vetoed</t>
        </is>
      </c>
      <c r="I32" s="69" t="n">
        <v>88</v>
      </c>
      <c r="J32" s="69" t="inlineStr">
        <is>
          <t>Weak</t>
        </is>
      </c>
      <c r="K32" s="69" t="n"/>
      <c r="L32" s="70" t="n"/>
      <c r="M32" s="68">
        <f>IF(L32="","",TEXT(L32,"ddd"))</f>
        <v/>
      </c>
      <c r="N32" s="69" t="n"/>
      <c r="O32" s="69" t="n"/>
      <c r="P32" s="69" t="n"/>
      <c r="Q32" s="69" t="n"/>
      <c r="R32" s="69" t="n"/>
      <c r="S32" s="71" t="n"/>
      <c r="T32" s="69" t="n"/>
      <c r="U32" s="72">
        <f>IF(OR(T32="",N(O32)=0),"",T32/O32)</f>
        <v/>
      </c>
      <c r="V32" s="69" t="n"/>
      <c r="W32" s="69" t="n"/>
      <c r="X32" s="69" t="n"/>
      <c r="Y32" s="71" t="n"/>
      <c r="Z32" s="69" t="n"/>
      <c r="AA32" s="71" t="n"/>
      <c r="AB32" s="69" t="n"/>
      <c r="AC32" s="73">
        <f>IF(COUNT(S32,Y32,AA32)=0,"",SUM(S32,Y32,AA32))</f>
        <v/>
      </c>
      <c r="AD32" s="72">
        <f>IF(N(AC32)=0,"",SUM(V32,W32,X32,Z32,AB32)/AC32)</f>
        <v/>
      </c>
      <c r="AE32" s="71" t="n"/>
      <c r="AF32" s="71" t="n"/>
      <c r="AG32" s="71" t="n"/>
      <c r="AH32" s="73">
        <f>IF(COUNT(AE32,AF32,AG32)=0,"",SUM(AE32,AF32,AG32))</f>
        <v/>
      </c>
      <c r="AI32" s="71" t="n"/>
      <c r="AJ32" s="71" t="n"/>
      <c r="AK32" s="71" t="n"/>
      <c r="AL32" s="73">
        <f>IF(COUNT(AI32,AJ32,AK32)=0,"",SUM(AI32,AJ32,AK32))</f>
        <v/>
      </c>
      <c r="AM32" s="68">
        <f>IF(N(AC32)=0,"",IF(COUNT($AC$6:$AC$105)&lt;5,"Too early",IF(AC32&gt;=1.5*MEDIAN($AC$6:$AC$105),"Top",IF(AC32&lt;=0.5*MEDIAN($AC$6:$AC$105),"Low","Average"))))</f>
        <v/>
      </c>
      <c r="AN32" s="69" t="inlineStr">
        <is>
          <t>2026-10-22: replaced by the pattern test (Shivam)</t>
        </is>
      </c>
      <c r="AO32" s="69" t="inlineStr">
        <is>
          <t>swiss</t>
        </is>
      </c>
      <c r="AP32" s="74" t="n"/>
      <c r="AQ32" s="74" t="n"/>
      <c r="AR32" s="74" t="n"/>
      <c r="AS32" s="74" t="n"/>
      <c r="AT32" s="74" t="n"/>
      <c r="AU32" s="74" t="n"/>
      <c r="AV32" s="64" t="inlineStr">
        <is>
          <t>Contrarian</t>
        </is>
      </c>
    </row>
    <row r="33" ht="60" customHeight="1" s="62">
      <c r="A33" s="68" t="n">
        <v>28</v>
      </c>
      <c r="B33" s="68" t="inlineStr">
        <is>
          <t>Attention and perception</t>
        </is>
      </c>
      <c r="C33" s="68" t="inlineStr">
        <is>
          <t>The frequency illusion</t>
        </is>
      </c>
      <c r="D33" s="68" t="inlineStr">
        <is>
          <t>Why does a new word suddenly appear everywhere?</t>
        </is>
      </c>
      <c r="E33" s="68" t="inlineStr">
        <is>
          <t>Distinguish noticing more from a real increase.</t>
        </is>
      </c>
      <c r="F33" s="68" t="inlineStr">
        <is>
          <t>Word highlighted in everyday scenes</t>
        </is>
      </c>
      <c r="G33" s="68" t="n">
        <v>45</v>
      </c>
      <c r="H33" s="68" t="inlineStr">
        <is>
          <t>Published</t>
        </is>
      </c>
      <c r="I33" s="69" t="n">
        <v>32</v>
      </c>
      <c r="J33" s="69" t="inlineStr">
        <is>
          <t>Strong</t>
        </is>
      </c>
      <c r="K33" s="69" t="inlineStr">
        <is>
          <t>frequency-illusion</t>
        </is>
      </c>
      <c r="L33" s="70" t="n">
        <v>46317</v>
      </c>
      <c r="M33" s="68">
        <f>IF(L33="","",TEXT(L33,"ddd"))</f>
        <v/>
      </c>
      <c r="N33" s="69" t="n"/>
      <c r="O33" s="69" t="n">
        <v>32</v>
      </c>
      <c r="P33" s="69" t="inlineStr">
        <is>
          <t>Why a New Word Suddenly Shows Up Everywhere #shorts</t>
        </is>
      </c>
      <c r="Q33" s="69" t="inlineStr">
        <is>
          <t>Zwicky 2005, Language Log 'Just between Dr. Language and I' (term coined; OED entry noted on Language Log)</t>
        </is>
      </c>
      <c r="R33" s="69" t="inlineStr">
        <is>
          <t>buffer:youtube=6ad95bd6deacf5d253225ab8;instagram=6ad95bd7282deeeeb2c11177;tiktok=6ad95bd7ecaa6cda041df874</t>
        </is>
      </c>
      <c r="S33" s="71" t="n"/>
      <c r="T33" s="69" t="n"/>
      <c r="U33" s="72">
        <f>IF(OR(T33="",N(O33)=0),"",T33/O33)</f>
        <v/>
      </c>
      <c r="V33" s="69" t="n"/>
      <c r="W33" s="69" t="n"/>
      <c r="X33" s="69" t="n"/>
      <c r="Y33" s="71" t="n"/>
      <c r="Z33" s="69" t="n"/>
      <c r="AA33" s="71" t="n"/>
      <c r="AB33" s="69" t="n"/>
      <c r="AC33" s="73">
        <f>IF(COUNT(S33,Y33,AA33)=0,"",SUM(S33,Y33,AA33))</f>
        <v/>
      </c>
      <c r="AD33" s="72">
        <f>IF(N(AC33)=0,"",SUM(V33,W33,X33,Z33,AB33)/AC33)</f>
        <v/>
      </c>
      <c r="AE33" s="71" t="n"/>
      <c r="AF33" s="71" t="n"/>
      <c r="AG33" s="71" t="n"/>
      <c r="AH33" s="73">
        <f>IF(COUNT(AE33,AF33,AG33)=0,"",SUM(AE33,AF33,AG33))</f>
        <v/>
      </c>
      <c r="AI33" s="71" t="n"/>
      <c r="AJ33" s="71" t="n"/>
      <c r="AK33" s="71" t="n"/>
      <c r="AL33" s="73">
        <f>IF(COUNT(AI33,AJ33,AK33)=0,"",SUM(AI33,AJ33,AK33))</f>
        <v/>
      </c>
      <c r="AM33" s="68">
        <f>IF(N(AC33)=0,"",IF(COUNT($AC$6:$AC$105)&lt;5,"Too early",IF(AC33&gt;=1.5*MEDIAN($AC$6:$AC$105),"Top",IF(AC33&lt;=0.5*MEDIAN($AC$6:$AC$105),"Low","Average"))))</f>
        <v/>
      </c>
      <c r="AN33" s="69" t="n"/>
      <c r="AO33" s="69" t="inlineStr">
        <is>
          <t>ted2</t>
        </is>
      </c>
      <c r="AP33" s="74" t="n"/>
      <c r="AQ33" s="74" t="n"/>
      <c r="AR33" s="74" t="n"/>
      <c r="AS33" s="74" t="n"/>
      <c r="AT33" s="74" t="n"/>
      <c r="AU33" s="74" t="n"/>
      <c r="AV33" s="64" t="inlineStr">
        <is>
          <t>You-callout</t>
        </is>
      </c>
    </row>
    <row r="34" ht="60" customHeight="1" s="62">
      <c r="A34" s="68" t="n">
        <v>29</v>
      </c>
      <c r="B34" s="68" t="inlineStr">
        <is>
          <t>Attention and perception</t>
        </is>
      </c>
      <c r="C34" s="68" t="inlineStr">
        <is>
          <t>Time perception</t>
        </is>
      </c>
      <c r="D34" s="68" t="inlineStr">
        <is>
          <t>Why can waiting feel longer than doing something?</t>
        </is>
      </c>
      <c r="E34" s="68" t="inlineStr">
        <is>
          <t>Compare attention to the clock with absorbing activity.</t>
        </is>
      </c>
      <c r="F34" s="68" t="inlineStr">
        <is>
          <t>Queue versus game animation</t>
        </is>
      </c>
      <c r="G34" s="68" t="n">
        <v>45</v>
      </c>
      <c r="H34" s="68" t="inlineStr">
        <is>
          <t>Published</t>
        </is>
      </c>
      <c r="I34" s="69" t="n">
        <v>40</v>
      </c>
      <c r="J34" s="69" t="inlineStr">
        <is>
          <t>Strong</t>
        </is>
      </c>
      <c r="K34" s="69" t="inlineStr">
        <is>
          <t>waiting-time</t>
        </is>
      </c>
      <c r="L34" s="70" t="n">
        <v>46318</v>
      </c>
      <c r="M34" s="68">
        <f>IF(L34="","",TEXT(L34,"ddd"))</f>
        <v/>
      </c>
      <c r="N34" s="69" t="n"/>
      <c r="O34" s="69" t="n">
        <v>32</v>
      </c>
      <c r="P34" s="69" t="inlineStr">
        <is>
          <t>Why an Airport Made People Walk Farther On Purpose #shorts</t>
        </is>
      </c>
      <c r="Q34" s="69" t="inlineStr">
        <is>
          <t>Alex Stone, NYT 2012 'Why Waiting Is Torture' (APS summary): 8-min wait, 6x longer walk, complaints near zero; Maister 1985</t>
        </is>
      </c>
      <c r="R34" s="69" t="inlineStr">
        <is>
          <t>buffer:youtube=6adae02e9ef33e7811b8d0de;instagram=6adae02fd447d56a6477a51b;tiktok=6adae02f1dc335d347f312c1</t>
        </is>
      </c>
      <c r="S34" s="71" t="n"/>
      <c r="T34" s="69" t="n"/>
      <c r="U34" s="72">
        <f>IF(OR(T34="",N(O34)=0),"",T34/O34)</f>
        <v/>
      </c>
      <c r="V34" s="69" t="n"/>
      <c r="W34" s="69" t="n"/>
      <c r="X34" s="69" t="n"/>
      <c r="Y34" s="71" t="n"/>
      <c r="Z34" s="69" t="n"/>
      <c r="AA34" s="71" t="n"/>
      <c r="AB34" s="69" t="n"/>
      <c r="AC34" s="73">
        <f>IF(COUNT(S34,Y34,AA34)=0,"",SUM(S34,Y34,AA34))</f>
        <v/>
      </c>
      <c r="AD34" s="72">
        <f>IF(N(AC34)=0,"",SUM(V34,W34,X34,Z34,AB34)/AC34)</f>
        <v/>
      </c>
      <c r="AE34" s="71" t="n"/>
      <c r="AF34" s="71" t="n"/>
      <c r="AG34" s="71" t="n"/>
      <c r="AH34" s="73">
        <f>IF(COUNT(AE34,AF34,AG34)=0,"",SUM(AE34,AF34,AG34))</f>
        <v/>
      </c>
      <c r="AI34" s="71" t="n"/>
      <c r="AJ34" s="71" t="n"/>
      <c r="AK34" s="71" t="n"/>
      <c r="AL34" s="73">
        <f>IF(COUNT(AI34,AJ34,AK34)=0,"",SUM(AI34,AJ34,AK34))</f>
        <v/>
      </c>
      <c r="AM34" s="68">
        <f>IF(N(AC34)=0,"",IF(COUNT($AC$6:$AC$105)&lt;5,"Too early",IF(AC34&gt;=1.5*MEDIAN($AC$6:$AC$105),"Top",IF(AC34&lt;=0.5*MEDIAN($AC$6:$AC$105),"Low","Average"))))</f>
        <v/>
      </c>
      <c r="AN34" s="69" t="n"/>
      <c r="AO34" s="69" t="inlineStr">
        <is>
          <t>ted2</t>
        </is>
      </c>
      <c r="AP34" s="74" t="n"/>
      <c r="AQ34" s="74" t="n"/>
      <c r="AR34" s="74" t="n"/>
      <c r="AS34" s="74" t="n"/>
      <c r="AT34" s="74" t="n"/>
      <c r="AU34" s="74" t="n"/>
      <c r="AV34" s="64" t="inlineStr">
        <is>
          <t>Study reveal</t>
        </is>
      </c>
    </row>
    <row r="35" ht="60" customHeight="1" s="62">
      <c r="A35" s="68" t="n">
        <v>30</v>
      </c>
      <c r="B35" s="68" t="inlineStr">
        <is>
          <t>Attention and perception</t>
        </is>
      </c>
      <c r="C35" s="68" t="inlineStr">
        <is>
          <t>Notification interruptions</t>
        </is>
      </c>
      <c r="D35" s="68" t="inlineStr">
        <is>
          <t>How many times did your attention restart?</t>
        </is>
      </c>
      <c r="E35" s="68" t="inlineStr">
        <is>
          <t>Track interruptions during a short task.</t>
        </is>
      </c>
      <c r="F35" s="68" t="inlineStr">
        <is>
          <t>Notification counter</t>
        </is>
      </c>
      <c r="G35" s="68" t="n">
        <v>45</v>
      </c>
      <c r="H35" s="68" t="inlineStr">
        <is>
          <t>Vetoed</t>
        </is>
      </c>
      <c r="I35" s="69" t="n">
        <v>47</v>
      </c>
      <c r="J35" s="69" t="inlineStr">
        <is>
          <t>Strong</t>
        </is>
      </c>
      <c r="K35" s="69" t="n"/>
      <c r="L35" s="70" t="n"/>
      <c r="M35" s="68">
        <f>IF(L35="","",TEXT(L35,"ddd"))</f>
        <v/>
      </c>
      <c r="N35" s="69" t="n"/>
      <c r="O35" s="69" t="n"/>
      <c r="P35" s="69" t="n"/>
      <c r="Q35" s="69" t="n"/>
      <c r="R35" s="69" t="n"/>
      <c r="S35" s="71" t="n"/>
      <c r="T35" s="69" t="n"/>
      <c r="U35" s="72">
        <f>IF(OR(T35="",N(O35)=0),"",T35/O35)</f>
        <v/>
      </c>
      <c r="V35" s="69" t="n"/>
      <c r="W35" s="69" t="n"/>
      <c r="X35" s="69" t="n"/>
      <c r="Y35" s="71" t="n"/>
      <c r="Z35" s="69" t="n"/>
      <c r="AA35" s="71" t="n"/>
      <c r="AB35" s="69" t="n"/>
      <c r="AC35" s="73">
        <f>IF(COUNT(S35,Y35,AA35)=0,"",SUM(S35,Y35,AA35))</f>
        <v/>
      </c>
      <c r="AD35" s="72">
        <f>IF(N(AC35)=0,"",SUM(V35,W35,X35,Z35,AB35)/AC35)</f>
        <v/>
      </c>
      <c r="AE35" s="71" t="n"/>
      <c r="AF35" s="71" t="n"/>
      <c r="AG35" s="71" t="n"/>
      <c r="AH35" s="73">
        <f>IF(COUNT(AE35,AF35,AG35)=0,"",SUM(AE35,AF35,AG35))</f>
        <v/>
      </c>
      <c r="AI35" s="71" t="n"/>
      <c r="AJ35" s="71" t="n"/>
      <c r="AK35" s="71" t="n"/>
      <c r="AL35" s="73">
        <f>IF(COUNT(AI35,AJ35,AK35)=0,"",SUM(AI35,AJ35,AK35))</f>
        <v/>
      </c>
      <c r="AM35" s="68">
        <f>IF(N(AC35)=0,"",IF(COUNT($AC$6:$AC$105)&lt;5,"Too early",IF(AC35&gt;=1.5*MEDIAN($AC$6:$AC$105),"Top",IF(AC35&lt;=0.5*MEDIAN($AC$6:$AC$105),"Low","Average"))))</f>
        <v/>
      </c>
      <c r="AN35" s="69" t="inlineStr">
        <is>
          <t>2026-10-22: replaced by the pattern test (Shivam)</t>
        </is>
      </c>
      <c r="AO35" s="69" t="inlineStr">
        <is>
          <t>terminal</t>
        </is>
      </c>
      <c r="AP35" s="74" t="n"/>
      <c r="AQ35" s="74" t="n"/>
      <c r="AR35" s="74" t="n"/>
      <c r="AS35" s="74" t="n"/>
      <c r="AT35" s="74" t="n"/>
      <c r="AU35" s="74" t="n"/>
      <c r="AV35" s="64" t="inlineStr">
        <is>
          <t>Study reveal</t>
        </is>
      </c>
    </row>
    <row r="36" ht="60" customHeight="1" s="62">
      <c r="A36" s="68" t="n">
        <v>31</v>
      </c>
      <c r="B36" s="68" t="inlineStr">
        <is>
          <t>Habits and motivation</t>
        </is>
      </c>
      <c r="C36" s="68" t="inlineStr">
        <is>
          <t>The habit cue</t>
        </is>
      </c>
      <c r="D36" s="68" t="inlineStr">
        <is>
          <t>What happens right before you reach for your phone?</t>
        </is>
      </c>
      <c r="E36" s="68" t="inlineStr">
        <is>
          <t>Map an everyday cue, action, and immediate consequence.</t>
        </is>
      </c>
      <c r="F36" s="68" t="inlineStr">
        <is>
          <t>Bedside phone sequence</t>
        </is>
      </c>
      <c r="G36" s="68" t="n">
        <v>45</v>
      </c>
      <c r="H36" s="68" t="inlineStr">
        <is>
          <t>Vetoed</t>
        </is>
      </c>
      <c r="I36" s="69" t="n">
        <v>73</v>
      </c>
      <c r="J36" s="69" t="inlineStr">
        <is>
          <t>Weak</t>
        </is>
      </c>
      <c r="K36" s="69" t="n"/>
      <c r="L36" s="70" t="n"/>
      <c r="M36" s="68">
        <f>IF(L36="","",TEXT(L36,"ddd"))</f>
        <v/>
      </c>
      <c r="N36" s="69" t="n"/>
      <c r="O36" s="69" t="n"/>
      <c r="P36" s="69" t="n"/>
      <c r="Q36" s="69" t="n"/>
      <c r="R36" s="69" t="n"/>
      <c r="S36" s="71" t="n"/>
      <c r="T36" s="69" t="n"/>
      <c r="U36" s="72">
        <f>IF(OR(T36="",N(O36)=0),"",T36/O36)</f>
        <v/>
      </c>
      <c r="V36" s="69" t="n"/>
      <c r="W36" s="69" t="n"/>
      <c r="X36" s="69" t="n"/>
      <c r="Y36" s="71" t="n"/>
      <c r="Z36" s="69" t="n"/>
      <c r="AA36" s="71" t="n"/>
      <c r="AB36" s="69" t="n"/>
      <c r="AC36" s="73">
        <f>IF(COUNT(S36,Y36,AA36)=0,"",SUM(S36,Y36,AA36))</f>
        <v/>
      </c>
      <c r="AD36" s="72">
        <f>IF(N(AC36)=0,"",SUM(V36,W36,X36,Z36,AB36)/AC36)</f>
        <v/>
      </c>
      <c r="AE36" s="71" t="n"/>
      <c r="AF36" s="71" t="n"/>
      <c r="AG36" s="71" t="n"/>
      <c r="AH36" s="73">
        <f>IF(COUNT(AE36,AF36,AG36)=0,"",SUM(AE36,AF36,AG36))</f>
        <v/>
      </c>
      <c r="AI36" s="71" t="n"/>
      <c r="AJ36" s="71" t="n"/>
      <c r="AK36" s="71" t="n"/>
      <c r="AL36" s="73">
        <f>IF(COUNT(AI36,AJ36,AK36)=0,"",SUM(AI36,AJ36,AK36))</f>
        <v/>
      </c>
      <c r="AM36" s="68">
        <f>IF(N(AC36)=0,"",IF(COUNT($AC$6:$AC$105)&lt;5,"Too early",IF(AC36&gt;=1.5*MEDIAN($AC$6:$AC$105),"Top",IF(AC36&lt;=0.5*MEDIAN($AC$6:$AC$105),"Low","Average"))))</f>
        <v/>
      </c>
      <c r="AN36" s="69" t="inlineStr">
        <is>
          <t>2026-10-22: replaced by the pattern test (Shivam)</t>
        </is>
      </c>
      <c r="AO36" s="69" t="inlineStr">
        <is>
          <t>blueprint</t>
        </is>
      </c>
      <c r="AP36" s="74" t="n"/>
      <c r="AQ36" s="74" t="n"/>
      <c r="AR36" s="74" t="n"/>
      <c r="AS36" s="74" t="n"/>
      <c r="AT36" s="74" t="n"/>
      <c r="AU36" s="74" t="n"/>
      <c r="AV36" s="64" t="inlineStr">
        <is>
          <t>Study reveal</t>
        </is>
      </c>
    </row>
    <row r="37" ht="60" customHeight="1" s="62">
      <c r="A37" s="68" t="n">
        <v>32</v>
      </c>
      <c r="B37" s="68" t="inlineStr">
        <is>
          <t>Habits and motivation</t>
        </is>
      </c>
      <c r="C37" s="68" t="inlineStr">
        <is>
          <t>If-then plans</t>
        </is>
      </c>
      <c r="D37" s="68" t="inlineStr">
        <is>
          <t>What will you do when your usual excuse appears?</t>
        </is>
      </c>
      <c r="E37" s="68" t="inlineStr">
        <is>
          <t>Write a specific situation-action plan for one small task.</t>
        </is>
      </c>
      <c r="F37" s="68" t="inlineStr">
        <is>
          <t>If-then sticky note</t>
        </is>
      </c>
      <c r="G37" s="68" t="n">
        <v>45</v>
      </c>
      <c r="H37" s="68" t="inlineStr">
        <is>
          <t>Published</t>
        </is>
      </c>
      <c r="I37" s="69" t="n">
        <v>4</v>
      </c>
      <c r="J37" s="69" t="inlineStr">
        <is>
          <t>Strong</t>
        </is>
      </c>
      <c r="K37" s="69" t="inlineStr">
        <is>
          <t>if-then-plans</t>
        </is>
      </c>
      <c r="L37" s="70" t="n">
        <v>46309</v>
      </c>
      <c r="M37" s="68">
        <f>IF(L37="","",TEXT(L37,"ddd"))</f>
        <v/>
      </c>
      <c r="N37" s="69" t="inlineStr">
        <is>
          <t>thoughts</t>
        </is>
      </c>
      <c r="O37" s="69" t="n">
        <v>42</v>
      </c>
      <c r="P37" s="69" t="inlineStr">
        <is>
          <t>The Simple Plan That Beats Procrastination #shorts</t>
        </is>
      </c>
      <c r="Q37" s="69" t="inlineStr">
        <is>
          <t>Gollwitzer &amp; Brandstätter 1997, JPSP 73(1):186-199, Study 2: 71% (12/17) vs 32% (6/19) wrote report within 2 days</t>
        </is>
      </c>
      <c r="R37" s="69" t="inlineStr">
        <is>
          <t>buffer:youtube=6ace86df1bdf729a2aa960ff;instagram=6ace86df4a3bafcd13007dde;tiktok=6ace86dfeaea728d3cae7f6c</t>
        </is>
      </c>
      <c r="S37" s="71" t="n"/>
      <c r="T37" s="69" t="n"/>
      <c r="U37" s="72">
        <f>IF(OR(T37="",N(O37)=0),"",T37/O37)</f>
        <v/>
      </c>
      <c r="V37" s="69" t="n"/>
      <c r="W37" s="69" t="n"/>
      <c r="X37" s="69" t="n"/>
      <c r="Y37" s="71" t="n"/>
      <c r="Z37" s="69" t="n"/>
      <c r="AA37" s="71" t="n"/>
      <c r="AB37" s="69" t="n"/>
      <c r="AC37" s="73">
        <f>IF(COUNT(S37,Y37,AA37)=0,"",SUM(S37,Y37,AA37))</f>
        <v/>
      </c>
      <c r="AD37" s="72">
        <f>IF(N(AC37)=0,"",SUM(V37,W37,X37,Z37,AB37)/AC37)</f>
        <v/>
      </c>
      <c r="AE37" s="71" t="n"/>
      <c r="AF37" s="71" t="n"/>
      <c r="AG37" s="71" t="n"/>
      <c r="AH37" s="73">
        <f>IF(COUNT(AE37,AF37,AG37)=0,"",SUM(AE37,AF37,AG37))</f>
        <v/>
      </c>
      <c r="AI37" s="71" t="n"/>
      <c r="AJ37" s="71" t="n"/>
      <c r="AK37" s="71" t="n"/>
      <c r="AL37" s="73">
        <f>IF(COUNT(AI37,AJ37,AK37)=0,"",SUM(AI37,AJ37,AK37))</f>
        <v/>
      </c>
      <c r="AM37" s="68">
        <f>IF(N(AC37)=0,"",IF(COUNT($AC$6:$AC$105)&lt;5,"Too early",IF(AC37&gt;=1.5*MEDIAN($AC$6:$AC$105),"Top",IF(AC37&lt;=0.5*MEDIAN($AC$6:$AC$105),"Low","Average"))))</f>
        <v/>
      </c>
      <c r="AN37" s="69" t="n"/>
      <c r="AO37" s="69" t="inlineStr">
        <is>
          <t>whiteboard</t>
        </is>
      </c>
      <c r="AP37" s="74" t="n"/>
      <c r="AQ37" s="74" t="n"/>
      <c r="AR37" s="74" t="n"/>
      <c r="AS37" s="74" t="n"/>
      <c r="AT37" s="74" t="n"/>
      <c r="AU37" s="74" t="n"/>
      <c r="AV37" s="64" t="inlineStr">
        <is>
          <t>List</t>
        </is>
      </c>
    </row>
    <row r="38" ht="60" customHeight="1" s="62">
      <c r="A38" s="68" t="n">
        <v>33</v>
      </c>
      <c r="B38" s="68" t="inlineStr">
        <is>
          <t>Habits and motivation</t>
        </is>
      </c>
      <c r="C38" s="68" t="inlineStr">
        <is>
          <t>Reducing friction</t>
        </is>
      </c>
      <c r="D38" s="68" t="inlineStr">
        <is>
          <t>Can moving one object change your routine?</t>
        </is>
      </c>
      <c r="E38" s="68" t="inlineStr">
        <is>
          <t>Compare accessible running shoes with shoes buried in a closet.</t>
        </is>
      </c>
      <c r="F38" s="68" t="inlineStr">
        <is>
          <t>Before-and-after shelf</t>
        </is>
      </c>
      <c r="G38" s="68" t="n">
        <v>45</v>
      </c>
      <c r="H38" s="68" t="inlineStr">
        <is>
          <t>Vetoed</t>
        </is>
      </c>
      <c r="I38" s="69" t="n">
        <v>80</v>
      </c>
      <c r="J38" s="69" t="inlineStr">
        <is>
          <t>Weak</t>
        </is>
      </c>
      <c r="K38" s="69" t="n"/>
      <c r="L38" s="70" t="n"/>
      <c r="M38" s="68">
        <f>IF(L38="","",TEXT(L38,"ddd"))</f>
        <v/>
      </c>
      <c r="N38" s="69" t="n"/>
      <c r="O38" s="69" t="n"/>
      <c r="P38" s="69" t="n"/>
      <c r="Q38" s="69" t="n"/>
      <c r="R38" s="69" t="n"/>
      <c r="S38" s="71" t="n"/>
      <c r="T38" s="69" t="n"/>
      <c r="U38" s="72">
        <f>IF(OR(T38="",N(O38)=0),"",T38/O38)</f>
        <v/>
      </c>
      <c r="V38" s="69" t="n"/>
      <c r="W38" s="69" t="n"/>
      <c r="X38" s="69" t="n"/>
      <c r="Y38" s="71" t="n"/>
      <c r="Z38" s="69" t="n"/>
      <c r="AA38" s="71" t="n"/>
      <c r="AB38" s="69" t="n"/>
      <c r="AC38" s="73">
        <f>IF(COUNT(S38,Y38,AA38)=0,"",SUM(S38,Y38,AA38))</f>
        <v/>
      </c>
      <c r="AD38" s="72">
        <f>IF(N(AC38)=0,"",SUM(V38,W38,X38,Z38,AB38)/AC38)</f>
        <v/>
      </c>
      <c r="AE38" s="71" t="n"/>
      <c r="AF38" s="71" t="n"/>
      <c r="AG38" s="71" t="n"/>
      <c r="AH38" s="73">
        <f>IF(COUNT(AE38,AF38,AG38)=0,"",SUM(AE38,AF38,AG38))</f>
        <v/>
      </c>
      <c r="AI38" s="71" t="n"/>
      <c r="AJ38" s="71" t="n"/>
      <c r="AK38" s="71" t="n"/>
      <c r="AL38" s="73">
        <f>IF(COUNT(AI38,AJ38,AK38)=0,"",SUM(AI38,AJ38,AK38))</f>
        <v/>
      </c>
      <c r="AM38" s="68">
        <f>IF(N(AC38)=0,"",IF(COUNT($AC$6:$AC$105)&lt;5,"Too early",IF(AC38&gt;=1.5*MEDIAN($AC$6:$AC$105),"Top",IF(AC38&lt;=0.5*MEDIAN($AC$6:$AC$105),"Low","Average"))))</f>
        <v/>
      </c>
      <c r="AN38" s="69" t="inlineStr">
        <is>
          <t>2026-10-22: replaced by the pattern test (Shivam)</t>
        </is>
      </c>
      <c r="AO38" s="69" t="inlineStr">
        <is>
          <t>pixel-quest</t>
        </is>
      </c>
      <c r="AP38" s="74" t="n"/>
      <c r="AQ38" s="74" t="n"/>
      <c r="AR38" s="74" t="n"/>
      <c r="AS38" s="74" t="n"/>
      <c r="AT38" s="74" t="n"/>
      <c r="AU38" s="74" t="n"/>
      <c r="AV38" s="64" t="inlineStr">
        <is>
          <t>Study reveal</t>
        </is>
      </c>
    </row>
    <row r="39" ht="60" customHeight="1" s="62">
      <c r="A39" s="68" t="n">
        <v>34</v>
      </c>
      <c r="B39" s="68" t="inlineStr">
        <is>
          <t>Habits and motivation</t>
        </is>
      </c>
      <c r="C39" s="68" t="inlineStr">
        <is>
          <t>Increasing friction</t>
        </is>
      </c>
      <c r="D39" s="68" t="inlineStr">
        <is>
          <t>Make the distraction take one extra step.</t>
        </is>
      </c>
      <c r="E39" s="68" t="inlineStr">
        <is>
          <t>Show logging out or moving an app as a personal experiment.</t>
        </is>
      </c>
      <c r="F39" s="68" t="inlineStr">
        <is>
          <t>Mock phone home screen</t>
        </is>
      </c>
      <c r="G39" s="68" t="n">
        <v>45</v>
      </c>
      <c r="H39" s="68" t="inlineStr">
        <is>
          <t>Vetoed</t>
        </is>
      </c>
      <c r="I39" s="69" t="n">
        <v>85</v>
      </c>
      <c r="J39" s="69" t="inlineStr">
        <is>
          <t>Weak</t>
        </is>
      </c>
      <c r="K39" s="69" t="n"/>
      <c r="L39" s="70" t="n"/>
      <c r="M39" s="68">
        <f>IF(L39="","",TEXT(L39,"ddd"))</f>
        <v/>
      </c>
      <c r="N39" s="69" t="n"/>
      <c r="O39" s="69" t="n"/>
      <c r="P39" s="69" t="n"/>
      <c r="Q39" s="69" t="n"/>
      <c r="R39" s="69" t="n"/>
      <c r="S39" s="71" t="n"/>
      <c r="T39" s="69" t="n"/>
      <c r="U39" s="72">
        <f>IF(OR(T39="",N(O39)=0),"",T39/O39)</f>
        <v/>
      </c>
      <c r="V39" s="69" t="n"/>
      <c r="W39" s="69" t="n"/>
      <c r="X39" s="69" t="n"/>
      <c r="Y39" s="71" t="n"/>
      <c r="Z39" s="69" t="n"/>
      <c r="AA39" s="71" t="n"/>
      <c r="AB39" s="69" t="n"/>
      <c r="AC39" s="73">
        <f>IF(COUNT(S39,Y39,AA39)=0,"",SUM(S39,Y39,AA39))</f>
        <v/>
      </c>
      <c r="AD39" s="72">
        <f>IF(N(AC39)=0,"",SUM(V39,W39,X39,Z39,AB39)/AC39)</f>
        <v/>
      </c>
      <c r="AE39" s="71" t="n"/>
      <c r="AF39" s="71" t="n"/>
      <c r="AG39" s="71" t="n"/>
      <c r="AH39" s="73">
        <f>IF(COUNT(AE39,AF39,AG39)=0,"",SUM(AE39,AF39,AG39))</f>
        <v/>
      </c>
      <c r="AI39" s="71" t="n"/>
      <c r="AJ39" s="71" t="n"/>
      <c r="AK39" s="71" t="n"/>
      <c r="AL39" s="73">
        <f>IF(COUNT(AI39,AJ39,AK39)=0,"",SUM(AI39,AJ39,AK39))</f>
        <v/>
      </c>
      <c r="AM39" s="68">
        <f>IF(N(AC39)=0,"",IF(COUNT($AC$6:$AC$105)&lt;5,"Too early",IF(AC39&gt;=1.5*MEDIAN($AC$6:$AC$105),"Top",IF(AC39&lt;=0.5*MEDIAN($AC$6:$AC$105),"Low","Average"))))</f>
        <v/>
      </c>
      <c r="AN39" s="69" t="inlineStr">
        <is>
          <t>2026-10-22: replaced by the pattern test (Shivam)</t>
        </is>
      </c>
      <c r="AO39" s="69" t="inlineStr">
        <is>
          <t>blueprint</t>
        </is>
      </c>
      <c r="AP39" s="74" t="n"/>
      <c r="AQ39" s="74" t="n"/>
      <c r="AR39" s="74" t="n"/>
      <c r="AS39" s="74" t="n"/>
      <c r="AT39" s="74" t="n"/>
      <c r="AU39" s="74" t="n"/>
      <c r="AV39" s="64" t="inlineStr">
        <is>
          <t>Study reveal</t>
        </is>
      </c>
    </row>
    <row r="40" ht="60" customHeight="1" s="62">
      <c r="A40" s="68" t="n">
        <v>35</v>
      </c>
      <c r="B40" s="68" t="inlineStr">
        <is>
          <t>Habits and motivation</t>
        </is>
      </c>
      <c r="C40" s="68" t="inlineStr">
        <is>
          <t>Present bias</t>
        </is>
      </c>
      <c r="D40" s="68" t="inlineStr">
        <is>
          <t>Why does tomorrow-you get all the hard work?</t>
        </is>
      </c>
      <c r="E40" s="68" t="inlineStr">
        <is>
          <t>Compare an immediate reward with a delayed benefit.</t>
        </is>
      </c>
      <c r="F40" s="68" t="inlineStr">
        <is>
          <t>Today and tomorrow characters</t>
        </is>
      </c>
      <c r="G40" s="68" t="n">
        <v>45</v>
      </c>
      <c r="H40" s="68" t="inlineStr">
        <is>
          <t>Published</t>
        </is>
      </c>
      <c r="I40" s="69" t="n">
        <v>14</v>
      </c>
      <c r="J40" s="69" t="inlineStr">
        <is>
          <t>Strong</t>
        </is>
      </c>
      <c r="K40" s="69" t="inlineStr">
        <is>
          <t>present-bias</t>
        </is>
      </c>
      <c r="L40" s="70" t="n">
        <v>46311</v>
      </c>
      <c r="M40" s="68">
        <f>IF(L40="","",TEXT(L40,"ddd"))</f>
        <v/>
      </c>
      <c r="N40" s="69" t="n"/>
      <c r="O40" s="69" t="n">
        <v>30</v>
      </c>
      <c r="P40" s="69" t="inlineStr">
        <is>
          <t>Why You Always Choose Now Over Later #shorts</t>
        </is>
      </c>
      <c r="Q40" s="69" t="inlineStr">
        <is>
          <t>Read &amp; van Leeuwen (1998), Organizational Behavior and Human Decision Processes 76(2)</t>
        </is>
      </c>
      <c r="R40" s="69" t="inlineStr">
        <is>
          <t>buffer:youtube=6ad131005063ce0336b55163;tiktok=6ad13101b4510d553d75dea0;instagram=6ad6884346c9e2453ba0b2bf</t>
        </is>
      </c>
      <c r="S40" s="71" t="n"/>
      <c r="T40" s="69" t="n"/>
      <c r="U40" s="72">
        <f>IF(OR(T40="",N(O40)=0),"",T40/O40)</f>
        <v/>
      </c>
      <c r="V40" s="69" t="n"/>
      <c r="W40" s="69" t="n"/>
      <c r="X40" s="69" t="n"/>
      <c r="Y40" s="71" t="n"/>
      <c r="Z40" s="69" t="n"/>
      <c r="AA40" s="71" t="n"/>
      <c r="AB40" s="69" t="n"/>
      <c r="AC40" s="73">
        <f>IF(COUNT(S40,Y40,AA40)=0,"",SUM(S40,Y40,AA40))</f>
        <v/>
      </c>
      <c r="AD40" s="72">
        <f>IF(N(AC40)=0,"",SUM(V40,W40,X40,Z40,AB40)/AC40)</f>
        <v/>
      </c>
      <c r="AE40" s="71" t="n"/>
      <c r="AF40" s="71" t="n"/>
      <c r="AG40" s="71" t="n"/>
      <c r="AH40" s="73">
        <f>IF(COUNT(AE40,AF40,AG40)=0,"",SUM(AE40,AF40,AG40))</f>
        <v/>
      </c>
      <c r="AI40" s="71" t="n"/>
      <c r="AJ40" s="71" t="n"/>
      <c r="AK40" s="71" t="n"/>
      <c r="AL40" s="73">
        <f>IF(COUNT(AI40,AJ40,AK40)=0,"",SUM(AI40,AJ40,AK40))</f>
        <v/>
      </c>
      <c r="AM40" s="68">
        <f>IF(N(AC40)=0,"",IF(COUNT($AC$6:$AC$105)&lt;5,"Too early",IF(AC40&gt;=1.5*MEDIAN($AC$6:$AC$105),"Top",IF(AC40&lt;=0.5*MEDIAN($AC$6:$AC$105),"Low","Average"))))</f>
        <v/>
      </c>
      <c r="AN40" s="69" t="n"/>
      <c r="AO40" s="69" t="inlineStr">
        <is>
          <t>ted2</t>
        </is>
      </c>
      <c r="AP40" s="74" t="n"/>
      <c r="AQ40" s="74" t="n"/>
      <c r="AR40" s="74" t="n"/>
      <c r="AS40" s="74" t="n"/>
      <c r="AT40" s="74" t="n"/>
      <c r="AU40" s="74" t="n"/>
      <c r="AV40" s="64" t="inlineStr">
        <is>
          <t>Forced choice</t>
        </is>
      </c>
    </row>
    <row r="41" ht="60" customHeight="1" s="62">
      <c r="A41" s="68" t="n">
        <v>36</v>
      </c>
      <c r="B41" s="68" t="inlineStr">
        <is>
          <t>Habits and motivation</t>
        </is>
      </c>
      <c r="C41" s="68" t="inlineStr">
        <is>
          <t>Procrastination and feelings</t>
        </is>
      </c>
      <c r="D41" s="68" t="inlineStr">
        <is>
          <t>What feeling are you avoiding when you postpone a task?</t>
        </is>
      </c>
      <c r="E41" s="68" t="inlineStr">
        <is>
          <t>Explore discomfort as one possible driver of delay.</t>
        </is>
      </c>
      <c r="F41" s="68" t="inlineStr">
        <is>
          <t>Task and emotion bubbles</t>
        </is>
      </c>
      <c r="G41" s="68" t="n">
        <v>45</v>
      </c>
      <c r="H41" s="68" t="inlineStr">
        <is>
          <t>Published</t>
        </is>
      </c>
      <c r="I41" s="69" t="n">
        <v>24</v>
      </c>
      <c r="J41" s="69" t="inlineStr">
        <is>
          <t>Strong</t>
        </is>
      </c>
      <c r="K41" s="69" t="inlineStr">
        <is>
          <t>procrastination-feelings</t>
        </is>
      </c>
      <c r="L41" s="70" t="n">
        <v>46312</v>
      </c>
      <c r="M41" s="68">
        <f>IF(L41="","",TEXT(L41,"ddd"))</f>
        <v/>
      </c>
      <c r="N41" s="69" t="n"/>
      <c r="O41" s="69" t="n">
        <v>37</v>
      </c>
      <c r="P41" s="69" t="inlineStr">
        <is>
          <t>The Hidden Feeling Behind Your Procrastination #shorts</t>
        </is>
      </c>
      <c r="Q41" s="69" t="inlineStr">
        <is>
          <t>Tice &amp; Baumeister 1997, Psychological Science 8(6):454-458; less stress early, more stress/illness late, lower grades; Sirois &amp; Pychyl 2013 mood repair</t>
        </is>
      </c>
      <c r="R41" s="69" t="inlineStr">
        <is>
          <t>buffer:youtube=6ad27e00346e510ac44f4fd1;tiktok=6ad27e005720e82b418e1bb9</t>
        </is>
      </c>
      <c r="S41" s="71" t="n"/>
      <c r="T41" s="69" t="n"/>
      <c r="U41" s="72">
        <f>IF(OR(T41="",N(O41)=0),"",T41/O41)</f>
        <v/>
      </c>
      <c r="V41" s="69" t="n"/>
      <c r="W41" s="69" t="n"/>
      <c r="X41" s="69" t="n"/>
      <c r="Y41" s="71" t="n"/>
      <c r="Z41" s="69" t="n"/>
      <c r="AA41" s="71" t="n"/>
      <c r="AB41" s="69" t="n"/>
      <c r="AC41" s="73">
        <f>IF(COUNT(S41,Y41,AA41)=0,"",SUM(S41,Y41,AA41))</f>
        <v/>
      </c>
      <c r="AD41" s="72">
        <f>IF(N(AC41)=0,"",SUM(V41,W41,X41,Z41,AB41)/AC41)</f>
        <v/>
      </c>
      <c r="AE41" s="71" t="n"/>
      <c r="AF41" s="71" t="n"/>
      <c r="AG41" s="71" t="n"/>
      <c r="AH41" s="73">
        <f>IF(COUNT(AE41,AF41,AG41)=0,"",SUM(AE41,AF41,AG41))</f>
        <v/>
      </c>
      <c r="AI41" s="71" t="n"/>
      <c r="AJ41" s="71" t="n"/>
      <c r="AK41" s="71" t="n"/>
      <c r="AL41" s="73">
        <f>IF(COUNT(AI41,AJ41,AK41)=0,"",SUM(AI41,AJ41,AK41))</f>
        <v/>
      </c>
      <c r="AM41" s="68">
        <f>IF(N(AC41)=0,"",IF(COUNT($AC$6:$AC$105)&lt;5,"Too early",IF(AC41&gt;=1.5*MEDIAN($AC$6:$AC$105),"Top",IF(AC41&lt;=0.5*MEDIAN($AC$6:$AC$105),"Low","Average"))))</f>
        <v/>
      </c>
      <c r="AN41" s="69" t="n"/>
      <c r="AO41" s="69" t="inlineStr">
        <is>
          <t>ted2</t>
        </is>
      </c>
      <c r="AP41" s="74" t="n"/>
      <c r="AQ41" s="74" t="n"/>
      <c r="AR41" s="74" t="n"/>
      <c r="AS41" s="74" t="n"/>
      <c r="AT41" s="74" t="n"/>
      <c r="AU41" s="74" t="n"/>
      <c r="AV41" s="64" t="inlineStr">
        <is>
          <t>Contrarian</t>
        </is>
      </c>
    </row>
    <row r="42" ht="60" customHeight="1" s="62">
      <c r="A42" s="68" t="n">
        <v>37</v>
      </c>
      <c r="B42" s="68" t="inlineStr">
        <is>
          <t>Habits and motivation</t>
        </is>
      </c>
      <c r="C42" s="68" t="inlineStr">
        <is>
          <t>Reward timing</t>
        </is>
      </c>
      <c r="D42" s="68" t="inlineStr">
        <is>
          <t>Why might a small immediate reward matter?</t>
        </is>
      </c>
      <c r="E42" s="68" t="inlineStr">
        <is>
          <t>Design a modest reward after completing a study block.</t>
        </is>
      </c>
      <c r="F42" s="68" t="inlineStr">
        <is>
          <t>Timer and tea mug</t>
        </is>
      </c>
      <c r="G42" s="68" t="n">
        <v>45</v>
      </c>
      <c r="H42" s="68" t="inlineStr">
        <is>
          <t>Published</t>
        </is>
      </c>
      <c r="I42" s="69" t="n">
        <v>33</v>
      </c>
      <c r="J42" s="69" t="inlineStr">
        <is>
          <t>Strong</t>
        </is>
      </c>
      <c r="K42" s="69" t="inlineStr">
        <is>
          <t>immediate-rewards</t>
        </is>
      </c>
      <c r="L42" s="70" t="n">
        <v>46315</v>
      </c>
      <c r="M42" s="68">
        <f>IF(L42="","",TEXT(L42,"ddd"))</f>
        <v/>
      </c>
      <c r="N42" s="69" t="n"/>
      <c r="O42" s="69" t="n">
        <v>39</v>
      </c>
      <c r="P42" s="69" t="inlineStr">
        <is>
          <t>Why a Small Reward Right Away Works Better #shorts</t>
        </is>
      </c>
      <c r="Q42" s="69" t="inlineStr">
        <is>
          <t>Woolley &amp; Fishbach 2018, JPSP 114(6):877-890; immediate vs delayed rewards increase interest/persistence after reward ends</t>
        </is>
      </c>
      <c r="R42" s="69" t="inlineStr">
        <is>
          <t>buffer:youtube=6ad6883d7b002f7cbe4fb9ca;instagram=6ad6883d52bb7ebd605f358e;tiktok=6ad6883ee61f3ff983517640</t>
        </is>
      </c>
      <c r="S42" s="71" t="n"/>
      <c r="T42" s="69" t="n"/>
      <c r="U42" s="72">
        <f>IF(OR(T42="",N(O42)=0),"",T42/O42)</f>
        <v/>
      </c>
      <c r="V42" s="69" t="n"/>
      <c r="W42" s="69" t="n"/>
      <c r="X42" s="69" t="n"/>
      <c r="Y42" s="71" t="n"/>
      <c r="Z42" s="69" t="n"/>
      <c r="AA42" s="71" t="n"/>
      <c r="AB42" s="69" t="n"/>
      <c r="AC42" s="73">
        <f>IF(COUNT(S42,Y42,AA42)=0,"",SUM(S42,Y42,AA42))</f>
        <v/>
      </c>
      <c r="AD42" s="72">
        <f>IF(N(AC42)=0,"",SUM(V42,W42,X42,Z42,AB42)/AC42)</f>
        <v/>
      </c>
      <c r="AE42" s="71" t="n"/>
      <c r="AF42" s="71" t="n"/>
      <c r="AG42" s="71" t="n"/>
      <c r="AH42" s="73">
        <f>IF(COUNT(AE42,AF42,AG42)=0,"",SUM(AE42,AF42,AG42))</f>
        <v/>
      </c>
      <c r="AI42" s="71" t="n"/>
      <c r="AJ42" s="71" t="n"/>
      <c r="AK42" s="71" t="n"/>
      <c r="AL42" s="73">
        <f>IF(COUNT(AI42,AJ42,AK42)=0,"",SUM(AI42,AJ42,AK42))</f>
        <v/>
      </c>
      <c r="AM42" s="68">
        <f>IF(N(AC42)=0,"",IF(COUNT($AC$6:$AC$105)&lt;5,"Too early",IF(AC42&gt;=1.5*MEDIAN($AC$6:$AC$105),"Top",IF(AC42&lt;=0.5*MEDIAN($AC$6:$AC$105),"Low","Average"))))</f>
        <v/>
      </c>
      <c r="AN42" s="69" t="n"/>
      <c r="AO42" s="69" t="inlineStr">
        <is>
          <t>ted2</t>
        </is>
      </c>
      <c r="AP42" s="74" t="n"/>
      <c r="AQ42" s="74" t="n"/>
      <c r="AR42" s="74" t="n"/>
      <c r="AS42" s="74" t="n"/>
      <c r="AT42" s="74" t="n"/>
      <c r="AU42" s="74" t="n"/>
      <c r="AV42" s="64" t="inlineStr">
        <is>
          <t>Study reveal</t>
        </is>
      </c>
    </row>
    <row r="43" ht="60" customHeight="1" s="62">
      <c r="A43" s="68" t="n">
        <v>38</v>
      </c>
      <c r="B43" s="68" t="inlineStr">
        <is>
          <t>Habits and motivation</t>
        </is>
      </c>
      <c r="C43" s="68" t="inlineStr">
        <is>
          <t>Goal specificity</t>
        </is>
      </c>
      <c r="D43" s="68" t="inlineStr">
        <is>
          <t>Can you act on 'be more productive'?</t>
        </is>
      </c>
      <c r="E43" s="68" t="inlineStr">
        <is>
          <t>Turn a vague goal into a clearly defined next action.</t>
        </is>
      </c>
      <c r="F43" s="68" t="inlineStr">
        <is>
          <t>Goal rewritten onscreen</t>
        </is>
      </c>
      <c r="G43" s="68" t="n">
        <v>45</v>
      </c>
      <c r="H43" s="68" t="inlineStr">
        <is>
          <t>Vetoed</t>
        </is>
      </c>
      <c r="I43" s="69" t="n">
        <v>89</v>
      </c>
      <c r="J43" s="69" t="inlineStr">
        <is>
          <t>Weak</t>
        </is>
      </c>
      <c r="K43" s="69" t="n"/>
      <c r="L43" s="70" t="n"/>
      <c r="M43" s="68">
        <f>IF(L43="","",TEXT(L43,"ddd"))</f>
        <v/>
      </c>
      <c r="N43" s="69" t="n"/>
      <c r="O43" s="69" t="n"/>
      <c r="P43" s="69" t="n"/>
      <c r="Q43" s="69" t="n"/>
      <c r="R43" s="69" t="n"/>
      <c r="S43" s="71" t="n"/>
      <c r="T43" s="69" t="n"/>
      <c r="U43" s="72">
        <f>IF(OR(T43="",N(O43)=0),"",T43/O43)</f>
        <v/>
      </c>
      <c r="V43" s="69" t="n"/>
      <c r="W43" s="69" t="n"/>
      <c r="X43" s="69" t="n"/>
      <c r="Y43" s="71" t="n"/>
      <c r="Z43" s="69" t="n"/>
      <c r="AA43" s="71" t="n"/>
      <c r="AB43" s="69" t="n"/>
      <c r="AC43" s="73">
        <f>IF(COUNT(S43,Y43,AA43)=0,"",SUM(S43,Y43,AA43))</f>
        <v/>
      </c>
      <c r="AD43" s="72">
        <f>IF(N(AC43)=0,"",SUM(V43,W43,X43,Z43,AB43)/AC43)</f>
        <v/>
      </c>
      <c r="AE43" s="71" t="n"/>
      <c r="AF43" s="71" t="n"/>
      <c r="AG43" s="71" t="n"/>
      <c r="AH43" s="73">
        <f>IF(COUNT(AE43,AF43,AG43)=0,"",SUM(AE43,AF43,AG43))</f>
        <v/>
      </c>
      <c r="AI43" s="71" t="n"/>
      <c r="AJ43" s="71" t="n"/>
      <c r="AK43" s="71" t="n"/>
      <c r="AL43" s="73">
        <f>IF(COUNT(AI43,AJ43,AK43)=0,"",SUM(AI43,AJ43,AK43))</f>
        <v/>
      </c>
      <c r="AM43" s="68">
        <f>IF(N(AC43)=0,"",IF(COUNT($AC$6:$AC$105)&lt;5,"Too early",IF(AC43&gt;=1.5*MEDIAN($AC$6:$AC$105),"Top",IF(AC43&lt;=0.5*MEDIAN($AC$6:$AC$105),"Low","Average"))))</f>
        <v/>
      </c>
      <c r="AN43" s="69" t="inlineStr">
        <is>
          <t>2026-10-22: replaced by the pattern test (Shivam)</t>
        </is>
      </c>
      <c r="AO43" s="69" t="inlineStr">
        <is>
          <t>swiss</t>
        </is>
      </c>
      <c r="AP43" s="74" t="n"/>
      <c r="AQ43" s="74" t="n"/>
      <c r="AR43" s="74" t="n"/>
      <c r="AS43" s="74" t="n"/>
      <c r="AT43" s="74" t="n"/>
      <c r="AU43" s="74" t="n"/>
      <c r="AV43" s="64" t="inlineStr">
        <is>
          <t>Contrarian</t>
        </is>
      </c>
    </row>
    <row r="44" ht="60" customHeight="1" s="62">
      <c r="A44" s="68" t="n">
        <v>39</v>
      </c>
      <c r="B44" s="68" t="inlineStr">
        <is>
          <t>Habits and motivation</t>
        </is>
      </c>
      <c r="C44" s="68" t="inlineStr">
        <is>
          <t>Motivation versus routines</t>
        </is>
      </c>
      <c r="D44" s="68" t="inlineStr">
        <is>
          <t>What carries the task on a low-motivation day?</t>
        </is>
      </c>
      <c r="E44" s="68" t="inlineStr">
        <is>
          <t>Show how a simple routine can reduce repeated decisions.</t>
        </is>
      </c>
      <c r="F44" s="68" t="inlineStr">
        <is>
          <t>Calendar and repeatable setup</t>
        </is>
      </c>
      <c r="G44" s="68" t="n">
        <v>45</v>
      </c>
      <c r="H44" s="68" t="inlineStr">
        <is>
          <t>Vetoed</t>
        </is>
      </c>
      <c r="I44" s="69" t="n">
        <v>92</v>
      </c>
      <c r="J44" s="69" t="inlineStr">
        <is>
          <t>Weak</t>
        </is>
      </c>
      <c r="K44" s="69" t="n"/>
      <c r="L44" s="70" t="n"/>
      <c r="M44" s="68">
        <f>IF(L44="","",TEXT(L44,"ddd"))</f>
        <v/>
      </c>
      <c r="N44" s="69" t="n"/>
      <c r="O44" s="69" t="n"/>
      <c r="P44" s="69" t="n"/>
      <c r="Q44" s="69" t="n"/>
      <c r="R44" s="69" t="n"/>
      <c r="S44" s="71" t="n"/>
      <c r="T44" s="69" t="n"/>
      <c r="U44" s="72">
        <f>IF(OR(T44="",N(O44)=0),"",T44/O44)</f>
        <v/>
      </c>
      <c r="V44" s="69" t="n"/>
      <c r="W44" s="69" t="n"/>
      <c r="X44" s="69" t="n"/>
      <c r="Y44" s="71" t="n"/>
      <c r="Z44" s="69" t="n"/>
      <c r="AA44" s="71" t="n"/>
      <c r="AB44" s="69" t="n"/>
      <c r="AC44" s="73">
        <f>IF(COUNT(S44,Y44,AA44)=0,"",SUM(S44,Y44,AA44))</f>
        <v/>
      </c>
      <c r="AD44" s="72">
        <f>IF(N(AC44)=0,"",SUM(V44,W44,X44,Z44,AB44)/AC44)</f>
        <v/>
      </c>
      <c r="AE44" s="71" t="n"/>
      <c r="AF44" s="71" t="n"/>
      <c r="AG44" s="71" t="n"/>
      <c r="AH44" s="73">
        <f>IF(COUNT(AE44,AF44,AG44)=0,"",SUM(AE44,AF44,AG44))</f>
        <v/>
      </c>
      <c r="AI44" s="71" t="n"/>
      <c r="AJ44" s="71" t="n"/>
      <c r="AK44" s="71" t="n"/>
      <c r="AL44" s="73">
        <f>IF(COUNT(AI44,AJ44,AK44)=0,"",SUM(AI44,AJ44,AK44))</f>
        <v/>
      </c>
      <c r="AM44" s="68">
        <f>IF(N(AC44)=0,"",IF(COUNT($AC$6:$AC$105)&lt;5,"Too early",IF(AC44&gt;=1.5*MEDIAN($AC$6:$AC$105),"Top",IF(AC44&lt;=0.5*MEDIAN($AC$6:$AC$105),"Low","Average"))))</f>
        <v/>
      </c>
      <c r="AN44" s="69" t="inlineStr">
        <is>
          <t>2026-10-22: replaced by the pattern test (Shivam)</t>
        </is>
      </c>
      <c r="AO44" s="69" t="inlineStr">
        <is>
          <t>cartoon-50s</t>
        </is>
      </c>
      <c r="AP44" s="74" t="n"/>
      <c r="AQ44" s="74" t="n"/>
      <c r="AR44" s="74" t="n"/>
      <c r="AS44" s="74" t="n"/>
      <c r="AT44" s="74" t="n"/>
      <c r="AU44" s="74" t="n"/>
      <c r="AV44" s="64" t="inlineStr">
        <is>
          <t>Study reveal</t>
        </is>
      </c>
    </row>
    <row r="45" ht="60" customHeight="1" s="62">
      <c r="A45" s="68" t="n">
        <v>40</v>
      </c>
      <c r="B45" s="68" t="inlineStr">
        <is>
          <t>Habits and motivation</t>
        </is>
      </c>
      <c r="C45" s="68" t="inlineStr">
        <is>
          <t>Tracking progress</t>
        </is>
      </c>
      <c r="D45" s="68" t="inlineStr">
        <is>
          <t>Are you noticing the steps you already completed?</t>
        </is>
      </c>
      <c r="E45" s="68" t="inlineStr">
        <is>
          <t>Use a visible progress log without promising universal results.</t>
        </is>
      </c>
      <c r="F45" s="68" t="inlineStr">
        <is>
          <t>Checklist filling up</t>
        </is>
      </c>
      <c r="G45" s="68" t="n">
        <v>45</v>
      </c>
      <c r="H45" s="68" t="inlineStr">
        <is>
          <t>Vetoed</t>
        </is>
      </c>
      <c r="I45" s="69" t="n">
        <v>95</v>
      </c>
      <c r="J45" s="69" t="inlineStr">
        <is>
          <t>Weak</t>
        </is>
      </c>
      <c r="K45" s="69" t="n"/>
      <c r="L45" s="70" t="n"/>
      <c r="M45" s="68">
        <f>IF(L45="","",TEXT(L45,"ddd"))</f>
        <v/>
      </c>
      <c r="N45" s="69" t="n"/>
      <c r="O45" s="69" t="n"/>
      <c r="P45" s="69" t="n"/>
      <c r="Q45" s="69" t="n"/>
      <c r="R45" s="69" t="n"/>
      <c r="S45" s="71" t="n"/>
      <c r="T45" s="69" t="n"/>
      <c r="U45" s="72">
        <f>IF(OR(T45="",N(O45)=0),"",T45/O45)</f>
        <v/>
      </c>
      <c r="V45" s="69" t="n"/>
      <c r="W45" s="69" t="n"/>
      <c r="X45" s="69" t="n"/>
      <c r="Y45" s="71" t="n"/>
      <c r="Z45" s="69" t="n"/>
      <c r="AA45" s="71" t="n"/>
      <c r="AB45" s="69" t="n"/>
      <c r="AC45" s="73">
        <f>IF(COUNT(S45,Y45,AA45)=0,"",SUM(S45,Y45,AA45))</f>
        <v/>
      </c>
      <c r="AD45" s="72">
        <f>IF(N(AC45)=0,"",SUM(V45,W45,X45,Z45,AB45)/AC45)</f>
        <v/>
      </c>
      <c r="AE45" s="71" t="n"/>
      <c r="AF45" s="71" t="n"/>
      <c r="AG45" s="71" t="n"/>
      <c r="AH45" s="73">
        <f>IF(COUNT(AE45,AF45,AG45)=0,"",SUM(AE45,AF45,AG45))</f>
        <v/>
      </c>
      <c r="AI45" s="71" t="n"/>
      <c r="AJ45" s="71" t="n"/>
      <c r="AK45" s="71" t="n"/>
      <c r="AL45" s="73">
        <f>IF(COUNT(AI45,AJ45,AK45)=0,"",SUM(AI45,AJ45,AK45))</f>
        <v/>
      </c>
      <c r="AM45" s="68">
        <f>IF(N(AC45)=0,"",IF(COUNT($AC$6:$AC$105)&lt;5,"Too early",IF(AC45&gt;=1.5*MEDIAN($AC$6:$AC$105),"Top",IF(AC45&lt;=0.5*MEDIAN($AC$6:$AC$105),"Low","Average"))))</f>
        <v/>
      </c>
      <c r="AN45" s="69" t="inlineStr">
        <is>
          <t>2026-10-22: replaced by the pattern test (Shivam)</t>
        </is>
      </c>
      <c r="AO45" s="69" t="inlineStr">
        <is>
          <t>data-story</t>
        </is>
      </c>
      <c r="AP45" s="74" t="n"/>
      <c r="AQ45" s="74" t="n"/>
      <c r="AR45" s="74" t="n"/>
      <c r="AS45" s="74" t="n"/>
      <c r="AT45" s="74" t="n"/>
      <c r="AU45" s="74" t="n"/>
      <c r="AV45" s="64" t="inlineStr">
        <is>
          <t>Study reveal</t>
        </is>
      </c>
    </row>
    <row r="46" ht="60" customHeight="1" s="62">
      <c r="A46" s="68" t="n">
        <v>41</v>
      </c>
      <c r="B46" s="68" t="inlineStr">
        <is>
          <t>Emotions and self-awareness</t>
        </is>
      </c>
      <c r="C46" s="68" t="inlineStr">
        <is>
          <t>Naming an emotion</t>
        </is>
      </c>
      <c r="D46" s="68" t="inlineStr">
        <is>
          <t>Is it anger, disappointment, or embarrassment?</t>
        </is>
      </c>
      <c r="E46" s="68" t="inlineStr">
        <is>
          <t>Show how a more precise label changes the conversation.</t>
        </is>
      </c>
      <c r="F46" s="68" t="inlineStr">
        <is>
          <t>Emotion word cards</t>
        </is>
      </c>
      <c r="G46" s="68" t="n">
        <v>45</v>
      </c>
      <c r="H46" s="68" t="inlineStr">
        <is>
          <t>Vetoed</t>
        </is>
      </c>
      <c r="I46" s="69" t="n">
        <v>74</v>
      </c>
      <c r="J46" s="69" t="inlineStr">
        <is>
          <t>Weak</t>
        </is>
      </c>
      <c r="K46" s="69" t="n"/>
      <c r="L46" s="70" t="n"/>
      <c r="M46" s="68">
        <f>IF(L46="","",TEXT(L46,"ddd"))</f>
        <v/>
      </c>
      <c r="N46" s="69" t="n"/>
      <c r="O46" s="69" t="n"/>
      <c r="P46" s="69" t="n"/>
      <c r="Q46" s="69" t="n"/>
      <c r="R46" s="69" t="n"/>
      <c r="S46" s="71" t="n"/>
      <c r="T46" s="69" t="n"/>
      <c r="U46" s="72">
        <f>IF(OR(T46="",N(O46)=0),"",T46/O46)</f>
        <v/>
      </c>
      <c r="V46" s="69" t="n"/>
      <c r="W46" s="69" t="n"/>
      <c r="X46" s="69" t="n"/>
      <c r="Y46" s="71" t="n"/>
      <c r="Z46" s="69" t="n"/>
      <c r="AA46" s="71" t="n"/>
      <c r="AB46" s="69" t="n"/>
      <c r="AC46" s="73">
        <f>IF(COUNT(S46,Y46,AA46)=0,"",SUM(S46,Y46,AA46))</f>
        <v/>
      </c>
      <c r="AD46" s="72">
        <f>IF(N(AC46)=0,"",SUM(V46,W46,X46,Z46,AB46)/AC46)</f>
        <v/>
      </c>
      <c r="AE46" s="71" t="n"/>
      <c r="AF46" s="71" t="n"/>
      <c r="AG46" s="71" t="n"/>
      <c r="AH46" s="73">
        <f>IF(COUNT(AE46,AF46,AG46)=0,"",SUM(AE46,AF46,AG46))</f>
        <v/>
      </c>
      <c r="AI46" s="71" t="n"/>
      <c r="AJ46" s="71" t="n"/>
      <c r="AK46" s="71" t="n"/>
      <c r="AL46" s="73">
        <f>IF(COUNT(AI46,AJ46,AK46)=0,"",SUM(AI46,AJ46,AK46))</f>
        <v/>
      </c>
      <c r="AM46" s="68">
        <f>IF(N(AC46)=0,"",IF(COUNT($AC$6:$AC$105)&lt;5,"Too early",IF(AC46&gt;=1.5*MEDIAN($AC$6:$AC$105),"Top",IF(AC46&lt;=0.5*MEDIAN($AC$6:$AC$105),"Low","Average"))))</f>
        <v/>
      </c>
      <c r="AN46" s="69" t="inlineStr">
        <is>
          <t>2026-10-22: replaced by the pattern test (Shivam)</t>
        </is>
      </c>
      <c r="AO46" s="69" t="inlineStr">
        <is>
          <t>crayon</t>
        </is>
      </c>
      <c r="AP46" s="74" t="n"/>
      <c r="AQ46" s="74" t="n"/>
      <c r="AR46" s="74" t="n"/>
      <c r="AS46" s="74" t="n"/>
      <c r="AT46" s="74" t="n"/>
      <c r="AU46" s="74" t="n"/>
      <c r="AV46" s="64" t="inlineStr">
        <is>
          <t>Study reveal</t>
        </is>
      </c>
    </row>
    <row r="47" ht="60" customHeight="1" s="62">
      <c r="A47" s="68" t="n">
        <v>42</v>
      </c>
      <c r="B47" s="68" t="inlineStr">
        <is>
          <t>Emotions and self-awareness</t>
        </is>
      </c>
      <c r="C47" s="68" t="inlineStr">
        <is>
          <t>Feelings versus conclusions</t>
        </is>
      </c>
      <c r="D47" s="68" t="inlineStr">
        <is>
          <t>Does feeling rejected prove you were rejected?</t>
        </is>
      </c>
      <c r="E47" s="68" t="inlineStr">
        <is>
          <t>Separate an emotional response from an interpretation.</t>
        </is>
      </c>
      <c r="F47" s="68" t="inlineStr">
        <is>
          <t>Text message with two interpretations</t>
        </is>
      </c>
      <c r="G47" s="68" t="n">
        <v>45</v>
      </c>
      <c r="H47" s="68" t="inlineStr">
        <is>
          <t>Published</t>
        </is>
      </c>
      <c r="I47" s="69" t="n">
        <v>5</v>
      </c>
      <c r="J47" s="69" t="inlineStr">
        <is>
          <t>Strong</t>
        </is>
      </c>
      <c r="K47" s="69" t="inlineStr">
        <is>
          <t>emotional-reasoning</t>
        </is>
      </c>
      <c r="L47" s="70" t="n">
        <v>46309</v>
      </c>
      <c r="M47" s="68">
        <f>IF(L47="","",TEXT(L47,"ddd"))</f>
        <v/>
      </c>
      <c r="N47" s="69" t="inlineStr">
        <is>
          <t>thoughts</t>
        </is>
      </c>
      <c r="O47" s="69" t="n">
        <v>46</v>
      </c>
      <c r="P47" s="69" t="inlineStr">
        <is>
          <t>Your Feelings Aren't Always Facts #shorts</t>
        </is>
      </c>
      <c r="Q47" s="69" t="inlineStr">
        <is>
          <t>Arntz, Rauner &amp; van den Hout 1995, Behaviour Research and Therapy 33(8):917-925, n=186; anxiety patients used anxiety-response info, controls only objective danger</t>
        </is>
      </c>
      <c r="R47" s="69" t="inlineStr">
        <is>
          <t>buffer:youtube=6ace86e1eaea728d3cae7fdc;instagram=6ace86e11bdf729a2aa961ae;tiktok=6ace86e29abb1755a4728c48</t>
        </is>
      </c>
      <c r="S47" s="71" t="n"/>
      <c r="T47" s="69" t="n"/>
      <c r="U47" s="72">
        <f>IF(OR(T47="",N(O47)=0),"",T47/O47)</f>
        <v/>
      </c>
      <c r="V47" s="69" t="n"/>
      <c r="W47" s="69" t="n"/>
      <c r="X47" s="69" t="n"/>
      <c r="Y47" s="71" t="n"/>
      <c r="Z47" s="69" t="n"/>
      <c r="AA47" s="71" t="n"/>
      <c r="AB47" s="69" t="n"/>
      <c r="AC47" s="73">
        <f>IF(COUNT(S47,Y47,AA47)=0,"",SUM(S47,Y47,AA47))</f>
        <v/>
      </c>
      <c r="AD47" s="72">
        <f>IF(N(AC47)=0,"",SUM(V47,W47,X47,Z47,AB47)/AC47)</f>
        <v/>
      </c>
      <c r="AE47" s="71" t="n"/>
      <c r="AF47" s="71" t="n"/>
      <c r="AG47" s="71" t="n"/>
      <c r="AH47" s="73">
        <f>IF(COUNT(AE47,AF47,AG47)=0,"",SUM(AE47,AF47,AG47))</f>
        <v/>
      </c>
      <c r="AI47" s="71" t="n"/>
      <c r="AJ47" s="71" t="n"/>
      <c r="AK47" s="71" t="n"/>
      <c r="AL47" s="73">
        <f>IF(COUNT(AI47,AJ47,AK47)=0,"",SUM(AI47,AJ47,AK47))</f>
        <v/>
      </c>
      <c r="AM47" s="68">
        <f>IF(N(AC47)=0,"",IF(COUNT($AC$6:$AC$105)&lt;5,"Too early",IF(AC47&gt;=1.5*MEDIAN($AC$6:$AC$105),"Top",IF(AC47&lt;=0.5*MEDIAN($AC$6:$AC$105),"Low","Average"))))</f>
        <v/>
      </c>
      <c r="AN47" s="69" t="n"/>
      <c r="AO47" s="69" t="inlineStr">
        <is>
          <t>one-line</t>
        </is>
      </c>
      <c r="AP47" s="74" t="n"/>
      <c r="AQ47" s="74" t="n"/>
      <c r="AR47" s="74" t="n"/>
      <c r="AS47" s="74" t="n"/>
      <c r="AT47" s="74" t="n"/>
      <c r="AU47" s="74" t="n"/>
      <c r="AV47" s="64" t="inlineStr">
        <is>
          <t>You-callout</t>
        </is>
      </c>
    </row>
    <row r="48" ht="60" customHeight="1" s="62">
      <c r="A48" s="68" t="n">
        <v>43</v>
      </c>
      <c r="B48" s="68" t="inlineStr">
        <is>
          <t>Emotions and self-awareness</t>
        </is>
      </c>
      <c r="C48" s="68" t="inlineStr">
        <is>
          <t>Reappraisal</t>
        </is>
      </c>
      <c r="D48" s="68" t="inlineStr">
        <is>
          <t>Can the same setback have two meanings?</t>
        </is>
      </c>
      <c r="E48" s="68" t="inlineStr">
        <is>
          <t>Compare a fixed negative interpretation with another plausible one.</t>
        </is>
      </c>
      <c r="F48" s="68" t="inlineStr">
        <is>
          <t>Missed bus scenario</t>
        </is>
      </c>
      <c r="G48" s="68" t="n">
        <v>45</v>
      </c>
      <c r="H48" s="68" t="inlineStr">
        <is>
          <t>Published</t>
        </is>
      </c>
      <c r="I48" s="69" t="n">
        <v>15</v>
      </c>
      <c r="J48" s="69" t="inlineStr">
        <is>
          <t>Strong</t>
        </is>
      </c>
      <c r="K48" s="69" t="inlineStr">
        <is>
          <t>reappraisal</t>
        </is>
      </c>
      <c r="L48" s="70" t="n">
        <v>46309</v>
      </c>
      <c r="M48" s="68">
        <f>IF(L48="","",TEXT(L48,"ddd"))</f>
        <v/>
      </c>
      <c r="N48" s="69" t="n"/>
      <c r="O48" s="69" t="n">
        <v>27</v>
      </c>
      <c r="P48" s="69" t="inlineStr">
        <is>
          <t>Say These 3 Words Before Anything Scary #shorts</t>
        </is>
      </c>
      <c r="Q48" s="69" t="inlineStr">
        <is>
          <t>Brooks (2014), Journal of Experimental Psychology: General 143(3)</t>
        </is>
      </c>
      <c r="R48" s="69" t="inlineStr">
        <is>
          <t>buffer:youtube=6ad04e620d0df6a75bc21aba;instagram=6ad04e6278f377d888aeff2b;tiktok=6ad04e63e09e6bdb27e11075</t>
        </is>
      </c>
      <c r="S48" s="71" t="n"/>
      <c r="T48" s="69" t="n"/>
      <c r="U48" s="72">
        <f>IF(OR(T48="",N(O48)=0),"",T48/O48)</f>
        <v/>
      </c>
      <c r="V48" s="69" t="n"/>
      <c r="W48" s="69" t="n"/>
      <c r="X48" s="69" t="n"/>
      <c r="Y48" s="71" t="n"/>
      <c r="Z48" s="69" t="n"/>
      <c r="AA48" s="71" t="n"/>
      <c r="AB48" s="69" t="n"/>
      <c r="AC48" s="73">
        <f>IF(COUNT(S48,Y48,AA48)=0,"",SUM(S48,Y48,AA48))</f>
        <v/>
      </c>
      <c r="AD48" s="72">
        <f>IF(N(AC48)=0,"",SUM(V48,W48,X48,Z48,AB48)/AC48)</f>
        <v/>
      </c>
      <c r="AE48" s="71" t="n"/>
      <c r="AF48" s="71" t="n"/>
      <c r="AG48" s="71" t="n"/>
      <c r="AH48" s="73">
        <f>IF(COUNT(AE48,AF48,AG48)=0,"",SUM(AE48,AF48,AG48))</f>
        <v/>
      </c>
      <c r="AI48" s="71" t="n"/>
      <c r="AJ48" s="71" t="n"/>
      <c r="AK48" s="71" t="n"/>
      <c r="AL48" s="73">
        <f>IF(COUNT(AI48,AJ48,AK48)=0,"",SUM(AI48,AJ48,AK48))</f>
        <v/>
      </c>
      <c r="AM48" s="68">
        <f>IF(N(AC48)=0,"",IF(COUNT($AC$6:$AC$105)&lt;5,"Too early",IF(AC48&gt;=1.5*MEDIAN($AC$6:$AC$105),"Top",IF(AC48&lt;=0.5*MEDIAN($AC$6:$AC$105),"Low","Average"))))</f>
        <v/>
      </c>
      <c r="AN48" s="69" t="n"/>
      <c r="AO48" s="69" t="inlineStr">
        <is>
          <t>ted1</t>
        </is>
      </c>
      <c r="AP48" s="74" t="n"/>
      <c r="AQ48" s="74" t="n"/>
      <c r="AR48" s="74" t="n"/>
      <c r="AS48" s="74" t="n"/>
      <c r="AT48" s="74" t="n"/>
      <c r="AU48" s="74" t="n"/>
      <c r="AV48" s="64" t="inlineStr">
        <is>
          <t>Study reveal</t>
        </is>
      </c>
    </row>
    <row r="49" ht="60" customHeight="1" s="62">
      <c r="A49" s="68" t="n">
        <v>44</v>
      </c>
      <c r="B49" s="68" t="inlineStr">
        <is>
          <t>Emotions and self-awareness</t>
        </is>
      </c>
      <c r="C49" s="68" t="inlineStr">
        <is>
          <t>Mixed emotions</t>
        </is>
      </c>
      <c r="D49" s="68" t="inlineStr">
        <is>
          <t>Can you feel excited and sad at the same time?</t>
        </is>
      </c>
      <c r="E49" s="68" t="inlineStr">
        <is>
          <t>Use graduation or moving away to show emotional coexistence.</t>
        </is>
      </c>
      <c r="F49" s="68" t="inlineStr">
        <is>
          <t>Packing boxes and graduation cap</t>
        </is>
      </c>
      <c r="G49" s="68" t="n">
        <v>45</v>
      </c>
      <c r="H49" s="68" t="inlineStr">
        <is>
          <t>Vetoed</t>
        </is>
      </c>
      <c r="I49" s="69" t="n">
        <v>81</v>
      </c>
      <c r="J49" s="69" t="inlineStr">
        <is>
          <t>Weak</t>
        </is>
      </c>
      <c r="K49" s="69" t="n"/>
      <c r="L49" s="70" t="n"/>
      <c r="M49" s="68">
        <f>IF(L49="","",TEXT(L49,"ddd"))</f>
        <v/>
      </c>
      <c r="N49" s="69" t="n"/>
      <c r="O49" s="69" t="n"/>
      <c r="P49" s="69" t="n"/>
      <c r="Q49" s="69" t="n"/>
      <c r="R49" s="69" t="n"/>
      <c r="S49" s="71" t="n"/>
      <c r="T49" s="69" t="n"/>
      <c r="U49" s="72">
        <f>IF(OR(T49="",N(O49)=0),"",T49/O49)</f>
        <v/>
      </c>
      <c r="V49" s="69" t="n"/>
      <c r="W49" s="69" t="n"/>
      <c r="X49" s="69" t="n"/>
      <c r="Y49" s="71" t="n"/>
      <c r="Z49" s="69" t="n"/>
      <c r="AA49" s="71" t="n"/>
      <c r="AB49" s="69" t="n"/>
      <c r="AC49" s="73">
        <f>IF(COUNT(S49,Y49,AA49)=0,"",SUM(S49,Y49,AA49))</f>
        <v/>
      </c>
      <c r="AD49" s="72">
        <f>IF(N(AC49)=0,"",SUM(V49,W49,X49,Z49,AB49)/AC49)</f>
        <v/>
      </c>
      <c r="AE49" s="71" t="n"/>
      <c r="AF49" s="71" t="n"/>
      <c r="AG49" s="71" t="n"/>
      <c r="AH49" s="73">
        <f>IF(COUNT(AE49,AF49,AG49)=0,"",SUM(AE49,AF49,AG49))</f>
        <v/>
      </c>
      <c r="AI49" s="71" t="n"/>
      <c r="AJ49" s="71" t="n"/>
      <c r="AK49" s="71" t="n"/>
      <c r="AL49" s="73">
        <f>IF(COUNT(AI49,AJ49,AK49)=0,"",SUM(AI49,AJ49,AK49))</f>
        <v/>
      </c>
      <c r="AM49" s="68">
        <f>IF(N(AC49)=0,"",IF(COUNT($AC$6:$AC$105)&lt;5,"Too early",IF(AC49&gt;=1.5*MEDIAN($AC$6:$AC$105),"Top",IF(AC49&lt;=0.5*MEDIAN($AC$6:$AC$105),"Low","Average"))))</f>
        <v/>
      </c>
      <c r="AN49" s="69" t="inlineStr">
        <is>
          <t>2026-10-22: replaced by the pattern test (Shivam)</t>
        </is>
      </c>
      <c r="AO49" s="69" t="inlineStr">
        <is>
          <t>crayon</t>
        </is>
      </c>
      <c r="AP49" s="74" t="n"/>
      <c r="AQ49" s="74" t="n"/>
      <c r="AR49" s="74" t="n"/>
      <c r="AS49" s="74" t="n"/>
      <c r="AT49" s="74" t="n"/>
      <c r="AU49" s="74" t="n"/>
      <c r="AV49" s="64" t="inlineStr">
        <is>
          <t>You-callout</t>
        </is>
      </c>
    </row>
    <row r="50" ht="60" customHeight="1" s="62">
      <c r="A50" s="68" t="n">
        <v>45</v>
      </c>
      <c r="B50" s="68" t="inlineStr">
        <is>
          <t>Emotions and self-awareness</t>
        </is>
      </c>
      <c r="C50" s="68" t="inlineStr">
        <is>
          <t>Rumination versus reflection</t>
        </is>
      </c>
      <c r="D50" s="68" t="inlineStr">
        <is>
          <t>Are you solving the problem or replaying it?</t>
        </is>
      </c>
      <c r="E50" s="68" t="inlineStr">
        <is>
          <t>Compare repetitive questions with a concrete next step.</t>
        </is>
      </c>
      <c r="F50" s="68" t="inlineStr">
        <is>
          <t>Loop animation versus action note</t>
        </is>
      </c>
      <c r="G50" s="68" t="n">
        <v>45</v>
      </c>
      <c r="H50" s="68" t="inlineStr">
        <is>
          <t>Vetoed</t>
        </is>
      </c>
      <c r="I50" s="69" t="n">
        <v>86</v>
      </c>
      <c r="J50" s="69" t="inlineStr">
        <is>
          <t>Weak</t>
        </is>
      </c>
      <c r="K50" s="69" t="n"/>
      <c r="L50" s="70" t="n"/>
      <c r="M50" s="68">
        <f>IF(L50="","",TEXT(L50,"ddd"))</f>
        <v/>
      </c>
      <c r="N50" s="69" t="n"/>
      <c r="O50" s="69" t="n"/>
      <c r="P50" s="69" t="n"/>
      <c r="Q50" s="69" t="n"/>
      <c r="R50" s="69" t="n"/>
      <c r="S50" s="71" t="n"/>
      <c r="T50" s="69" t="n"/>
      <c r="U50" s="72">
        <f>IF(OR(T50="",N(O50)=0),"",T50/O50)</f>
        <v/>
      </c>
      <c r="V50" s="69" t="n"/>
      <c r="W50" s="69" t="n"/>
      <c r="X50" s="69" t="n"/>
      <c r="Y50" s="71" t="n"/>
      <c r="Z50" s="69" t="n"/>
      <c r="AA50" s="71" t="n"/>
      <c r="AB50" s="69" t="n"/>
      <c r="AC50" s="73">
        <f>IF(COUNT(S50,Y50,AA50)=0,"",SUM(S50,Y50,AA50))</f>
        <v/>
      </c>
      <c r="AD50" s="72">
        <f>IF(N(AC50)=0,"",SUM(V50,W50,X50,Z50,AB50)/AC50)</f>
        <v/>
      </c>
      <c r="AE50" s="71" t="n"/>
      <c r="AF50" s="71" t="n"/>
      <c r="AG50" s="71" t="n"/>
      <c r="AH50" s="73">
        <f>IF(COUNT(AE50,AF50,AG50)=0,"",SUM(AE50,AF50,AG50))</f>
        <v/>
      </c>
      <c r="AI50" s="71" t="n"/>
      <c r="AJ50" s="71" t="n"/>
      <c r="AK50" s="71" t="n"/>
      <c r="AL50" s="73">
        <f>IF(COUNT(AI50,AJ50,AK50)=0,"",SUM(AI50,AJ50,AK50))</f>
        <v/>
      </c>
      <c r="AM50" s="68">
        <f>IF(N(AC50)=0,"",IF(COUNT($AC$6:$AC$105)&lt;5,"Too early",IF(AC50&gt;=1.5*MEDIAN($AC$6:$AC$105),"Top",IF(AC50&lt;=0.5*MEDIAN($AC$6:$AC$105),"Low","Average"))))</f>
        <v/>
      </c>
      <c r="AN50" s="69" t="inlineStr">
        <is>
          <t>2026-10-22: replaced by the pattern test (Shivam)</t>
        </is>
      </c>
      <c r="AO50" s="69" t="inlineStr">
        <is>
          <t>one-line</t>
        </is>
      </c>
      <c r="AP50" s="74" t="n"/>
      <c r="AQ50" s="74" t="n"/>
      <c r="AR50" s="74" t="n"/>
      <c r="AS50" s="74" t="n"/>
      <c r="AT50" s="74" t="n"/>
      <c r="AU50" s="74" t="n"/>
      <c r="AV50" s="64" t="inlineStr">
        <is>
          <t>You-callout</t>
        </is>
      </c>
    </row>
    <row r="51" ht="60" customHeight="1" s="62">
      <c r="A51" s="68" t="n">
        <v>46</v>
      </c>
      <c r="B51" s="68" t="inlineStr">
        <is>
          <t>Emotions and self-awareness</t>
        </is>
      </c>
      <c r="C51" s="68" t="inlineStr">
        <is>
          <t>Emotional granularity</t>
        </is>
      </c>
      <c r="D51" s="68" t="inlineStr">
        <is>
          <t>What does 'I feel bad' leave out?</t>
        </is>
      </c>
      <c r="E51" s="68" t="inlineStr">
        <is>
          <t>Offer several specific emotion words for one scenario.</t>
        </is>
      </c>
      <c r="F51" s="68" t="inlineStr">
        <is>
          <t>Emotion wheel illustration</t>
        </is>
      </c>
      <c r="G51" s="68" t="n">
        <v>45</v>
      </c>
      <c r="H51" s="68" t="inlineStr">
        <is>
          <t>Vetoed</t>
        </is>
      </c>
      <c r="I51" s="69" t="n">
        <v>90</v>
      </c>
      <c r="J51" s="69" t="inlineStr">
        <is>
          <t>Weak</t>
        </is>
      </c>
      <c r="K51" s="69" t="n"/>
      <c r="L51" s="70" t="n"/>
      <c r="M51" s="68">
        <f>IF(L51="","",TEXT(L51,"ddd"))</f>
        <v/>
      </c>
      <c r="N51" s="69" t="n"/>
      <c r="O51" s="69" t="n"/>
      <c r="P51" s="69" t="n"/>
      <c r="Q51" s="69" t="n"/>
      <c r="R51" s="69" t="n"/>
      <c r="S51" s="71" t="n"/>
      <c r="T51" s="69" t="n"/>
      <c r="U51" s="72">
        <f>IF(OR(T51="",N(O51)=0),"",T51/O51)</f>
        <v/>
      </c>
      <c r="V51" s="69" t="n"/>
      <c r="W51" s="69" t="n"/>
      <c r="X51" s="69" t="n"/>
      <c r="Y51" s="71" t="n"/>
      <c r="Z51" s="69" t="n"/>
      <c r="AA51" s="71" t="n"/>
      <c r="AB51" s="69" t="n"/>
      <c r="AC51" s="73">
        <f>IF(COUNT(S51,Y51,AA51)=0,"",SUM(S51,Y51,AA51))</f>
        <v/>
      </c>
      <c r="AD51" s="72">
        <f>IF(N(AC51)=0,"",SUM(V51,W51,X51,Z51,AB51)/AC51)</f>
        <v/>
      </c>
      <c r="AE51" s="71" t="n"/>
      <c r="AF51" s="71" t="n"/>
      <c r="AG51" s="71" t="n"/>
      <c r="AH51" s="73">
        <f>IF(COUNT(AE51,AF51,AG51)=0,"",SUM(AE51,AF51,AG51))</f>
        <v/>
      </c>
      <c r="AI51" s="71" t="n"/>
      <c r="AJ51" s="71" t="n"/>
      <c r="AK51" s="71" t="n"/>
      <c r="AL51" s="73">
        <f>IF(COUNT(AI51,AJ51,AK51)=0,"",SUM(AI51,AJ51,AK51))</f>
        <v/>
      </c>
      <c r="AM51" s="68">
        <f>IF(N(AC51)=0,"",IF(COUNT($AC$6:$AC$105)&lt;5,"Too early",IF(AC51&gt;=1.5*MEDIAN($AC$6:$AC$105),"Top",IF(AC51&lt;=0.5*MEDIAN($AC$6:$AC$105),"Low","Average"))))</f>
        <v/>
      </c>
      <c r="AN51" s="69" t="inlineStr">
        <is>
          <t>2026-10-22: replaced by the pattern test (Shivam)</t>
        </is>
      </c>
      <c r="AO51" s="69" t="inlineStr">
        <is>
          <t>whiteboard</t>
        </is>
      </c>
      <c r="AP51" s="74" t="n"/>
      <c r="AQ51" s="74" t="n"/>
      <c r="AR51" s="74" t="n"/>
      <c r="AS51" s="74" t="n"/>
      <c r="AT51" s="74" t="n"/>
      <c r="AU51" s="74" t="n"/>
      <c r="AV51" s="64" t="inlineStr">
        <is>
          <t>List</t>
        </is>
      </c>
    </row>
    <row r="52" ht="60" customHeight="1" s="62">
      <c r="A52" s="68" t="n">
        <v>47</v>
      </c>
      <c r="B52" s="68" t="inlineStr">
        <is>
          <t>Emotions and self-awareness</t>
        </is>
      </c>
      <c r="C52" s="68" t="inlineStr">
        <is>
          <t>Suppression versus expression</t>
        </is>
      </c>
      <c r="D52" s="68" t="inlineStr">
        <is>
          <t>What happens when someone hides every reaction?</t>
        </is>
      </c>
      <c r="E52" s="68" t="inlineStr">
        <is>
          <t>Explore context-dependent tradeoffs without declaring one approach best.</t>
        </is>
      </c>
      <c r="F52" s="68" t="inlineStr">
        <is>
          <t>Neutral face and thought bubbles</t>
        </is>
      </c>
      <c r="G52" s="68" t="n">
        <v>45</v>
      </c>
      <c r="H52" s="68" t="inlineStr">
        <is>
          <t>Published</t>
        </is>
      </c>
      <c r="I52" s="69" t="n">
        <v>25</v>
      </c>
      <c r="J52" s="69" t="inlineStr">
        <is>
          <t>Strong</t>
        </is>
      </c>
      <c r="K52" s="69" t="inlineStr">
        <is>
          <t>suppression</t>
        </is>
      </c>
      <c r="L52" s="70" t="n">
        <v>46313</v>
      </c>
      <c r="M52" s="68">
        <f>IF(L52="","",TEXT(L52,"ddd"))</f>
        <v/>
      </c>
      <c r="N52" s="69" t="n"/>
      <c r="O52" s="69" t="n">
        <v>38</v>
      </c>
      <c r="P52" s="69" t="inlineStr">
        <is>
          <t>What Hiding Your Feelings Does to the Other Person #shorts</t>
        </is>
      </c>
      <c r="Q52" s="69" t="inlineStr">
        <is>
          <t>Butler et al. 2003, Emotion 3(1):48-67; suppression raised partners' blood pressure, lowered rapport/affiliation</t>
        </is>
      </c>
      <c r="R52" s="69" t="inlineStr">
        <is>
          <t>buffer:youtube=6ad3c111e272c4918f997f66;tiktok=6ad3c1120b0d72757aedb6ef</t>
        </is>
      </c>
      <c r="S52" s="71" t="n"/>
      <c r="T52" s="69" t="n"/>
      <c r="U52" s="72">
        <f>IF(OR(T52="",N(O52)=0),"",T52/O52)</f>
        <v/>
      </c>
      <c r="V52" s="69" t="n"/>
      <c r="W52" s="69" t="n"/>
      <c r="X52" s="69" t="n"/>
      <c r="Y52" s="71" t="n"/>
      <c r="Z52" s="69" t="n"/>
      <c r="AA52" s="71" t="n"/>
      <c r="AB52" s="69" t="n"/>
      <c r="AC52" s="73">
        <f>IF(COUNT(S52,Y52,AA52)=0,"",SUM(S52,Y52,AA52))</f>
        <v/>
      </c>
      <c r="AD52" s="72">
        <f>IF(N(AC52)=0,"",SUM(V52,W52,X52,Z52,AB52)/AC52)</f>
        <v/>
      </c>
      <c r="AE52" s="71" t="n"/>
      <c r="AF52" s="71" t="n"/>
      <c r="AG52" s="71" t="n"/>
      <c r="AH52" s="73">
        <f>IF(COUNT(AE52,AF52,AG52)=0,"",SUM(AE52,AF52,AG52))</f>
        <v/>
      </c>
      <c r="AI52" s="71" t="n"/>
      <c r="AJ52" s="71" t="n"/>
      <c r="AK52" s="71" t="n"/>
      <c r="AL52" s="73">
        <f>IF(COUNT(AI52,AJ52,AK52)=0,"",SUM(AI52,AJ52,AK52))</f>
        <v/>
      </c>
      <c r="AM52" s="68">
        <f>IF(N(AC52)=0,"",IF(COUNT($AC$6:$AC$105)&lt;5,"Too early",IF(AC52&gt;=1.5*MEDIAN($AC$6:$AC$105),"Top",IF(AC52&lt;=0.5*MEDIAN($AC$6:$AC$105),"Low","Average"))))</f>
        <v/>
      </c>
      <c r="AN52" s="69" t="n"/>
      <c r="AO52" s="69" t="inlineStr">
        <is>
          <t>ted2</t>
        </is>
      </c>
      <c r="AP52" s="74" t="n"/>
      <c r="AQ52" s="74" t="n"/>
      <c r="AR52" s="74" t="n"/>
      <c r="AS52" s="74" t="n"/>
      <c r="AT52" s="74" t="n"/>
      <c r="AU52" s="74" t="n"/>
      <c r="AV52" s="64" t="inlineStr">
        <is>
          <t>Study reveal</t>
        </is>
      </c>
    </row>
    <row r="53" ht="60" customHeight="1" s="62">
      <c r="A53" s="68" t="n">
        <v>48</v>
      </c>
      <c r="B53" s="68" t="inlineStr">
        <is>
          <t>Emotions and self-awareness</t>
        </is>
      </c>
      <c r="C53" s="68" t="inlineStr">
        <is>
          <t>Self-compassion after mistakes</t>
        </is>
      </c>
      <c r="D53" s="68" t="inlineStr">
        <is>
          <t>What would you say if your friend made this mistake?</t>
        </is>
      </c>
      <c r="E53" s="68" t="inlineStr">
        <is>
          <t>Compare harsh self-talk with a fair, constructive response.</t>
        </is>
      </c>
      <c r="F53" s="68" t="inlineStr">
        <is>
          <t>Two inner-dialogue captions</t>
        </is>
      </c>
      <c r="G53" s="68" t="n">
        <v>45</v>
      </c>
      <c r="H53" s="68" t="inlineStr">
        <is>
          <t>Vetoed</t>
        </is>
      </c>
      <c r="I53" s="69" t="n">
        <v>93</v>
      </c>
      <c r="J53" s="69" t="inlineStr">
        <is>
          <t>Weak</t>
        </is>
      </c>
      <c r="K53" s="69" t="n"/>
      <c r="L53" s="70" t="n"/>
      <c r="M53" s="68">
        <f>IF(L53="","",TEXT(L53,"ddd"))</f>
        <v/>
      </c>
      <c r="N53" s="69" t="n"/>
      <c r="O53" s="69" t="n"/>
      <c r="P53" s="69" t="n"/>
      <c r="Q53" s="69" t="n"/>
      <c r="R53" s="69" t="n"/>
      <c r="S53" s="71" t="n"/>
      <c r="T53" s="69" t="n"/>
      <c r="U53" s="72">
        <f>IF(OR(T53="",N(O53)=0),"",T53/O53)</f>
        <v/>
      </c>
      <c r="V53" s="69" t="n"/>
      <c r="W53" s="69" t="n"/>
      <c r="X53" s="69" t="n"/>
      <c r="Y53" s="71" t="n"/>
      <c r="Z53" s="69" t="n"/>
      <c r="AA53" s="71" t="n"/>
      <c r="AB53" s="69" t="n"/>
      <c r="AC53" s="73">
        <f>IF(COUNT(S53,Y53,AA53)=0,"",SUM(S53,Y53,AA53))</f>
        <v/>
      </c>
      <c r="AD53" s="72">
        <f>IF(N(AC53)=0,"",SUM(V53,W53,X53,Z53,AB53)/AC53)</f>
        <v/>
      </c>
      <c r="AE53" s="71" t="n"/>
      <c r="AF53" s="71" t="n"/>
      <c r="AG53" s="71" t="n"/>
      <c r="AH53" s="73">
        <f>IF(COUNT(AE53,AF53,AG53)=0,"",SUM(AE53,AF53,AG53))</f>
        <v/>
      </c>
      <c r="AI53" s="71" t="n"/>
      <c r="AJ53" s="71" t="n"/>
      <c r="AK53" s="71" t="n"/>
      <c r="AL53" s="73">
        <f>IF(COUNT(AI53,AJ53,AK53)=0,"",SUM(AI53,AJ53,AK53))</f>
        <v/>
      </c>
      <c r="AM53" s="68">
        <f>IF(N(AC53)=0,"",IF(COUNT($AC$6:$AC$105)&lt;5,"Too early",IF(AC53&gt;=1.5*MEDIAN($AC$6:$AC$105),"Top",IF(AC53&lt;=0.5*MEDIAN($AC$6:$AC$105),"Low","Average"))))</f>
        <v/>
      </c>
      <c r="AN53" s="69" t="inlineStr">
        <is>
          <t>2026-10-22: replaced by the pattern test (Shivam)</t>
        </is>
      </c>
      <c r="AO53" s="69" t="inlineStr">
        <is>
          <t>crayon</t>
        </is>
      </c>
      <c r="AP53" s="74" t="n"/>
      <c r="AQ53" s="74" t="n"/>
      <c r="AR53" s="74" t="n"/>
      <c r="AS53" s="74" t="n"/>
      <c r="AT53" s="74" t="n"/>
      <c r="AU53" s="74" t="n"/>
      <c r="AV53" s="64" t="inlineStr">
        <is>
          <t>Study reveal</t>
        </is>
      </c>
    </row>
    <row r="54" ht="60" customHeight="1" s="62">
      <c r="A54" s="68" t="n">
        <v>49</v>
      </c>
      <c r="B54" s="68" t="inlineStr">
        <is>
          <t>Emotions and self-awareness</t>
        </is>
      </c>
      <c r="C54" s="68" t="inlineStr">
        <is>
          <t>Anticipation and enjoyment</t>
        </is>
      </c>
      <c r="D54" s="68" t="inlineStr">
        <is>
          <t>Can looking forward to something be part of the pleasure?</t>
        </is>
      </c>
      <c r="E54" s="68" t="inlineStr">
        <is>
          <t>Show planning a simple enjoyable event and noticing anticipation.</t>
        </is>
      </c>
      <c r="F54" s="68" t="inlineStr">
        <is>
          <t>Weekend calendar</t>
        </is>
      </c>
      <c r="G54" s="68" t="n">
        <v>45</v>
      </c>
      <c r="H54" s="68" t="inlineStr">
        <is>
          <t>Vetoed</t>
        </is>
      </c>
      <c r="I54" s="69" t="n">
        <v>96</v>
      </c>
      <c r="J54" s="69" t="inlineStr">
        <is>
          <t>Weak</t>
        </is>
      </c>
      <c r="K54" s="69" t="n"/>
      <c r="L54" s="70" t="n"/>
      <c r="M54" s="68">
        <f>IF(L54="","",TEXT(L54,"ddd"))</f>
        <v/>
      </c>
      <c r="N54" s="69" t="n"/>
      <c r="O54" s="69" t="n"/>
      <c r="P54" s="69" t="n"/>
      <c r="Q54" s="69" t="n"/>
      <c r="R54" s="69" t="n"/>
      <c r="S54" s="71" t="n"/>
      <c r="T54" s="69" t="n"/>
      <c r="U54" s="72">
        <f>IF(OR(T54="",N(O54)=0),"",T54/O54)</f>
        <v/>
      </c>
      <c r="V54" s="69" t="n"/>
      <c r="W54" s="69" t="n"/>
      <c r="X54" s="69" t="n"/>
      <c r="Y54" s="71" t="n"/>
      <c r="Z54" s="69" t="n"/>
      <c r="AA54" s="71" t="n"/>
      <c r="AB54" s="69" t="n"/>
      <c r="AC54" s="73">
        <f>IF(COUNT(S54,Y54,AA54)=0,"",SUM(S54,Y54,AA54))</f>
        <v/>
      </c>
      <c r="AD54" s="72">
        <f>IF(N(AC54)=0,"",SUM(V54,W54,X54,Z54,AB54)/AC54)</f>
        <v/>
      </c>
      <c r="AE54" s="71" t="n"/>
      <c r="AF54" s="71" t="n"/>
      <c r="AG54" s="71" t="n"/>
      <c r="AH54" s="73">
        <f>IF(COUNT(AE54,AF54,AG54)=0,"",SUM(AE54,AF54,AG54))</f>
        <v/>
      </c>
      <c r="AI54" s="71" t="n"/>
      <c r="AJ54" s="71" t="n"/>
      <c r="AK54" s="71" t="n"/>
      <c r="AL54" s="73">
        <f>IF(COUNT(AI54,AJ54,AK54)=0,"",SUM(AI54,AJ54,AK54))</f>
        <v/>
      </c>
      <c r="AM54" s="68">
        <f>IF(N(AC54)=0,"",IF(COUNT($AC$6:$AC$105)&lt;5,"Too early",IF(AC54&gt;=1.5*MEDIAN($AC$6:$AC$105),"Top",IF(AC54&lt;=0.5*MEDIAN($AC$6:$AC$105),"Low","Average"))))</f>
        <v/>
      </c>
      <c r="AN54" s="69" t="inlineStr">
        <is>
          <t>2026-10-22: replaced by the pattern test (Shivam)</t>
        </is>
      </c>
      <c r="AO54" s="69" t="inlineStr">
        <is>
          <t>cartoon-50s</t>
        </is>
      </c>
      <c r="AP54" s="74" t="n"/>
      <c r="AQ54" s="74" t="n"/>
      <c r="AR54" s="74" t="n"/>
      <c r="AS54" s="74" t="n"/>
      <c r="AT54" s="74" t="n"/>
      <c r="AU54" s="74" t="n"/>
      <c r="AV54" s="64" t="inlineStr">
        <is>
          <t>Study reveal</t>
        </is>
      </c>
    </row>
    <row r="55" ht="60" customHeight="1" s="62">
      <c r="A55" s="68" t="n">
        <v>50</v>
      </c>
      <c r="B55" s="68" t="inlineStr">
        <is>
          <t>Emotions and self-awareness</t>
        </is>
      </c>
      <c r="C55" s="68" t="inlineStr">
        <is>
          <t>Emotions as information</t>
        </is>
      </c>
      <c r="D55" s="68" t="inlineStr">
        <is>
          <t>What might this emotion be drawing your attention to?</t>
        </is>
      </c>
      <c r="E55" s="68" t="inlineStr">
        <is>
          <t>Explore a feeling as a clue to needs rather than a command.</t>
        </is>
      </c>
      <c r="F55" s="68" t="inlineStr">
        <is>
          <t>Emotion-to-question cards</t>
        </is>
      </c>
      <c r="G55" s="68" t="n">
        <v>45</v>
      </c>
      <c r="H55" s="68" t="inlineStr">
        <is>
          <t>Vetoed</t>
        </is>
      </c>
      <c r="I55" s="69" t="n">
        <v>98</v>
      </c>
      <c r="J55" s="69" t="inlineStr">
        <is>
          <t>Weak</t>
        </is>
      </c>
      <c r="K55" s="69" t="n"/>
      <c r="L55" s="70" t="n"/>
      <c r="M55" s="68">
        <f>IF(L55="","",TEXT(L55,"ddd"))</f>
        <v/>
      </c>
      <c r="N55" s="69" t="n"/>
      <c r="O55" s="69" t="n"/>
      <c r="P55" s="69" t="n"/>
      <c r="Q55" s="69" t="n"/>
      <c r="R55" s="69" t="n"/>
      <c r="S55" s="71" t="n"/>
      <c r="T55" s="69" t="n"/>
      <c r="U55" s="72">
        <f>IF(OR(T55="",N(O55)=0),"",T55/O55)</f>
        <v/>
      </c>
      <c r="V55" s="69" t="n"/>
      <c r="W55" s="69" t="n"/>
      <c r="X55" s="69" t="n"/>
      <c r="Y55" s="71" t="n"/>
      <c r="Z55" s="69" t="n"/>
      <c r="AA55" s="71" t="n"/>
      <c r="AB55" s="69" t="n"/>
      <c r="AC55" s="73">
        <f>IF(COUNT(S55,Y55,AA55)=0,"",SUM(S55,Y55,AA55))</f>
        <v/>
      </c>
      <c r="AD55" s="72">
        <f>IF(N(AC55)=0,"",SUM(V55,W55,X55,Z55,AB55)/AC55)</f>
        <v/>
      </c>
      <c r="AE55" s="71" t="n"/>
      <c r="AF55" s="71" t="n"/>
      <c r="AG55" s="71" t="n"/>
      <c r="AH55" s="73">
        <f>IF(COUNT(AE55,AF55,AG55)=0,"",SUM(AE55,AF55,AG55))</f>
        <v/>
      </c>
      <c r="AI55" s="71" t="n"/>
      <c r="AJ55" s="71" t="n"/>
      <c r="AK55" s="71" t="n"/>
      <c r="AL55" s="73">
        <f>IF(COUNT(AI55,AJ55,AK55)=0,"",SUM(AI55,AJ55,AK55))</f>
        <v/>
      </c>
      <c r="AM55" s="68">
        <f>IF(N(AC55)=0,"",IF(COUNT($AC$6:$AC$105)&lt;5,"Too early",IF(AC55&gt;=1.5*MEDIAN($AC$6:$AC$105),"Top",IF(AC55&lt;=0.5*MEDIAN($AC$6:$AC$105),"Low","Average"))))</f>
        <v/>
      </c>
      <c r="AN55" s="69" t="inlineStr">
        <is>
          <t>2026-10-22: replaced by the pattern test (Shivam)</t>
        </is>
      </c>
      <c r="AO55" s="69" t="inlineStr">
        <is>
          <t>keynote</t>
        </is>
      </c>
      <c r="AP55" s="74" t="n"/>
      <c r="AQ55" s="74" t="n"/>
      <c r="AR55" s="74" t="n"/>
      <c r="AS55" s="74" t="n"/>
      <c r="AT55" s="74" t="n"/>
      <c r="AU55" s="74" t="n"/>
      <c r="AV55" s="64" t="inlineStr">
        <is>
          <t>Study reveal</t>
        </is>
      </c>
    </row>
    <row r="56" ht="60" customHeight="1" s="62">
      <c r="A56" s="68" t="n">
        <v>51</v>
      </c>
      <c r="B56" s="68" t="inlineStr">
        <is>
          <t>Relationships and communication</t>
        </is>
      </c>
      <c r="C56" s="68" t="inlineStr">
        <is>
          <t>Active listening</t>
        </is>
      </c>
      <c r="D56" s="68" t="inlineStr">
        <is>
          <t>Can you repeat their point before replying?</t>
        </is>
      </c>
      <c r="E56" s="68" t="inlineStr">
        <is>
          <t>Demonstrate paraphrasing and checking understanding.</t>
        </is>
      </c>
      <c r="F56" s="68" t="inlineStr">
        <is>
          <t>Two-person conversation</t>
        </is>
      </c>
      <c r="G56" s="68" t="n">
        <v>45</v>
      </c>
      <c r="H56" s="68" t="inlineStr">
        <is>
          <t>Vetoed</t>
        </is>
      </c>
      <c r="I56" s="69" t="n">
        <v>75</v>
      </c>
      <c r="J56" s="69" t="inlineStr">
        <is>
          <t>Weak</t>
        </is>
      </c>
      <c r="K56" s="69" t="n"/>
      <c r="L56" s="70" t="n"/>
      <c r="M56" s="68">
        <f>IF(L56="","",TEXT(L56,"ddd"))</f>
        <v/>
      </c>
      <c r="N56" s="69" t="n"/>
      <c r="O56" s="69" t="n"/>
      <c r="P56" s="69" t="n"/>
      <c r="Q56" s="69" t="n"/>
      <c r="R56" s="69" t="n"/>
      <c r="S56" s="71" t="n"/>
      <c r="T56" s="69" t="n"/>
      <c r="U56" s="72">
        <f>IF(OR(T56="",N(O56)=0),"",T56/O56)</f>
        <v/>
      </c>
      <c r="V56" s="69" t="n"/>
      <c r="W56" s="69" t="n"/>
      <c r="X56" s="69" t="n"/>
      <c r="Y56" s="71" t="n"/>
      <c r="Z56" s="69" t="n"/>
      <c r="AA56" s="71" t="n"/>
      <c r="AB56" s="69" t="n"/>
      <c r="AC56" s="73">
        <f>IF(COUNT(S56,Y56,AA56)=0,"",SUM(S56,Y56,AA56))</f>
        <v/>
      </c>
      <c r="AD56" s="72">
        <f>IF(N(AC56)=0,"",SUM(V56,W56,X56,Z56,AB56)/AC56)</f>
        <v/>
      </c>
      <c r="AE56" s="71" t="n"/>
      <c r="AF56" s="71" t="n"/>
      <c r="AG56" s="71" t="n"/>
      <c r="AH56" s="73">
        <f>IF(COUNT(AE56,AF56,AG56)=0,"",SUM(AE56,AF56,AG56))</f>
        <v/>
      </c>
      <c r="AI56" s="71" t="n"/>
      <c r="AJ56" s="71" t="n"/>
      <c r="AK56" s="71" t="n"/>
      <c r="AL56" s="73">
        <f>IF(COUNT(AI56,AJ56,AK56)=0,"",SUM(AI56,AJ56,AK56))</f>
        <v/>
      </c>
      <c r="AM56" s="68">
        <f>IF(N(AC56)=0,"",IF(COUNT($AC$6:$AC$105)&lt;5,"Too early",IF(AC56&gt;=1.5*MEDIAN($AC$6:$AC$105),"Top",IF(AC56&lt;=0.5*MEDIAN($AC$6:$AC$105),"Low","Average"))))</f>
        <v/>
      </c>
      <c r="AN56" s="69" t="inlineStr">
        <is>
          <t>2026-10-22: replaced by the pattern test (Shivam)</t>
        </is>
      </c>
      <c r="AO56" s="69" t="inlineStr">
        <is>
          <t>cartoon-50s</t>
        </is>
      </c>
      <c r="AP56" s="74" t="n"/>
      <c r="AQ56" s="74" t="n"/>
      <c r="AR56" s="74" t="n"/>
      <c r="AS56" s="74" t="n"/>
      <c r="AT56" s="74" t="n"/>
      <c r="AU56" s="74" t="n"/>
      <c r="AV56" s="64" t="inlineStr">
        <is>
          <t>Study reveal</t>
        </is>
      </c>
    </row>
    <row r="57" ht="60" customHeight="1" s="62">
      <c r="A57" s="68" t="n">
        <v>52</v>
      </c>
      <c r="B57" s="68" t="inlineStr">
        <is>
          <t>Relationships and communication</t>
        </is>
      </c>
      <c r="C57" s="68" t="inlineStr">
        <is>
          <t>Validation without agreement</t>
        </is>
      </c>
      <c r="D57" s="68" t="inlineStr">
        <is>
          <t>Can you understand a feeling while disagreeing with a claim?</t>
        </is>
      </c>
      <c r="E57" s="68" t="inlineStr">
        <is>
          <t>Show a respectful response to a frustrated friend.</t>
        </is>
      </c>
      <c r="F57" s="68" t="inlineStr">
        <is>
          <t>Dialogue caption comparison</t>
        </is>
      </c>
      <c r="G57" s="68" t="n">
        <v>45</v>
      </c>
      <c r="H57" s="68" t="inlineStr">
        <is>
          <t>Vetoed</t>
        </is>
      </c>
      <c r="I57" s="69" t="n">
        <v>82</v>
      </c>
      <c r="J57" s="69" t="inlineStr">
        <is>
          <t>Weak</t>
        </is>
      </c>
      <c r="K57" s="69" t="n"/>
      <c r="L57" s="70" t="n"/>
      <c r="M57" s="68">
        <f>IF(L57="","",TEXT(L57,"ddd"))</f>
        <v/>
      </c>
      <c r="N57" s="69" t="n"/>
      <c r="O57" s="69" t="n"/>
      <c r="P57" s="69" t="n"/>
      <c r="Q57" s="69" t="n"/>
      <c r="R57" s="69" t="n"/>
      <c r="S57" s="71" t="n"/>
      <c r="T57" s="69" t="n"/>
      <c r="U57" s="72">
        <f>IF(OR(T57="",N(O57)=0),"",T57/O57)</f>
        <v/>
      </c>
      <c r="V57" s="69" t="n"/>
      <c r="W57" s="69" t="n"/>
      <c r="X57" s="69" t="n"/>
      <c r="Y57" s="71" t="n"/>
      <c r="Z57" s="69" t="n"/>
      <c r="AA57" s="71" t="n"/>
      <c r="AB57" s="69" t="n"/>
      <c r="AC57" s="73">
        <f>IF(COUNT(S57,Y57,AA57)=0,"",SUM(S57,Y57,AA57))</f>
        <v/>
      </c>
      <c r="AD57" s="72">
        <f>IF(N(AC57)=0,"",SUM(V57,W57,X57,Z57,AB57)/AC57)</f>
        <v/>
      </c>
      <c r="AE57" s="71" t="n"/>
      <c r="AF57" s="71" t="n"/>
      <c r="AG57" s="71" t="n"/>
      <c r="AH57" s="73">
        <f>IF(COUNT(AE57,AF57,AG57)=0,"",SUM(AE57,AF57,AG57))</f>
        <v/>
      </c>
      <c r="AI57" s="71" t="n"/>
      <c r="AJ57" s="71" t="n"/>
      <c r="AK57" s="71" t="n"/>
      <c r="AL57" s="73">
        <f>IF(COUNT(AI57,AJ57,AK57)=0,"",SUM(AI57,AJ57,AK57))</f>
        <v/>
      </c>
      <c r="AM57" s="68">
        <f>IF(N(AC57)=0,"",IF(COUNT($AC$6:$AC$105)&lt;5,"Too early",IF(AC57&gt;=1.5*MEDIAN($AC$6:$AC$105),"Top",IF(AC57&lt;=0.5*MEDIAN($AC$6:$AC$105),"Low","Average"))))</f>
        <v/>
      </c>
      <c r="AN57" s="69" t="inlineStr">
        <is>
          <t>2026-10-22: replaced by the pattern test (Shivam)</t>
        </is>
      </c>
      <c r="AO57" s="69" t="inlineStr">
        <is>
          <t>one-line</t>
        </is>
      </c>
      <c r="AP57" s="74" t="n"/>
      <c r="AQ57" s="74" t="n"/>
      <c r="AR57" s="74" t="n"/>
      <c r="AS57" s="74" t="n"/>
      <c r="AT57" s="74" t="n"/>
      <c r="AU57" s="74" t="n"/>
      <c r="AV57" s="64" t="inlineStr">
        <is>
          <t>Contrarian</t>
        </is>
      </c>
    </row>
    <row r="58" ht="60" customHeight="1" s="62">
      <c r="A58" s="68" t="n">
        <v>53</v>
      </c>
      <c r="B58" s="68" t="inlineStr">
        <is>
          <t>Relationships and communication</t>
        </is>
      </c>
      <c r="C58" s="68" t="inlineStr">
        <is>
          <t>Mind-reading assumptions</t>
        </is>
      </c>
      <c r="D58" s="68" t="inlineStr">
        <is>
          <t>How do you know what that short reply meant?</t>
        </is>
      </c>
      <c r="E58" s="68" t="inlineStr">
        <is>
          <t>Generate multiple explanations for an ambiguous message.</t>
        </is>
      </c>
      <c r="F58" s="68" t="inlineStr">
        <is>
          <t>Okay text bubble</t>
        </is>
      </c>
      <c r="G58" s="68" t="n">
        <v>45</v>
      </c>
      <c r="H58" s="68" t="inlineStr">
        <is>
          <t>Vetoed</t>
        </is>
      </c>
      <c r="I58" s="69" t="n">
        <v>87</v>
      </c>
      <c r="J58" s="69" t="inlineStr">
        <is>
          <t>Weak</t>
        </is>
      </c>
      <c r="K58" s="69" t="n"/>
      <c r="L58" s="70" t="n"/>
      <c r="M58" s="68">
        <f>IF(L58="","",TEXT(L58,"ddd"))</f>
        <v/>
      </c>
      <c r="N58" s="69" t="n"/>
      <c r="O58" s="69" t="n"/>
      <c r="P58" s="69" t="n"/>
      <c r="Q58" s="69" t="n"/>
      <c r="R58" s="69" t="n"/>
      <c r="S58" s="71" t="n"/>
      <c r="T58" s="69" t="n"/>
      <c r="U58" s="72">
        <f>IF(OR(T58="",N(O58)=0),"",T58/O58)</f>
        <v/>
      </c>
      <c r="V58" s="69" t="n"/>
      <c r="W58" s="69" t="n"/>
      <c r="X58" s="69" t="n"/>
      <c r="Y58" s="71" t="n"/>
      <c r="Z58" s="69" t="n"/>
      <c r="AA58" s="71" t="n"/>
      <c r="AB58" s="69" t="n"/>
      <c r="AC58" s="73">
        <f>IF(COUNT(S58,Y58,AA58)=0,"",SUM(S58,Y58,AA58))</f>
        <v/>
      </c>
      <c r="AD58" s="72">
        <f>IF(N(AC58)=0,"",SUM(V58,W58,X58,Z58,AB58)/AC58)</f>
        <v/>
      </c>
      <c r="AE58" s="71" t="n"/>
      <c r="AF58" s="71" t="n"/>
      <c r="AG58" s="71" t="n"/>
      <c r="AH58" s="73">
        <f>IF(COUNT(AE58,AF58,AG58)=0,"",SUM(AE58,AF58,AG58))</f>
        <v/>
      </c>
      <c r="AI58" s="71" t="n"/>
      <c r="AJ58" s="71" t="n"/>
      <c r="AK58" s="71" t="n"/>
      <c r="AL58" s="73">
        <f>IF(COUNT(AI58,AJ58,AK58)=0,"",SUM(AI58,AJ58,AK58))</f>
        <v/>
      </c>
      <c r="AM58" s="68">
        <f>IF(N(AC58)=0,"",IF(COUNT($AC$6:$AC$105)&lt;5,"Too early",IF(AC58&gt;=1.5*MEDIAN($AC$6:$AC$105),"Top",IF(AC58&lt;=0.5*MEDIAN($AC$6:$AC$105),"Low","Average"))))</f>
        <v/>
      </c>
      <c r="AN58" s="69" t="inlineStr">
        <is>
          <t>2026-10-22: replaced by the pattern test (Shivam)</t>
        </is>
      </c>
      <c r="AO58" s="69" t="inlineStr">
        <is>
          <t>spy-noir</t>
        </is>
      </c>
      <c r="AP58" s="74" t="n"/>
      <c r="AQ58" s="74" t="n"/>
      <c r="AR58" s="74" t="n"/>
      <c r="AS58" s="74" t="n"/>
      <c r="AT58" s="74" t="n"/>
      <c r="AU58" s="74" t="n"/>
      <c r="AV58" s="64" t="inlineStr">
        <is>
          <t>Study reveal</t>
        </is>
      </c>
    </row>
    <row r="59" ht="60" customHeight="1" s="62">
      <c r="A59" s="68" t="n">
        <v>54</v>
      </c>
      <c r="B59" s="68" t="inlineStr">
        <is>
          <t>Relationships and communication</t>
        </is>
      </c>
      <c r="C59" s="68" t="inlineStr">
        <is>
          <t>Clear requests</t>
        </is>
      </c>
      <c r="D59" s="68" t="inlineStr">
        <is>
          <t>Would they know what 'help more' actually means?</t>
        </is>
      </c>
      <c r="E59" s="68" t="inlineStr">
        <is>
          <t>Turn a vague complaint into a specific request.</t>
        </is>
      </c>
      <c r="F59" s="68" t="inlineStr">
        <is>
          <t>Kitchen cleanup scene</t>
        </is>
      </c>
      <c r="G59" s="68" t="n">
        <v>45</v>
      </c>
      <c r="H59" s="68" t="inlineStr">
        <is>
          <t>Vetoed</t>
        </is>
      </c>
      <c r="I59" s="69" t="n">
        <v>91</v>
      </c>
      <c r="J59" s="69" t="inlineStr">
        <is>
          <t>Weak</t>
        </is>
      </c>
      <c r="K59" s="69" t="n"/>
      <c r="L59" s="70" t="n"/>
      <c r="M59" s="68">
        <f>IF(L59="","",TEXT(L59,"ddd"))</f>
        <v/>
      </c>
      <c r="N59" s="69" t="n"/>
      <c r="O59" s="69" t="n"/>
      <c r="P59" s="69" t="n"/>
      <c r="Q59" s="69" t="n"/>
      <c r="R59" s="69" t="n"/>
      <c r="S59" s="71" t="n"/>
      <c r="T59" s="69" t="n"/>
      <c r="U59" s="72">
        <f>IF(OR(T59="",N(O59)=0),"",T59/O59)</f>
        <v/>
      </c>
      <c r="V59" s="69" t="n"/>
      <c r="W59" s="69" t="n"/>
      <c r="X59" s="69" t="n"/>
      <c r="Y59" s="71" t="n"/>
      <c r="Z59" s="69" t="n"/>
      <c r="AA59" s="71" t="n"/>
      <c r="AB59" s="69" t="n"/>
      <c r="AC59" s="73">
        <f>IF(COUNT(S59,Y59,AA59)=0,"",SUM(S59,Y59,AA59))</f>
        <v/>
      </c>
      <c r="AD59" s="72">
        <f>IF(N(AC59)=0,"",SUM(V59,W59,X59,Z59,AB59)/AC59)</f>
        <v/>
      </c>
      <c r="AE59" s="71" t="n"/>
      <c r="AF59" s="71" t="n"/>
      <c r="AG59" s="71" t="n"/>
      <c r="AH59" s="73">
        <f>IF(COUNT(AE59,AF59,AG59)=0,"",SUM(AE59,AF59,AG59))</f>
        <v/>
      </c>
      <c r="AI59" s="71" t="n"/>
      <c r="AJ59" s="71" t="n"/>
      <c r="AK59" s="71" t="n"/>
      <c r="AL59" s="73">
        <f>IF(COUNT(AI59,AJ59,AK59)=0,"",SUM(AI59,AJ59,AK59))</f>
        <v/>
      </c>
      <c r="AM59" s="68">
        <f>IF(N(AC59)=0,"",IF(COUNT($AC$6:$AC$105)&lt;5,"Too early",IF(AC59&gt;=1.5*MEDIAN($AC$6:$AC$105),"Top",IF(AC59&lt;=0.5*MEDIAN($AC$6:$AC$105),"Low","Average"))))</f>
        <v/>
      </c>
      <c r="AN59" s="69" t="inlineStr">
        <is>
          <t>2026-10-22: replaced by the pattern test (Shivam)</t>
        </is>
      </c>
      <c r="AO59" s="69" t="inlineStr">
        <is>
          <t>cartoon-50s</t>
        </is>
      </c>
      <c r="AP59" s="74" t="n"/>
      <c r="AQ59" s="74" t="n"/>
      <c r="AR59" s="74" t="n"/>
      <c r="AS59" s="74" t="n"/>
      <c r="AT59" s="74" t="n"/>
      <c r="AU59" s="74" t="n"/>
      <c r="AV59" s="64" t="inlineStr">
        <is>
          <t>Study reveal</t>
        </is>
      </c>
    </row>
    <row r="60" ht="60" customHeight="1" s="62">
      <c r="A60" s="68" t="n">
        <v>55</v>
      </c>
      <c r="B60" s="68" t="inlineStr">
        <is>
          <t>Relationships and communication</t>
        </is>
      </c>
      <c r="C60" s="68" t="inlineStr">
        <is>
          <t>Boundaries in plain language</t>
        </is>
      </c>
      <c r="D60" s="68" t="inlineStr">
        <is>
          <t>What does a clear boundary sound like?</t>
        </is>
      </c>
      <c r="E60" s="68" t="inlineStr">
        <is>
          <t>Use a calm limit paired with an action you control.</t>
        </is>
      </c>
      <c r="F60" s="68" t="inlineStr">
        <is>
          <t>Call timing example</t>
        </is>
      </c>
      <c r="G60" s="68" t="n">
        <v>45</v>
      </c>
      <c r="H60" s="68" t="inlineStr">
        <is>
          <t>Vetoed</t>
        </is>
      </c>
      <c r="I60" s="69" t="n">
        <v>94</v>
      </c>
      <c r="J60" s="69" t="inlineStr">
        <is>
          <t>Weak</t>
        </is>
      </c>
      <c r="K60" s="69" t="n"/>
      <c r="L60" s="70" t="n"/>
      <c r="M60" s="68">
        <f>IF(L60="","",TEXT(L60,"ddd"))</f>
        <v/>
      </c>
      <c r="N60" s="69" t="n"/>
      <c r="O60" s="69" t="n"/>
      <c r="P60" s="69" t="n"/>
      <c r="Q60" s="69" t="n"/>
      <c r="R60" s="69" t="n"/>
      <c r="S60" s="71" t="n"/>
      <c r="T60" s="69" t="n"/>
      <c r="U60" s="72">
        <f>IF(OR(T60="",N(O60)=0),"",T60/O60)</f>
        <v/>
      </c>
      <c r="V60" s="69" t="n"/>
      <c r="W60" s="69" t="n"/>
      <c r="X60" s="69" t="n"/>
      <c r="Y60" s="71" t="n"/>
      <c r="Z60" s="69" t="n"/>
      <c r="AA60" s="71" t="n"/>
      <c r="AB60" s="69" t="n"/>
      <c r="AC60" s="73">
        <f>IF(COUNT(S60,Y60,AA60)=0,"",SUM(S60,Y60,AA60))</f>
        <v/>
      </c>
      <c r="AD60" s="72">
        <f>IF(N(AC60)=0,"",SUM(V60,W60,X60,Z60,AB60)/AC60)</f>
        <v/>
      </c>
      <c r="AE60" s="71" t="n"/>
      <c r="AF60" s="71" t="n"/>
      <c r="AG60" s="71" t="n"/>
      <c r="AH60" s="73">
        <f>IF(COUNT(AE60,AF60,AG60)=0,"",SUM(AE60,AF60,AG60))</f>
        <v/>
      </c>
      <c r="AI60" s="71" t="n"/>
      <c r="AJ60" s="71" t="n"/>
      <c r="AK60" s="71" t="n"/>
      <c r="AL60" s="73">
        <f>IF(COUNT(AI60,AJ60,AK60)=0,"",SUM(AI60,AJ60,AK60))</f>
        <v/>
      </c>
      <c r="AM60" s="68">
        <f>IF(N(AC60)=0,"",IF(COUNT($AC$6:$AC$105)&lt;5,"Too early",IF(AC60&gt;=1.5*MEDIAN($AC$6:$AC$105),"Top",IF(AC60&lt;=0.5*MEDIAN($AC$6:$AC$105),"Low","Average"))))</f>
        <v/>
      </c>
      <c r="AN60" s="69" t="inlineStr">
        <is>
          <t>2026-10-22: replaced by the pattern test (Shivam)</t>
        </is>
      </c>
      <c r="AO60" s="69" t="inlineStr">
        <is>
          <t>swiss</t>
        </is>
      </c>
      <c r="AP60" s="74" t="n"/>
      <c r="AQ60" s="74" t="n"/>
      <c r="AR60" s="74" t="n"/>
      <c r="AS60" s="74" t="n"/>
      <c r="AT60" s="74" t="n"/>
      <c r="AU60" s="74" t="n"/>
      <c r="AV60" s="64" t="inlineStr">
        <is>
          <t>Study reveal</t>
        </is>
      </c>
    </row>
    <row r="61" ht="60" customHeight="1" s="62">
      <c r="A61" s="68" t="n">
        <v>56</v>
      </c>
      <c r="B61" s="68" t="inlineStr">
        <is>
          <t>Relationships and communication</t>
        </is>
      </c>
      <c r="C61" s="68" t="inlineStr">
        <is>
          <t>Repairing a misunderstanding</t>
        </is>
      </c>
      <c r="D61" s="68" t="inlineStr">
        <is>
          <t>What can you say after a conversation goes sideways?</t>
        </is>
      </c>
      <c r="E61" s="68" t="inlineStr">
        <is>
          <t>Model acknowledging impact, clarifying, and inviting a response.</t>
        </is>
      </c>
      <c r="F61" s="68" t="inlineStr">
        <is>
          <t>Conversation rewind</t>
        </is>
      </c>
      <c r="G61" s="68" t="n">
        <v>45</v>
      </c>
      <c r="H61" s="68" t="inlineStr">
        <is>
          <t>Vetoed</t>
        </is>
      </c>
      <c r="I61" s="69" t="n">
        <v>97</v>
      </c>
      <c r="J61" s="69" t="inlineStr">
        <is>
          <t>Weak</t>
        </is>
      </c>
      <c r="K61" s="69" t="n"/>
      <c r="L61" s="70" t="n"/>
      <c r="M61" s="68">
        <f>IF(L61="","",TEXT(L61,"ddd"))</f>
        <v/>
      </c>
      <c r="N61" s="69" t="n"/>
      <c r="O61" s="69" t="n"/>
      <c r="P61" s="69" t="n"/>
      <c r="Q61" s="69" t="n"/>
      <c r="R61" s="69" t="n"/>
      <c r="S61" s="71" t="n"/>
      <c r="T61" s="69" t="n"/>
      <c r="U61" s="72">
        <f>IF(OR(T61="",N(O61)=0),"",T61/O61)</f>
        <v/>
      </c>
      <c r="V61" s="69" t="n"/>
      <c r="W61" s="69" t="n"/>
      <c r="X61" s="69" t="n"/>
      <c r="Y61" s="71" t="n"/>
      <c r="Z61" s="69" t="n"/>
      <c r="AA61" s="71" t="n"/>
      <c r="AB61" s="69" t="n"/>
      <c r="AC61" s="73">
        <f>IF(COUNT(S61,Y61,AA61)=0,"",SUM(S61,Y61,AA61))</f>
        <v/>
      </c>
      <c r="AD61" s="72">
        <f>IF(N(AC61)=0,"",SUM(V61,W61,X61,Z61,AB61)/AC61)</f>
        <v/>
      </c>
      <c r="AE61" s="71" t="n"/>
      <c r="AF61" s="71" t="n"/>
      <c r="AG61" s="71" t="n"/>
      <c r="AH61" s="73">
        <f>IF(COUNT(AE61,AF61,AG61)=0,"",SUM(AE61,AF61,AG61))</f>
        <v/>
      </c>
      <c r="AI61" s="71" t="n"/>
      <c r="AJ61" s="71" t="n"/>
      <c r="AK61" s="71" t="n"/>
      <c r="AL61" s="73">
        <f>IF(COUNT(AI61,AJ61,AK61)=0,"",SUM(AI61,AJ61,AK61))</f>
        <v/>
      </c>
      <c r="AM61" s="68">
        <f>IF(N(AC61)=0,"",IF(COUNT($AC$6:$AC$105)&lt;5,"Too early",IF(AC61&gt;=1.5*MEDIAN($AC$6:$AC$105),"Top",IF(AC61&lt;=0.5*MEDIAN($AC$6:$AC$105),"Low","Average"))))</f>
        <v/>
      </c>
      <c r="AN61" s="69" t="inlineStr">
        <is>
          <t>2026-10-22: replaced by the pattern test (Shivam)</t>
        </is>
      </c>
      <c r="AO61" s="69" t="inlineStr">
        <is>
          <t>crayon</t>
        </is>
      </c>
      <c r="AP61" s="74" t="n"/>
      <c r="AQ61" s="74" t="n"/>
      <c r="AR61" s="74" t="n"/>
      <c r="AS61" s="74" t="n"/>
      <c r="AT61" s="74" t="n"/>
      <c r="AU61" s="74" t="n"/>
      <c r="AV61" s="64" t="inlineStr">
        <is>
          <t>List</t>
        </is>
      </c>
    </row>
    <row r="62" ht="60" customHeight="1" s="62">
      <c r="A62" s="68" t="n">
        <v>57</v>
      </c>
      <c r="B62" s="68" t="inlineStr">
        <is>
          <t>Relationships and communication</t>
        </is>
      </c>
      <c r="C62" s="68" t="inlineStr">
        <is>
          <t>Attribution in conflict</t>
        </is>
      </c>
      <c r="D62" s="68" t="inlineStr">
        <is>
          <t>Are you arguing about the event or their whole character?</t>
        </is>
      </c>
      <c r="E62" s="68" t="inlineStr">
        <is>
          <t>Replace a global label with the observed behavior.</t>
        </is>
      </c>
      <c r="F62" s="68" t="inlineStr">
        <is>
          <t>Always statement rewritten</t>
        </is>
      </c>
      <c r="G62" s="68" t="n">
        <v>45</v>
      </c>
      <c r="H62" s="68" t="inlineStr">
        <is>
          <t>Vetoed</t>
        </is>
      </c>
      <c r="I62" s="69" t="n">
        <v>99</v>
      </c>
      <c r="J62" s="69" t="inlineStr">
        <is>
          <t>Weak</t>
        </is>
      </c>
      <c r="K62" s="69" t="n"/>
      <c r="L62" s="70" t="n"/>
      <c r="M62" s="68">
        <f>IF(L62="","",TEXT(L62,"ddd"))</f>
        <v/>
      </c>
      <c r="N62" s="69" t="n"/>
      <c r="O62" s="69" t="n"/>
      <c r="P62" s="69" t="n"/>
      <c r="Q62" s="69" t="n"/>
      <c r="R62" s="69" t="n"/>
      <c r="S62" s="71" t="n"/>
      <c r="T62" s="69" t="n"/>
      <c r="U62" s="72">
        <f>IF(OR(T62="",N(O62)=0),"",T62/O62)</f>
        <v/>
      </c>
      <c r="V62" s="69" t="n"/>
      <c r="W62" s="69" t="n"/>
      <c r="X62" s="69" t="n"/>
      <c r="Y62" s="71" t="n"/>
      <c r="Z62" s="69" t="n"/>
      <c r="AA62" s="71" t="n"/>
      <c r="AB62" s="69" t="n"/>
      <c r="AC62" s="73">
        <f>IF(COUNT(S62,Y62,AA62)=0,"",SUM(S62,Y62,AA62))</f>
        <v/>
      </c>
      <c r="AD62" s="72">
        <f>IF(N(AC62)=0,"",SUM(V62,W62,X62,Z62,AB62)/AC62)</f>
        <v/>
      </c>
      <c r="AE62" s="71" t="n"/>
      <c r="AF62" s="71" t="n"/>
      <c r="AG62" s="71" t="n"/>
      <c r="AH62" s="73">
        <f>IF(COUNT(AE62,AF62,AG62)=0,"",SUM(AE62,AF62,AG62))</f>
        <v/>
      </c>
      <c r="AI62" s="71" t="n"/>
      <c r="AJ62" s="71" t="n"/>
      <c r="AK62" s="71" t="n"/>
      <c r="AL62" s="73">
        <f>IF(COUNT(AI62,AJ62,AK62)=0,"",SUM(AI62,AJ62,AK62))</f>
        <v/>
      </c>
      <c r="AM62" s="68">
        <f>IF(N(AC62)=0,"",IF(COUNT($AC$6:$AC$105)&lt;5,"Too early",IF(AC62&gt;=1.5*MEDIAN($AC$6:$AC$105),"Top",IF(AC62&lt;=0.5*MEDIAN($AC$6:$AC$105),"Low","Average"))))</f>
        <v/>
      </c>
      <c r="AN62" s="69" t="inlineStr">
        <is>
          <t>2026-10-22: replaced by the pattern test (Shivam)</t>
        </is>
      </c>
      <c r="AO62" s="69" t="inlineStr">
        <is>
          <t>dossier</t>
        </is>
      </c>
      <c r="AP62" s="74" t="n"/>
      <c r="AQ62" s="74" t="n"/>
      <c r="AR62" s="74" t="n"/>
      <c r="AS62" s="74" t="n"/>
      <c r="AT62" s="74" t="n"/>
      <c r="AU62" s="74" t="n"/>
      <c r="AV62" s="64" t="inlineStr">
        <is>
          <t>Contrarian</t>
        </is>
      </c>
    </row>
    <row r="63" ht="60" customHeight="1" s="62">
      <c r="A63" s="68" t="n">
        <v>58</v>
      </c>
      <c r="B63" s="68" t="inlineStr">
        <is>
          <t>Relationships and communication</t>
        </is>
      </c>
      <c r="C63" s="68" t="inlineStr">
        <is>
          <t>Reciprocity</t>
        </is>
      </c>
      <c r="D63" s="68" t="inlineStr">
        <is>
          <t>Why can a small favor create a sense of obligation?</t>
        </is>
      </c>
      <c r="E63" s="68" t="inlineStr">
        <is>
          <t>Explain reciprocal expectations and their context.</t>
        </is>
      </c>
      <c r="F63" s="68" t="inlineStr">
        <is>
          <t>Coffee favor exchange</t>
        </is>
      </c>
      <c r="G63" s="68" t="n">
        <v>45</v>
      </c>
      <c r="H63" s="68" t="inlineStr">
        <is>
          <t>Published</t>
        </is>
      </c>
      <c r="I63" s="69" t="n">
        <v>6</v>
      </c>
      <c r="J63" s="69" t="inlineStr">
        <is>
          <t>Strong</t>
        </is>
      </c>
      <c r="K63" s="69" t="inlineStr">
        <is>
          <t>reciprocity</t>
        </is>
      </c>
      <c r="L63" s="70" t="n">
        <v>46309</v>
      </c>
      <c r="M63" s="68">
        <f>IF(L63="","",TEXT(L63,"ddd"))</f>
        <v/>
      </c>
      <c r="N63" s="69" t="inlineStr">
        <is>
          <t>eyes</t>
        </is>
      </c>
      <c r="O63" s="69" t="n">
        <v>42</v>
      </c>
      <c r="P63" s="69" t="inlineStr">
        <is>
          <t>Why a Free Gift Makes You Feel Like You Owe #shorts</t>
        </is>
      </c>
      <c r="Q63" s="69" t="inlineStr">
        <is>
          <t>Regan 1971, Journal of Experimental Social Psychology 7:627-639; favor (Coke) roughly doubled raffle tickets bought; liking predicted buying only without favor (Wikipedia, Cialdini summaries)</t>
        </is>
      </c>
      <c r="R63" s="69" t="inlineStr">
        <is>
          <t>buffer:youtube=6ace86e34a3bafcd13007ef2;instagram=6ace86e49abb1755a4728ccf;tiktok=6ace86e4cb3665561f6351fe</t>
        </is>
      </c>
      <c r="S63" s="71" t="n"/>
      <c r="T63" s="69" t="n"/>
      <c r="U63" s="72">
        <f>IF(OR(T63="",N(O63)=0),"",T63/O63)</f>
        <v/>
      </c>
      <c r="V63" s="69" t="n"/>
      <c r="W63" s="69" t="n"/>
      <c r="X63" s="69" t="n"/>
      <c r="Y63" s="71" t="n"/>
      <c r="Z63" s="69" t="n"/>
      <c r="AA63" s="71" t="n"/>
      <c r="AB63" s="69" t="n"/>
      <c r="AC63" s="73">
        <f>IF(COUNT(S63,Y63,AA63)=0,"",SUM(S63,Y63,AA63))</f>
        <v/>
      </c>
      <c r="AD63" s="72">
        <f>IF(N(AC63)=0,"",SUM(V63,W63,X63,Z63,AB63)/AC63)</f>
        <v/>
      </c>
      <c r="AE63" s="71" t="n"/>
      <c r="AF63" s="71" t="n"/>
      <c r="AG63" s="71" t="n"/>
      <c r="AH63" s="73">
        <f>IF(COUNT(AE63,AF63,AG63)=0,"",SUM(AE63,AF63,AG63))</f>
        <v/>
      </c>
      <c r="AI63" s="71" t="n"/>
      <c r="AJ63" s="71" t="n"/>
      <c r="AK63" s="71" t="n"/>
      <c r="AL63" s="73">
        <f>IF(COUNT(AI63,AJ63,AK63)=0,"",SUM(AI63,AJ63,AK63))</f>
        <v/>
      </c>
      <c r="AM63" s="68">
        <f>IF(N(AC63)=0,"",IF(COUNT($AC$6:$AC$105)&lt;5,"Too early",IF(AC63&gt;=1.5*MEDIAN($AC$6:$AC$105),"Top",IF(AC63&lt;=0.5*MEDIAN($AC$6:$AC$105),"Low","Average"))))</f>
        <v/>
      </c>
      <c r="AN63" s="69" t="n"/>
      <c r="AO63" s="69" t="inlineStr">
        <is>
          <t>game-show</t>
        </is>
      </c>
      <c r="AP63" s="74" t="n"/>
      <c r="AQ63" s="74" t="n"/>
      <c r="AR63" s="74" t="n"/>
      <c r="AS63" s="74" t="n"/>
      <c r="AT63" s="74" t="n"/>
      <c r="AU63" s="74" t="n"/>
      <c r="AV63" s="64" t="inlineStr">
        <is>
          <t>Study reveal</t>
        </is>
      </c>
    </row>
    <row r="64" ht="60" customHeight="1" s="62">
      <c r="A64" s="68" t="n">
        <v>59</v>
      </c>
      <c r="B64" s="68" t="inlineStr">
        <is>
          <t>Relationships and communication</t>
        </is>
      </c>
      <c r="C64" s="68" t="inlineStr">
        <is>
          <t>The mere-exposure effect</t>
        </is>
      </c>
      <c r="D64" s="68" t="inlineStr">
        <is>
          <t>Can familiarity influence liking?</t>
        </is>
      </c>
      <c r="E64" s="68" t="inlineStr">
        <is>
          <t>Explore repeated exposure without claiming it creates attraction.</t>
        </is>
      </c>
      <c r="F64" s="68" t="inlineStr">
        <is>
          <t>Repeated face illustrations</t>
        </is>
      </c>
      <c r="G64" s="68" t="n">
        <v>45</v>
      </c>
      <c r="H64" s="68" t="inlineStr">
        <is>
          <t>Published</t>
        </is>
      </c>
      <c r="I64" s="69" t="n">
        <v>16</v>
      </c>
      <c r="J64" s="69" t="inlineStr">
        <is>
          <t>Strong</t>
        </is>
      </c>
      <c r="K64" s="69" t="inlineStr">
        <is>
          <t>mere-exposure</t>
        </is>
      </c>
      <c r="L64" s="70" t="n">
        <v>46311</v>
      </c>
      <c r="M64" s="68">
        <f>IF(L64="","",TEXT(L64,"ddd"))</f>
        <v/>
      </c>
      <c r="N64" s="69" t="n"/>
      <c r="O64" s="69" t="n">
        <v>31</v>
      </c>
      <c r="P64" s="69" t="inlineStr">
        <is>
          <t>Why People Like You More Without Knowing Why #shorts</t>
        </is>
      </c>
      <c r="Q64" s="69" t="inlineStr">
        <is>
          <t>Moreland &amp; Beach 1992, J Exp Social Psych 28(3):255-276; women attended 0/5/10/15 lectures, rated more attractive/likeable with more exposure</t>
        </is>
      </c>
      <c r="R64" s="69" t="inlineStr">
        <is>
          <t>buffer:youtube=6ad131032aec0f0a6da4b49c;tiktok=6ad131044fd04e4eb3ab0df1;instagram=6ad7ca1b028de2f3133ebf78</t>
        </is>
      </c>
      <c r="S64" s="71" t="n"/>
      <c r="T64" s="69" t="n"/>
      <c r="U64" s="72">
        <f>IF(OR(T64="",N(O64)=0),"",T64/O64)</f>
        <v/>
      </c>
      <c r="V64" s="69" t="n"/>
      <c r="W64" s="69" t="n"/>
      <c r="X64" s="69" t="n"/>
      <c r="Y64" s="71" t="n"/>
      <c r="Z64" s="69" t="n"/>
      <c r="AA64" s="71" t="n"/>
      <c r="AB64" s="69" t="n"/>
      <c r="AC64" s="73">
        <f>IF(COUNT(S64,Y64,AA64)=0,"",SUM(S64,Y64,AA64))</f>
        <v/>
      </c>
      <c r="AD64" s="72">
        <f>IF(N(AC64)=0,"",SUM(V64,W64,X64,Z64,AB64)/AC64)</f>
        <v/>
      </c>
      <c r="AE64" s="71" t="n"/>
      <c r="AF64" s="71" t="n"/>
      <c r="AG64" s="71" t="n"/>
      <c r="AH64" s="73">
        <f>IF(COUNT(AE64,AF64,AG64)=0,"",SUM(AE64,AF64,AG64))</f>
        <v/>
      </c>
      <c r="AI64" s="71" t="n"/>
      <c r="AJ64" s="71" t="n"/>
      <c r="AK64" s="71" t="n"/>
      <c r="AL64" s="73">
        <f>IF(COUNT(AI64,AJ64,AK64)=0,"",SUM(AI64,AJ64,AK64))</f>
        <v/>
      </c>
      <c r="AM64" s="68">
        <f>IF(N(AC64)=0,"",IF(COUNT($AC$6:$AC$105)&lt;5,"Too early",IF(AC64&gt;=1.5*MEDIAN($AC$6:$AC$105),"Top",IF(AC64&lt;=0.5*MEDIAN($AC$6:$AC$105),"Low","Average"))))</f>
        <v/>
      </c>
      <c r="AN64" s="69" t="n"/>
      <c r="AO64" s="69" t="inlineStr">
        <is>
          <t>ted2</t>
        </is>
      </c>
      <c r="AP64" s="74" t="n"/>
      <c r="AQ64" s="74" t="n"/>
      <c r="AR64" s="74" t="n"/>
      <c r="AS64" s="74" t="n"/>
      <c r="AT64" s="74" t="n"/>
      <c r="AU64" s="74" t="n"/>
      <c r="AV64" s="64" t="inlineStr">
        <is>
          <t>Study reveal</t>
        </is>
      </c>
    </row>
    <row r="65" ht="60" customHeight="1" s="62">
      <c r="A65" s="68" t="n">
        <v>60</v>
      </c>
      <c r="B65" s="68" t="inlineStr">
        <is>
          <t>Relationships and communication</t>
        </is>
      </c>
      <c r="C65" s="68" t="inlineStr">
        <is>
          <t>Attachment labels online</t>
        </is>
      </c>
      <c r="D65" s="68" t="inlineStr">
        <is>
          <t>Can one unanswered text reveal your attachment style?</t>
        </is>
      </c>
      <c r="E65" s="68" t="inlineStr">
        <is>
          <t>Use the question to challenge simplistic relationship labeling.</t>
        </is>
      </c>
      <c r="F65" s="68" t="inlineStr">
        <is>
          <t>Label stamp crossed out</t>
        </is>
      </c>
      <c r="G65" s="68" t="n">
        <v>45</v>
      </c>
      <c r="H65" s="68" t="inlineStr">
        <is>
          <t>Vetoed</t>
        </is>
      </c>
      <c r="I65" s="69" t="n">
        <v>100</v>
      </c>
      <c r="J65" s="69" t="inlineStr">
        <is>
          <t>Weak</t>
        </is>
      </c>
      <c r="K65" s="69" t="n"/>
      <c r="L65" s="70" t="n"/>
      <c r="M65" s="68">
        <f>IF(L65="","",TEXT(L65,"ddd"))</f>
        <v/>
      </c>
      <c r="N65" s="69" t="n"/>
      <c r="O65" s="69" t="n"/>
      <c r="P65" s="69" t="n"/>
      <c r="Q65" s="69" t="n"/>
      <c r="R65" s="69" t="n"/>
      <c r="S65" s="71" t="n"/>
      <c r="T65" s="69" t="n"/>
      <c r="U65" s="72">
        <f>IF(OR(T65="",N(O65)=0),"",T65/O65)</f>
        <v/>
      </c>
      <c r="V65" s="69" t="n"/>
      <c r="W65" s="69" t="n"/>
      <c r="X65" s="69" t="n"/>
      <c r="Y65" s="71" t="n"/>
      <c r="Z65" s="69" t="n"/>
      <c r="AA65" s="71" t="n"/>
      <c r="AB65" s="69" t="n"/>
      <c r="AC65" s="73">
        <f>IF(COUNT(S65,Y65,AA65)=0,"",SUM(S65,Y65,AA65))</f>
        <v/>
      </c>
      <c r="AD65" s="72">
        <f>IF(N(AC65)=0,"",SUM(V65,W65,X65,Z65,AB65)/AC65)</f>
        <v/>
      </c>
      <c r="AE65" s="71" t="n"/>
      <c r="AF65" s="71" t="n"/>
      <c r="AG65" s="71" t="n"/>
      <c r="AH65" s="73">
        <f>IF(COUNT(AE65,AF65,AG65)=0,"",SUM(AE65,AF65,AG65))</f>
        <v/>
      </c>
      <c r="AI65" s="71" t="n"/>
      <c r="AJ65" s="71" t="n"/>
      <c r="AK65" s="71" t="n"/>
      <c r="AL65" s="73">
        <f>IF(COUNT(AI65,AJ65,AK65)=0,"",SUM(AI65,AJ65,AK65))</f>
        <v/>
      </c>
      <c r="AM65" s="68">
        <f>IF(N(AC65)=0,"",IF(COUNT($AC$6:$AC$105)&lt;5,"Too early",IF(AC65&gt;=1.5*MEDIAN($AC$6:$AC$105),"Top",IF(AC65&lt;=0.5*MEDIAN($AC$6:$AC$105),"Low","Average"))))</f>
        <v/>
      </c>
      <c r="AN65" s="69" t="inlineStr">
        <is>
          <t>2026-10-22: replaced by the pattern test (Shivam)</t>
        </is>
      </c>
      <c r="AO65" s="69" t="inlineStr">
        <is>
          <t>terminal</t>
        </is>
      </c>
      <c r="AP65" s="74" t="n"/>
      <c r="AQ65" s="74" t="n"/>
      <c r="AR65" s="74" t="n"/>
      <c r="AS65" s="74" t="n"/>
      <c r="AT65" s="74" t="n"/>
      <c r="AU65" s="74" t="n"/>
      <c r="AV65" s="64" t="inlineStr">
        <is>
          <t>Contrarian</t>
        </is>
      </c>
    </row>
    <row r="66" ht="60" customHeight="1" s="62">
      <c r="A66" s="68" t="n">
        <v>61</v>
      </c>
      <c r="B66" s="68" t="inlineStr">
        <is>
          <t>Social psychology</t>
        </is>
      </c>
      <c r="C66" s="68" t="inlineStr">
        <is>
          <t>Conformity</t>
        </is>
      </c>
      <c r="D66" s="68" t="inlineStr">
        <is>
          <t>Would you change your answer if everyone else disagreed?</t>
        </is>
      </c>
      <c r="E66" s="68" t="inlineStr">
        <is>
          <t>Stage a group judgment scenario and discuss social pressure.</t>
        </is>
      </c>
      <c r="F66" s="68" t="inlineStr">
        <is>
          <t>Line-length cards</t>
        </is>
      </c>
      <c r="G66" s="68" t="n">
        <v>45</v>
      </c>
      <c r="H66" s="68" t="inlineStr">
        <is>
          <t>Published</t>
        </is>
      </c>
      <c r="I66" s="69" t="n">
        <v>7</v>
      </c>
      <c r="J66" s="69" t="inlineStr">
        <is>
          <t>Strong</t>
        </is>
      </c>
      <c r="K66" s="69" t="inlineStr">
        <is>
          <t>conformity</t>
        </is>
      </c>
      <c r="L66" s="70" t="n">
        <v>46309</v>
      </c>
      <c r="M66" s="68">
        <f>IF(L66="","",TEXT(L66,"ddd"))</f>
        <v/>
      </c>
      <c r="N66" s="69" t="inlineStr">
        <is>
          <t>eyes</t>
        </is>
      </c>
      <c r="O66" s="69" t="n">
        <v>27</v>
      </c>
      <c r="P66" s="69" t="inlineStr">
        <is>
          <t>Would You Give a Wrong Answer to Fit In? #shorts</t>
        </is>
      </c>
      <c r="Q66" s="69" t="inlineStr">
        <is>
          <t>Asch 1951 (1956 monograph): controls &lt;1% errors; ~74-75% conformed at least once; ~1/3 of critical responses (Wikipedia; textbook summaries)</t>
        </is>
      </c>
      <c r="R66" s="69" t="inlineStr">
        <is>
          <t>buffer:youtube=6acff9681cf1b660315c437a;instagram=6acff968fd7b73f9b827be52;tiktok=6acff96968bd56434b7c64ce</t>
        </is>
      </c>
      <c r="S66" s="71" t="n"/>
      <c r="T66" s="69" t="n"/>
      <c r="U66" s="72">
        <f>IF(OR(T66="",N(O66)=0),"",T66/O66)</f>
        <v/>
      </c>
      <c r="V66" s="69" t="n"/>
      <c r="W66" s="69" t="n"/>
      <c r="X66" s="69" t="n"/>
      <c r="Y66" s="71" t="n"/>
      <c r="Z66" s="69" t="n"/>
      <c r="AA66" s="71" t="n"/>
      <c r="AB66" s="69" t="n"/>
      <c r="AC66" s="73">
        <f>IF(COUNT(S66,Y66,AA66)=0,"",SUM(S66,Y66,AA66))</f>
        <v/>
      </c>
      <c r="AD66" s="72">
        <f>IF(N(AC66)=0,"",SUM(V66,W66,X66,Z66,AB66)/AC66)</f>
        <v/>
      </c>
      <c r="AE66" s="71" t="n"/>
      <c r="AF66" s="71" t="n"/>
      <c r="AG66" s="71" t="n"/>
      <c r="AH66" s="73">
        <f>IF(COUNT(AE66,AF66,AG66)=0,"",SUM(AE66,AF66,AG66))</f>
        <v/>
      </c>
      <c r="AI66" s="71" t="n"/>
      <c r="AJ66" s="71" t="n"/>
      <c r="AK66" s="71" t="n"/>
      <c r="AL66" s="73">
        <f>IF(COUNT(AI66,AJ66,AK66)=0,"",SUM(AI66,AJ66,AK66))</f>
        <v/>
      </c>
      <c r="AM66" s="68">
        <f>IF(N(AC66)=0,"",IF(COUNT($AC$6:$AC$105)&lt;5,"Too early",IF(AC66&gt;=1.5*MEDIAN($AC$6:$AC$105),"Top",IF(AC66&lt;=0.5*MEDIAN($AC$6:$AC$105),"Low","Average"))))</f>
        <v/>
      </c>
      <c r="AN66" s="69" t="n"/>
      <c r="AO66" s="69" t="inlineStr">
        <is>
          <t>dossier</t>
        </is>
      </c>
      <c r="AP66" s="74" t="n"/>
      <c r="AQ66" s="74" t="n"/>
      <c r="AR66" s="74" t="n"/>
      <c r="AS66" s="74" t="n"/>
      <c r="AT66" s="74" t="n"/>
      <c r="AU66" s="74" t="n"/>
      <c r="AV66" s="64" t="inlineStr">
        <is>
          <t>Forced choice</t>
        </is>
      </c>
    </row>
    <row r="67" ht="60" customHeight="1" s="62">
      <c r="A67" s="68" t="n">
        <v>62</v>
      </c>
      <c r="B67" s="68" t="inlineStr">
        <is>
          <t>Social psychology</t>
        </is>
      </c>
      <c r="C67" s="68" t="inlineStr">
        <is>
          <t>Informational social influence</t>
        </is>
      </c>
      <c r="D67" s="68" t="inlineStr">
        <is>
          <t>When do we copy others because we're uncertain?</t>
        </is>
      </c>
      <c r="E67" s="68" t="inlineStr">
        <is>
          <t>Show a newcomer following the crowd in an unfamiliar setting.</t>
        </is>
      </c>
      <c r="F67" s="68" t="inlineStr">
        <is>
          <t>Station crowd animation</t>
        </is>
      </c>
      <c r="G67" s="68" t="n">
        <v>45</v>
      </c>
      <c r="H67" s="68" t="inlineStr">
        <is>
          <t>Published</t>
        </is>
      </c>
      <c r="I67" s="69" t="n">
        <v>17</v>
      </c>
      <c r="J67" s="69" t="inlineStr">
        <is>
          <t>Strong</t>
        </is>
      </c>
      <c r="K67" s="69" t="inlineStr">
        <is>
          <t>informational-influence</t>
        </is>
      </c>
      <c r="L67" s="70" t="n">
        <v>46311</v>
      </c>
      <c r="M67" s="68">
        <f>IF(L67="","",TEXT(L67,"ddd"))</f>
        <v/>
      </c>
      <c r="N67" s="69" t="n"/>
      <c r="O67" s="69" t="n">
        <v>32</v>
      </c>
      <c r="P67" s="69" t="inlineStr">
        <is>
          <t>Why You Copy Others When You're Unsure #shorts</t>
        </is>
      </c>
      <c r="Q67" s="69" t="inlineStr">
        <is>
          <t>Sherif 1935, Archives of Psychology 27(187); autokinetic effect, group estimates converge and persist when tested alone</t>
        </is>
      </c>
      <c r="R67" s="69" t="inlineStr">
        <is>
          <t>buffer:youtube=6ad1310584453eae6f32ec7f;tiktok=6ad131064fd04e4eb3ab0eb3;instagram=6ad91e75b945508d3f85a09d</t>
        </is>
      </c>
      <c r="S67" s="71" t="n"/>
      <c r="T67" s="69" t="n"/>
      <c r="U67" s="72">
        <f>IF(OR(T67="",N(O67)=0),"",T67/O67)</f>
        <v/>
      </c>
      <c r="V67" s="69" t="n"/>
      <c r="W67" s="69" t="n"/>
      <c r="X67" s="69" t="n"/>
      <c r="Y67" s="71" t="n"/>
      <c r="Z67" s="69" t="n"/>
      <c r="AA67" s="71" t="n"/>
      <c r="AB67" s="69" t="n"/>
      <c r="AC67" s="73">
        <f>IF(COUNT(S67,Y67,AA67)=0,"",SUM(S67,Y67,AA67))</f>
        <v/>
      </c>
      <c r="AD67" s="72">
        <f>IF(N(AC67)=0,"",SUM(V67,W67,X67,Z67,AB67)/AC67)</f>
        <v/>
      </c>
      <c r="AE67" s="71" t="n"/>
      <c r="AF67" s="71" t="n"/>
      <c r="AG67" s="71" t="n"/>
      <c r="AH67" s="73">
        <f>IF(COUNT(AE67,AF67,AG67)=0,"",SUM(AE67,AF67,AG67))</f>
        <v/>
      </c>
      <c r="AI67" s="71" t="n"/>
      <c r="AJ67" s="71" t="n"/>
      <c r="AK67" s="71" t="n"/>
      <c r="AL67" s="73">
        <f>IF(COUNT(AI67,AJ67,AK67)=0,"",SUM(AI67,AJ67,AK67))</f>
        <v/>
      </c>
      <c r="AM67" s="68">
        <f>IF(N(AC67)=0,"",IF(COUNT($AC$6:$AC$105)&lt;5,"Too early",IF(AC67&gt;=1.5*MEDIAN($AC$6:$AC$105),"Top",IF(AC67&lt;=0.5*MEDIAN($AC$6:$AC$105),"Low","Average"))))</f>
        <v/>
      </c>
      <c r="AN67" s="69" t="n"/>
      <c r="AO67" s="69" t="inlineStr">
        <is>
          <t>ted2</t>
        </is>
      </c>
      <c r="AP67" s="74" t="n"/>
      <c r="AQ67" s="74" t="n"/>
      <c r="AR67" s="74" t="n"/>
      <c r="AS67" s="74" t="n"/>
      <c r="AT67" s="74" t="n"/>
      <c r="AU67" s="74" t="n"/>
      <c r="AV67" s="64" t="inlineStr">
        <is>
          <t>Study reveal</t>
        </is>
      </c>
    </row>
    <row r="68" ht="60" customHeight="1" s="62">
      <c r="A68" s="68" t="n">
        <v>63</v>
      </c>
      <c r="B68" s="68" t="inlineStr">
        <is>
          <t>Social psychology</t>
        </is>
      </c>
      <c r="C68" s="68" t="inlineStr">
        <is>
          <t>Normative social influence</t>
        </is>
      </c>
      <c r="D68" s="68" t="inlineStr">
        <is>
          <t>Would you say you agree just to fit in?</t>
        </is>
      </c>
      <c r="E68" s="68" t="inlineStr">
        <is>
          <t>Contrast private opinion with public response.</t>
        </is>
      </c>
      <c r="F68" s="68" t="inlineStr">
        <is>
          <t>Thought bubble versus spoken answer</t>
        </is>
      </c>
      <c r="G68" s="68" t="n">
        <v>45</v>
      </c>
      <c r="H68" s="68" t="inlineStr">
        <is>
          <t>Published</t>
        </is>
      </c>
      <c r="I68" s="69" t="n">
        <v>26</v>
      </c>
      <c r="J68" s="69" t="inlineStr">
        <is>
          <t>Strong</t>
        </is>
      </c>
      <c r="K68" s="69" t="inlineStr">
        <is>
          <t>normative-influence</t>
        </is>
      </c>
      <c r="L68" s="70" t="n">
        <v>46313</v>
      </c>
      <c r="M68" s="68">
        <f>IF(L68="","",TEXT(L68,"ddd"))</f>
        <v/>
      </c>
      <c r="N68" s="69" t="n"/>
      <c r="O68" s="69" t="n">
        <v>36</v>
      </c>
      <c r="P68" s="69" t="inlineStr">
        <is>
          <t>Why People Agree Out Loud but Not on Paper #shorts</t>
        </is>
      </c>
      <c r="Q68" s="69" t="inlineStr">
        <is>
          <t>Asch 1956, Psychological Monographs 70(9); written private answers cut conformity sharply (cf. Deutsch &amp; Gerard 1955)</t>
        </is>
      </c>
      <c r="R68" s="69" t="inlineStr">
        <is>
          <t>buffer:youtube=6ad3c114ae173d6e00cc5d2c;tiktok=6ad3c114938409f1d09b2e54</t>
        </is>
      </c>
      <c r="S68" s="71" t="n"/>
      <c r="T68" s="69" t="n"/>
      <c r="U68" s="72">
        <f>IF(OR(T68="",N(O68)=0),"",T68/O68)</f>
        <v/>
      </c>
      <c r="V68" s="69" t="n"/>
      <c r="W68" s="69" t="n"/>
      <c r="X68" s="69" t="n"/>
      <c r="Y68" s="71" t="n"/>
      <c r="Z68" s="69" t="n"/>
      <c r="AA68" s="71" t="n"/>
      <c r="AB68" s="69" t="n"/>
      <c r="AC68" s="73">
        <f>IF(COUNT(S68,Y68,AA68)=0,"",SUM(S68,Y68,AA68))</f>
        <v/>
      </c>
      <c r="AD68" s="72">
        <f>IF(N(AC68)=0,"",SUM(V68,W68,X68,Z68,AB68)/AC68)</f>
        <v/>
      </c>
      <c r="AE68" s="71" t="n"/>
      <c r="AF68" s="71" t="n"/>
      <c r="AG68" s="71" t="n"/>
      <c r="AH68" s="73">
        <f>IF(COUNT(AE68,AF68,AG68)=0,"",SUM(AE68,AF68,AG68))</f>
        <v/>
      </c>
      <c r="AI68" s="71" t="n"/>
      <c r="AJ68" s="71" t="n"/>
      <c r="AK68" s="71" t="n"/>
      <c r="AL68" s="73">
        <f>IF(COUNT(AI68,AJ68,AK68)=0,"",SUM(AI68,AJ68,AK68))</f>
        <v/>
      </c>
      <c r="AM68" s="68">
        <f>IF(N(AC68)=0,"",IF(COUNT($AC$6:$AC$105)&lt;5,"Too early",IF(AC68&gt;=1.5*MEDIAN($AC$6:$AC$105),"Top",IF(AC68&lt;=0.5*MEDIAN($AC$6:$AC$105),"Low","Average"))))</f>
        <v/>
      </c>
      <c r="AN68" s="69" t="n"/>
      <c r="AO68" s="69" t="inlineStr">
        <is>
          <t>ted2</t>
        </is>
      </c>
      <c r="AP68" s="74" t="n"/>
      <c r="AQ68" s="74" t="n"/>
      <c r="AR68" s="74" t="n"/>
      <c r="AS68" s="74" t="n"/>
      <c r="AT68" s="74" t="n"/>
      <c r="AU68" s="74" t="n"/>
      <c r="AV68" s="64" t="inlineStr">
        <is>
          <t>You-callout</t>
        </is>
      </c>
    </row>
    <row r="69" ht="60" customHeight="1" s="62">
      <c r="A69" s="68" t="n">
        <v>64</v>
      </c>
      <c r="B69" s="68" t="inlineStr">
        <is>
          <t>Social psychology</t>
        </is>
      </c>
      <c r="C69" s="68" t="inlineStr">
        <is>
          <t>Social proof</t>
        </is>
      </c>
      <c r="D69" s="68" t="inlineStr">
        <is>
          <t>Does a long line prove the food is better?</t>
        </is>
      </c>
      <c r="E69" s="68" t="inlineStr">
        <is>
          <t>Explore popularity as a cue that can be imperfect.</t>
        </is>
      </c>
      <c r="F69" s="68" t="inlineStr">
        <is>
          <t>Two restaurant queues</t>
        </is>
      </c>
      <c r="G69" s="68" t="n">
        <v>45</v>
      </c>
      <c r="H69" s="68" t="inlineStr">
        <is>
          <t>Published</t>
        </is>
      </c>
      <c r="I69" s="69" t="n">
        <v>34</v>
      </c>
      <c r="J69" s="69" t="inlineStr">
        <is>
          <t>Strong</t>
        </is>
      </c>
      <c r="K69" s="69" t="inlineStr">
        <is>
          <t>social-proof</t>
        </is>
      </c>
      <c r="L69" s="70" t="n">
        <v>46315</v>
      </c>
      <c r="M69" s="68">
        <f>IF(L69="","",TEXT(L69,"ddd"))</f>
        <v/>
      </c>
      <c r="N69" s="69" t="n"/>
      <c r="O69" s="69" t="n">
        <v>38</v>
      </c>
      <c r="P69" s="69" t="inlineStr">
        <is>
          <t>Does a Long Line Really Mean Better Food? #shorts</t>
        </is>
      </c>
      <c r="Q69" s="69" t="inlineStr">
        <is>
          <t>Goldstein, Cialdini &amp; Griskevicius 2008, J Consumer Research 35(3):472-482; towel reuse 35% standard, 44% descriptive norm, 49% same-room norm</t>
        </is>
      </c>
      <c r="R69" s="69" t="inlineStr">
        <is>
          <t>buffer:youtube=6ad6884046c9e2453ba0b288;instagram=6ad688414d814f3c383a3a2e;tiktok=6ad688414d4b435031506cfd</t>
        </is>
      </c>
      <c r="S69" s="71" t="n"/>
      <c r="T69" s="69" t="n"/>
      <c r="U69" s="72">
        <f>IF(OR(T69="",N(O69)=0),"",T69/O69)</f>
        <v/>
      </c>
      <c r="V69" s="69" t="n"/>
      <c r="W69" s="69" t="n"/>
      <c r="X69" s="69" t="n"/>
      <c r="Y69" s="71" t="n"/>
      <c r="Z69" s="69" t="n"/>
      <c r="AA69" s="71" t="n"/>
      <c r="AB69" s="69" t="n"/>
      <c r="AC69" s="73">
        <f>IF(COUNT(S69,Y69,AA69)=0,"",SUM(S69,Y69,AA69))</f>
        <v/>
      </c>
      <c r="AD69" s="72">
        <f>IF(N(AC69)=0,"",SUM(V69,W69,X69,Z69,AB69)/AC69)</f>
        <v/>
      </c>
      <c r="AE69" s="71" t="n"/>
      <c r="AF69" s="71" t="n"/>
      <c r="AG69" s="71" t="n"/>
      <c r="AH69" s="73">
        <f>IF(COUNT(AE69,AF69,AG69)=0,"",SUM(AE69,AF69,AG69))</f>
        <v/>
      </c>
      <c r="AI69" s="71" t="n"/>
      <c r="AJ69" s="71" t="n"/>
      <c r="AK69" s="71" t="n"/>
      <c r="AL69" s="73">
        <f>IF(COUNT(AI69,AJ69,AK69)=0,"",SUM(AI69,AJ69,AK69))</f>
        <v/>
      </c>
      <c r="AM69" s="68">
        <f>IF(N(AC69)=0,"",IF(COUNT($AC$6:$AC$105)&lt;5,"Too early",IF(AC69&gt;=1.5*MEDIAN($AC$6:$AC$105),"Top",IF(AC69&lt;=0.5*MEDIAN($AC$6:$AC$105),"Low","Average"))))</f>
        <v/>
      </c>
      <c r="AN69" s="69" t="n"/>
      <c r="AO69" s="69" t="inlineStr">
        <is>
          <t>ted2</t>
        </is>
      </c>
      <c r="AP69" s="74" t="n"/>
      <c r="AQ69" s="74" t="n"/>
      <c r="AR69" s="74" t="n"/>
      <c r="AS69" s="74" t="n"/>
      <c r="AT69" s="74" t="n"/>
      <c r="AU69" s="74" t="n"/>
      <c r="AV69" s="64" t="inlineStr">
        <is>
          <t>Study reveal</t>
        </is>
      </c>
    </row>
    <row r="70" ht="60" customHeight="1" s="62">
      <c r="A70" s="68" t="n">
        <v>65</v>
      </c>
      <c r="B70" s="68" t="inlineStr">
        <is>
          <t>Social psychology</t>
        </is>
      </c>
      <c r="C70" s="68" t="inlineStr">
        <is>
          <t>The bystander effect</t>
        </is>
      </c>
      <c r="D70" s="68" t="inlineStr">
        <is>
          <t>What changes when everyone thinks someone else will act?</t>
        </is>
      </c>
      <c r="E70" s="68" t="inlineStr">
        <is>
          <t>Explain diffusion of responsibility and a specific request for help.</t>
        </is>
      </c>
      <c r="F70" s="68" t="inlineStr">
        <is>
          <t>Group with one named helper</t>
        </is>
      </c>
      <c r="G70" s="68" t="n">
        <v>45</v>
      </c>
      <c r="H70" s="68" t="inlineStr">
        <is>
          <t>Published</t>
        </is>
      </c>
      <c r="I70" s="69" t="n">
        <v>41</v>
      </c>
      <c r="J70" s="69" t="inlineStr">
        <is>
          <t>Strong</t>
        </is>
      </c>
      <c r="K70" s="69" t="inlineStr">
        <is>
          <t>bystander-effect</t>
        </is>
      </c>
      <c r="L70" s="70" t="n">
        <v>46318</v>
      </c>
      <c r="M70" s="68">
        <f>IF(L70="","",TEXT(L70,"ddd"))</f>
        <v/>
      </c>
      <c r="N70" s="69" t="n"/>
      <c r="O70" s="69" t="n">
        <v>44</v>
      </c>
      <c r="P70" s="69" t="inlineStr">
        <is>
          <t>Why Nobody Helps When Everyone Is Watching #shorts</t>
        </is>
      </c>
      <c r="Q70" s="69" t="inlineStr">
        <is>
          <t>Darley &amp; Latane 1968, JPSP 8(4):377-383; alone 85% helped before seizure ended vs 31% with four others</t>
        </is>
      </c>
      <c r="R70" s="69" t="inlineStr">
        <is>
          <t>buffer:youtube=6adae0329ef33e7811b8d1f6;instagram=6adae032535235087b7f4483;tiktok=6adae033cc1b7cdc08cdae8d</t>
        </is>
      </c>
      <c r="S70" s="71" t="n"/>
      <c r="T70" s="69" t="n"/>
      <c r="U70" s="72">
        <f>IF(OR(T70="",N(O70)=0),"",T70/O70)</f>
        <v/>
      </c>
      <c r="V70" s="69" t="n"/>
      <c r="W70" s="69" t="n"/>
      <c r="X70" s="69" t="n"/>
      <c r="Y70" s="71" t="n"/>
      <c r="Z70" s="69" t="n"/>
      <c r="AA70" s="71" t="n"/>
      <c r="AB70" s="69" t="n"/>
      <c r="AC70" s="73">
        <f>IF(COUNT(S70,Y70,AA70)=0,"",SUM(S70,Y70,AA70))</f>
        <v/>
      </c>
      <c r="AD70" s="72">
        <f>IF(N(AC70)=0,"",SUM(V70,W70,X70,Z70,AB70)/AC70)</f>
        <v/>
      </c>
      <c r="AE70" s="71" t="n"/>
      <c r="AF70" s="71" t="n"/>
      <c r="AG70" s="71" t="n"/>
      <c r="AH70" s="73">
        <f>IF(COUNT(AE70,AF70,AG70)=0,"",SUM(AE70,AF70,AG70))</f>
        <v/>
      </c>
      <c r="AI70" s="71" t="n"/>
      <c r="AJ70" s="71" t="n"/>
      <c r="AK70" s="71" t="n"/>
      <c r="AL70" s="73">
        <f>IF(COUNT(AI70,AJ70,AK70)=0,"",SUM(AI70,AJ70,AK70))</f>
        <v/>
      </c>
      <c r="AM70" s="68">
        <f>IF(N(AC70)=0,"",IF(COUNT($AC$6:$AC$105)&lt;5,"Too early",IF(AC70&gt;=1.5*MEDIAN($AC$6:$AC$105),"Top",IF(AC70&lt;=0.5*MEDIAN($AC$6:$AC$105),"Low","Average"))))</f>
        <v/>
      </c>
      <c r="AN70" s="69" t="n"/>
      <c r="AO70" s="69" t="inlineStr">
        <is>
          <t>ted2</t>
        </is>
      </c>
      <c r="AP70" s="74" t="n"/>
      <c r="AQ70" s="74" t="n"/>
      <c r="AR70" s="74" t="n"/>
      <c r="AS70" s="74" t="n"/>
      <c r="AT70" s="74" t="n"/>
      <c r="AU70" s="74" t="n"/>
      <c r="AV70" s="64" t="inlineStr">
        <is>
          <t>Study reveal</t>
        </is>
      </c>
    </row>
    <row r="71" ht="60" customHeight="1" s="62">
      <c r="A71" s="68" t="n">
        <v>66</v>
      </c>
      <c r="B71" s="68" t="inlineStr">
        <is>
          <t>Social psychology</t>
        </is>
      </c>
      <c r="C71" s="68" t="inlineStr">
        <is>
          <t>Social loafing</t>
        </is>
      </c>
      <c r="D71" s="68" t="inlineStr">
        <is>
          <t>Who does the work when nobody's contribution is visible?</t>
        </is>
      </c>
      <c r="E71" s="68" t="inlineStr">
        <is>
          <t>Compare anonymous group effort with clear individual roles.</t>
        </is>
      </c>
      <c r="F71" s="68" t="inlineStr">
        <is>
          <t>Group project checklist</t>
        </is>
      </c>
      <c r="G71" s="68" t="n">
        <v>45</v>
      </c>
      <c r="H71" s="68" t="inlineStr">
        <is>
          <t>Vetoed</t>
        </is>
      </c>
      <c r="I71" s="69" t="n">
        <v>48</v>
      </c>
      <c r="J71" s="69" t="inlineStr">
        <is>
          <t>Strong</t>
        </is>
      </c>
      <c r="K71" s="69" t="inlineStr">
        <is>
          <t>social-loafing</t>
        </is>
      </c>
      <c r="L71" s="70" t="n"/>
      <c r="M71" s="68">
        <f>IF(L71="","",TEXT(L71,"ddd"))</f>
        <v/>
      </c>
      <c r="N71" s="69" t="inlineStr">
        <is>
          <t>question</t>
        </is>
      </c>
      <c r="O71" s="69" t="n"/>
      <c r="P71" s="69" t="n"/>
      <c r="Q71" s="69" t="inlineStr">
        <is>
          <t>Latané, B., Williams, K. &amp; Harkins, S. (1979). Many hands make light the work. JPSP 37(6):822-832 (Exp 1 clapping/shouting: per-person output 71% in pairs, 51% in 4s, 40% in 6s; Exp 2 blindfolded + headphones pseudogroups: 82% / 74% when only believing others shouted)</t>
        </is>
      </c>
      <c r="R71" s="69" t="n"/>
      <c r="S71" s="71" t="n"/>
      <c r="T71" s="69" t="n"/>
      <c r="U71" s="72">
        <f>IF(OR(T71="",N(O71)=0),"",T71/O71)</f>
        <v/>
      </c>
      <c r="V71" s="69" t="n"/>
      <c r="W71" s="69" t="n"/>
      <c r="X71" s="69" t="n"/>
      <c r="Y71" s="71" t="n"/>
      <c r="Z71" s="69" t="n"/>
      <c r="AA71" s="71" t="n"/>
      <c r="AB71" s="69" t="n"/>
      <c r="AC71" s="73">
        <f>IF(COUNT(S71,Y71,AA71)=0,"",SUM(S71,Y71,AA71))</f>
        <v/>
      </c>
      <c r="AD71" s="72">
        <f>IF(N(AC71)=0,"",SUM(V71,W71,X71,Z71,AB71)/AC71)</f>
        <v/>
      </c>
      <c r="AE71" s="71" t="n"/>
      <c r="AF71" s="71" t="n"/>
      <c r="AG71" s="71" t="n"/>
      <c r="AH71" s="73">
        <f>IF(COUNT(AE71,AF71,AG71)=0,"",SUM(AE71,AF71,AG71))</f>
        <v/>
      </c>
      <c r="AI71" s="71" t="n"/>
      <c r="AJ71" s="71" t="n"/>
      <c r="AK71" s="71" t="n"/>
      <c r="AL71" s="73">
        <f>IF(COUNT(AI71,AJ71,AK71)=0,"",SUM(AI71,AJ71,AK71))</f>
        <v/>
      </c>
      <c r="AM71" s="68">
        <f>IF(N(AC71)=0,"",IF(COUNT($AC$6:$AC$105)&lt;5,"Too early",IF(AC71&gt;=1.5*MEDIAN($AC$6:$AC$105),"Top",IF(AC71&lt;=0.5*MEDIAN($AC$6:$AC$105),"Low","Average"))))</f>
        <v/>
      </c>
      <c r="AN71" s="69" t="inlineStr">
        <is>
          <t>Story Short (2026-10-17). Held from posting until 2026-11-01. | 2026-10-22: replaced by the pattern test (Shivam)</t>
        </is>
      </c>
      <c r="AO71" s="69" t="inlineStr">
        <is>
          <t>blueprint</t>
        </is>
      </c>
      <c r="AP71" s="74" t="inlineStr">
        <is>
          <t>story</t>
        </is>
      </c>
      <c r="AQ71" s="74" t="inlineStr">
        <is>
          <t>Warm risograph print: grainy blue and fluorescent pink overprint, slightly misregistered; a tug-of-war rope and bouncy little figures.</t>
        </is>
      </c>
      <c r="AR71" s="74" t="inlineStr">
        <is>
          <t>1. Hook: group project - who actually did the work? 2. Tug of war: one person pulls hard alone; as more join, each pulls less. 3. The study (Latane, Williams &amp; Harkins, 1979): blindfolded people shouting and clapping alone or in groups. 4. The stat: noise per person drops as the group grows. 5. Why: effort hides in a crowd. 6. Takeaway: make each person's part visible.</t>
        </is>
      </c>
      <c r="AS71" s="74" t="inlineStr">
        <is>
          <t>Riso blue #0078BF, fluorescent pink #FF48B0, paper #F4EEE2; Rubik headlines and captions</t>
        </is>
      </c>
      <c r="AT71" s="74" t="inlineStr">
        <is>
          <t>A crowd of small figures; the One More protagonist as the one who notices</t>
        </is>
      </c>
      <c r="AU71" s="74" t="inlineStr">
        <is>
          <t>A whoosh per person who joins, airy fades as effort drops, three wooden taps at the end</t>
        </is>
      </c>
      <c r="AV71" s="64" t="inlineStr">
        <is>
          <t>Study reveal</t>
        </is>
      </c>
    </row>
    <row r="72" ht="60" customHeight="1" s="62">
      <c r="A72" s="68" t="n">
        <v>67</v>
      </c>
      <c r="B72" s="68" t="inlineStr">
        <is>
          <t>Social psychology</t>
        </is>
      </c>
      <c r="C72" s="68" t="inlineStr">
        <is>
          <t>In-group favoritism</t>
        </is>
      </c>
      <c r="D72" s="68" t="inlineStr">
        <is>
          <t>Can a random team label change your judgment?</t>
        </is>
      </c>
      <c r="E72" s="68" t="inlineStr">
        <is>
          <t>Use arbitrary team colors to explore group preference.</t>
        </is>
      </c>
      <c r="F72" s="68" t="inlineStr">
        <is>
          <t>Red and green team badges</t>
        </is>
      </c>
      <c r="G72" s="68" t="n">
        <v>45</v>
      </c>
      <c r="H72" s="68" t="inlineStr">
        <is>
          <t>Vetoed</t>
        </is>
      </c>
      <c r="I72" s="69" t="n">
        <v>54</v>
      </c>
      <c r="J72" s="69" t="inlineStr">
        <is>
          <t>Strong</t>
        </is>
      </c>
      <c r="K72" s="69" t="n"/>
      <c r="L72" s="70" t="n"/>
      <c r="M72" s="68">
        <f>IF(L72="","",TEXT(L72,"ddd"))</f>
        <v/>
      </c>
      <c r="N72" s="69" t="n"/>
      <c r="O72" s="69" t="n"/>
      <c r="P72" s="69" t="n"/>
      <c r="Q72" s="69" t="n"/>
      <c r="R72" s="69" t="n"/>
      <c r="S72" s="71" t="n"/>
      <c r="T72" s="69" t="n"/>
      <c r="U72" s="72">
        <f>IF(OR(T72="",N(O72)=0),"",T72/O72)</f>
        <v/>
      </c>
      <c r="V72" s="69" t="n"/>
      <c r="W72" s="69" t="n"/>
      <c r="X72" s="69" t="n"/>
      <c r="Y72" s="71" t="n"/>
      <c r="Z72" s="69" t="n"/>
      <c r="AA72" s="71" t="n"/>
      <c r="AB72" s="69" t="n"/>
      <c r="AC72" s="73">
        <f>IF(COUNT(S72,Y72,AA72)=0,"",SUM(S72,Y72,AA72))</f>
        <v/>
      </c>
      <c r="AD72" s="72">
        <f>IF(N(AC72)=0,"",SUM(V72,W72,X72,Z72,AB72)/AC72)</f>
        <v/>
      </c>
      <c r="AE72" s="71" t="n"/>
      <c r="AF72" s="71" t="n"/>
      <c r="AG72" s="71" t="n"/>
      <c r="AH72" s="73">
        <f>IF(COUNT(AE72,AF72,AG72)=0,"",SUM(AE72,AF72,AG72))</f>
        <v/>
      </c>
      <c r="AI72" s="71" t="n"/>
      <c r="AJ72" s="71" t="n"/>
      <c r="AK72" s="71" t="n"/>
      <c r="AL72" s="73">
        <f>IF(COUNT(AI72,AJ72,AK72)=0,"",SUM(AI72,AJ72,AK72))</f>
        <v/>
      </c>
      <c r="AM72" s="68">
        <f>IF(N(AC72)=0,"",IF(COUNT($AC$6:$AC$105)&lt;5,"Too early",IF(AC72&gt;=1.5*MEDIAN($AC$6:$AC$105),"Top",IF(AC72&lt;=0.5*MEDIAN($AC$6:$AC$105),"Low","Average"))))</f>
        <v/>
      </c>
      <c r="AN72" s="69" t="inlineStr">
        <is>
          <t>2026-10-22: replaced by the pattern test (Shivam)</t>
        </is>
      </c>
      <c r="AO72" s="69" t="inlineStr">
        <is>
          <t>game-show</t>
        </is>
      </c>
      <c r="AP72" s="74" t="n"/>
      <c r="AQ72" s="74" t="n"/>
      <c r="AR72" s="74" t="n"/>
      <c r="AS72" s="74" t="n"/>
      <c r="AT72" s="74" t="n"/>
      <c r="AU72" s="74" t="n"/>
      <c r="AV72" s="64" t="inlineStr">
        <is>
          <t>Study reveal</t>
        </is>
      </c>
    </row>
    <row r="73" ht="60" customHeight="1" s="62">
      <c r="A73" s="68" t="n">
        <v>68</v>
      </c>
      <c r="B73" s="68" t="inlineStr">
        <is>
          <t>Social psychology</t>
        </is>
      </c>
      <c r="C73" s="68" t="inlineStr">
        <is>
          <t>Pluralistic ignorance</t>
        </is>
      </c>
      <c r="D73" s="68" t="inlineStr">
        <is>
          <t>What if everyone is confused but nobody asks?</t>
        </is>
      </c>
      <c r="E73" s="68" t="inlineStr">
        <is>
          <t>Show a class mistaking others' silence for understanding.</t>
        </is>
      </c>
      <c r="F73" s="68" t="inlineStr">
        <is>
          <t>Silent classroom thought bubbles</t>
        </is>
      </c>
      <c r="G73" s="68" t="n">
        <v>45</v>
      </c>
      <c r="H73" s="68" t="inlineStr">
        <is>
          <t>Vetoed</t>
        </is>
      </c>
      <c r="I73" s="69" t="n">
        <v>60</v>
      </c>
      <c r="J73" s="69" t="inlineStr">
        <is>
          <t>Strong</t>
        </is>
      </c>
      <c r="K73" s="69" t="n"/>
      <c r="L73" s="70" t="n"/>
      <c r="M73" s="68">
        <f>IF(L73="","",TEXT(L73,"ddd"))</f>
        <v/>
      </c>
      <c r="N73" s="69" t="n"/>
      <c r="O73" s="69" t="n"/>
      <c r="P73" s="69" t="n"/>
      <c r="Q73" s="69" t="n"/>
      <c r="R73" s="69" t="n"/>
      <c r="S73" s="71" t="n"/>
      <c r="T73" s="69" t="n"/>
      <c r="U73" s="72">
        <f>IF(OR(T73="",N(O73)=0),"",T73/O73)</f>
        <v/>
      </c>
      <c r="V73" s="69" t="n"/>
      <c r="W73" s="69" t="n"/>
      <c r="X73" s="69" t="n"/>
      <c r="Y73" s="71" t="n"/>
      <c r="Z73" s="69" t="n"/>
      <c r="AA73" s="71" t="n"/>
      <c r="AB73" s="69" t="n"/>
      <c r="AC73" s="73">
        <f>IF(COUNT(S73,Y73,AA73)=0,"",SUM(S73,Y73,AA73))</f>
        <v/>
      </c>
      <c r="AD73" s="72">
        <f>IF(N(AC73)=0,"",SUM(V73,W73,X73,Z73,AB73)/AC73)</f>
        <v/>
      </c>
      <c r="AE73" s="71" t="n"/>
      <c r="AF73" s="71" t="n"/>
      <c r="AG73" s="71" t="n"/>
      <c r="AH73" s="73">
        <f>IF(COUNT(AE73,AF73,AG73)=0,"",SUM(AE73,AF73,AG73))</f>
        <v/>
      </c>
      <c r="AI73" s="71" t="n"/>
      <c r="AJ73" s="71" t="n"/>
      <c r="AK73" s="71" t="n"/>
      <c r="AL73" s="73">
        <f>IF(COUNT(AI73,AJ73,AK73)=0,"",SUM(AI73,AJ73,AK73))</f>
        <v/>
      </c>
      <c r="AM73" s="68">
        <f>IF(N(AC73)=0,"",IF(COUNT($AC$6:$AC$105)&lt;5,"Too early",IF(AC73&gt;=1.5*MEDIAN($AC$6:$AC$105),"Top",IF(AC73&lt;=0.5*MEDIAN($AC$6:$AC$105),"Low","Average"))))</f>
        <v/>
      </c>
      <c r="AN73" s="69" t="inlineStr">
        <is>
          <t>2026-10-22: replaced by the pattern test (Shivam)</t>
        </is>
      </c>
      <c r="AO73" s="69" t="inlineStr">
        <is>
          <t>spy-noir</t>
        </is>
      </c>
      <c r="AP73" s="74" t="n"/>
      <c r="AQ73" s="74" t="n"/>
      <c r="AR73" s="74" t="n"/>
      <c r="AS73" s="74" t="n"/>
      <c r="AT73" s="74" t="n"/>
      <c r="AU73" s="74" t="n"/>
      <c r="AV73" s="64" t="inlineStr">
        <is>
          <t>You-callout</t>
        </is>
      </c>
    </row>
    <row r="74" ht="60" customHeight="1" s="62">
      <c r="A74" s="68" t="n">
        <v>69</v>
      </c>
      <c r="B74" s="68" t="inlineStr">
        <is>
          <t>Social psychology</t>
        </is>
      </c>
      <c r="C74" s="68" t="inlineStr">
        <is>
          <t>Social facilitation</t>
        </is>
      </c>
      <c r="D74" s="68" t="inlineStr">
        <is>
          <t>Does an audience change how you perform?</t>
        </is>
      </c>
      <c r="E74" s="68" t="inlineStr">
        <is>
          <t>Compare a familiar task with a difficult new task under observation.</t>
        </is>
      </c>
      <c r="F74" s="68" t="inlineStr">
        <is>
          <t>Juggling demo illustration</t>
        </is>
      </c>
      <c r="G74" s="68" t="n">
        <v>45</v>
      </c>
      <c r="H74" s="68" t="inlineStr">
        <is>
          <t>Vetoed</t>
        </is>
      </c>
      <c r="I74" s="69" t="n">
        <v>66</v>
      </c>
      <c r="J74" s="69" t="inlineStr">
        <is>
          <t>Strong</t>
        </is>
      </c>
      <c r="K74" s="69" t="n"/>
      <c r="L74" s="70" t="n"/>
      <c r="M74" s="68">
        <f>IF(L74="","",TEXT(L74,"ddd"))</f>
        <v/>
      </c>
      <c r="N74" s="69" t="n"/>
      <c r="O74" s="69" t="n"/>
      <c r="P74" s="69" t="n"/>
      <c r="Q74" s="69" t="n"/>
      <c r="R74" s="69" t="n"/>
      <c r="S74" s="71" t="n"/>
      <c r="T74" s="69" t="n"/>
      <c r="U74" s="72">
        <f>IF(OR(T74="",N(O74)=0),"",T74/O74)</f>
        <v/>
      </c>
      <c r="V74" s="69" t="n"/>
      <c r="W74" s="69" t="n"/>
      <c r="X74" s="69" t="n"/>
      <c r="Y74" s="71" t="n"/>
      <c r="Z74" s="69" t="n"/>
      <c r="AA74" s="71" t="n"/>
      <c r="AB74" s="69" t="n"/>
      <c r="AC74" s="73">
        <f>IF(COUNT(S74,Y74,AA74)=0,"",SUM(S74,Y74,AA74))</f>
        <v/>
      </c>
      <c r="AD74" s="72">
        <f>IF(N(AC74)=0,"",SUM(V74,W74,X74,Z74,AB74)/AC74)</f>
        <v/>
      </c>
      <c r="AE74" s="71" t="n"/>
      <c r="AF74" s="71" t="n"/>
      <c r="AG74" s="71" t="n"/>
      <c r="AH74" s="73">
        <f>IF(COUNT(AE74,AF74,AG74)=0,"",SUM(AE74,AF74,AG74))</f>
        <v/>
      </c>
      <c r="AI74" s="71" t="n"/>
      <c r="AJ74" s="71" t="n"/>
      <c r="AK74" s="71" t="n"/>
      <c r="AL74" s="73">
        <f>IF(COUNT(AI74,AJ74,AK74)=0,"",SUM(AI74,AJ74,AK74))</f>
        <v/>
      </c>
      <c r="AM74" s="68">
        <f>IF(N(AC74)=0,"",IF(COUNT($AC$6:$AC$105)&lt;5,"Too early",IF(AC74&gt;=1.5*MEDIAN($AC$6:$AC$105),"Top",IF(AC74&lt;=0.5*MEDIAN($AC$6:$AC$105),"Low","Average"))))</f>
        <v/>
      </c>
      <c r="AN74" s="69" t="inlineStr">
        <is>
          <t>2026-10-22: replaced by the pattern test (Shivam)</t>
        </is>
      </c>
      <c r="AO74" s="69" t="inlineStr">
        <is>
          <t>pixel-quest</t>
        </is>
      </c>
      <c r="AP74" s="74" t="n"/>
      <c r="AQ74" s="74" t="n"/>
      <c r="AR74" s="74" t="n"/>
      <c r="AS74" s="74" t="n"/>
      <c r="AT74" s="74" t="n"/>
      <c r="AU74" s="74" t="n"/>
      <c r="AV74" s="64" t="inlineStr">
        <is>
          <t>Study reveal</t>
        </is>
      </c>
    </row>
    <row r="75" ht="60" customHeight="1" s="62">
      <c r="A75" s="68" t="n">
        <v>70</v>
      </c>
      <c r="B75" s="68" t="inlineStr">
        <is>
          <t>Social psychology</t>
        </is>
      </c>
      <c r="C75" s="68" t="inlineStr">
        <is>
          <t>Group polarization</t>
        </is>
      </c>
      <c r="D75" s="68" t="inlineStr">
        <is>
          <t>Can a discussion push a group toward a stronger view?</t>
        </is>
      </c>
      <c r="E75" s="68" t="inlineStr">
        <is>
          <t>Show initially similar opinions becoming more extreme in discussion.</t>
        </is>
      </c>
      <c r="F75" s="68" t="inlineStr">
        <is>
          <t>Opinion scale animation</t>
        </is>
      </c>
      <c r="G75" s="68" t="n">
        <v>45</v>
      </c>
      <c r="H75" s="68" t="inlineStr">
        <is>
          <t>Vetoed</t>
        </is>
      </c>
      <c r="I75" s="69" t="n">
        <v>71</v>
      </c>
      <c r="J75" s="69" t="inlineStr">
        <is>
          <t>Strong</t>
        </is>
      </c>
      <c r="K75" s="69" t="n"/>
      <c r="L75" s="70" t="n"/>
      <c r="M75" s="68">
        <f>IF(L75="","",TEXT(L75,"ddd"))</f>
        <v/>
      </c>
      <c r="N75" s="69" t="n"/>
      <c r="O75" s="69" t="n"/>
      <c r="P75" s="69" t="n"/>
      <c r="Q75" s="69" t="n"/>
      <c r="R75" s="69" t="n"/>
      <c r="S75" s="71" t="n"/>
      <c r="T75" s="69" t="n"/>
      <c r="U75" s="72">
        <f>IF(OR(T75="",N(O75)=0),"",T75/O75)</f>
        <v/>
      </c>
      <c r="V75" s="69" t="n"/>
      <c r="W75" s="69" t="n"/>
      <c r="X75" s="69" t="n"/>
      <c r="Y75" s="71" t="n"/>
      <c r="Z75" s="69" t="n"/>
      <c r="AA75" s="71" t="n"/>
      <c r="AB75" s="69" t="n"/>
      <c r="AC75" s="73">
        <f>IF(COUNT(S75,Y75,AA75)=0,"",SUM(S75,Y75,AA75))</f>
        <v/>
      </c>
      <c r="AD75" s="72">
        <f>IF(N(AC75)=0,"",SUM(V75,W75,X75,Z75,AB75)/AC75)</f>
        <v/>
      </c>
      <c r="AE75" s="71" t="n"/>
      <c r="AF75" s="71" t="n"/>
      <c r="AG75" s="71" t="n"/>
      <c r="AH75" s="73">
        <f>IF(COUNT(AE75,AF75,AG75)=0,"",SUM(AE75,AF75,AG75))</f>
        <v/>
      </c>
      <c r="AI75" s="71" t="n"/>
      <c r="AJ75" s="71" t="n"/>
      <c r="AK75" s="71" t="n"/>
      <c r="AL75" s="73">
        <f>IF(COUNT(AI75,AJ75,AK75)=0,"",SUM(AI75,AJ75,AK75))</f>
        <v/>
      </c>
      <c r="AM75" s="68">
        <f>IF(N(AC75)=0,"",IF(COUNT($AC$6:$AC$105)&lt;5,"Too early",IF(AC75&gt;=1.5*MEDIAN($AC$6:$AC$105),"Top",IF(AC75&lt;=0.5*MEDIAN($AC$6:$AC$105),"Low","Average"))))</f>
        <v/>
      </c>
      <c r="AN75" s="69" t="inlineStr">
        <is>
          <t>2026-10-22: replaced by the pattern test (Shivam)</t>
        </is>
      </c>
      <c r="AO75" s="69" t="inlineStr">
        <is>
          <t>data-story</t>
        </is>
      </c>
      <c r="AP75" s="74" t="n"/>
      <c r="AQ75" s="74" t="n"/>
      <c r="AR75" s="74" t="n"/>
      <c r="AS75" s="74" t="n"/>
      <c r="AT75" s="74" t="n"/>
      <c r="AU75" s="74" t="n"/>
      <c r="AV75" s="64" t="inlineStr">
        <is>
          <t>Study reveal</t>
        </is>
      </c>
    </row>
    <row r="76" ht="60" customHeight="1" s="62">
      <c r="A76" s="68" t="n">
        <v>71</v>
      </c>
      <c r="B76" s="68" t="inlineStr">
        <is>
          <t>Self-image and confidence</t>
        </is>
      </c>
      <c r="C76" s="68" t="inlineStr">
        <is>
          <t>Social comparison</t>
        </is>
      </c>
      <c r="D76" s="68" t="inlineStr">
        <is>
          <t>Who are you using as your measuring stick?</t>
        </is>
      </c>
      <c r="E76" s="68" t="inlineStr">
        <is>
          <t>Compare upward and downward comparisons in one everyday scenario.</t>
        </is>
      </c>
      <c r="F76" s="68" t="inlineStr">
        <is>
          <t>Two comparison ladders</t>
        </is>
      </c>
      <c r="G76" s="68" t="n">
        <v>45</v>
      </c>
      <c r="H76" s="68" t="inlineStr">
        <is>
          <t>Published</t>
        </is>
      </c>
      <c r="I76" s="69" t="n">
        <v>8</v>
      </c>
      <c r="J76" s="69" t="inlineStr">
        <is>
          <t>Strong</t>
        </is>
      </c>
      <c r="K76" s="69" t="inlineStr">
        <is>
          <t>social-comparison</t>
        </is>
      </c>
      <c r="L76" s="70" t="n">
        <v>46309</v>
      </c>
      <c r="M76" s="68">
        <f>IF(L76="","",TEXT(L76,"ddd"))</f>
        <v/>
      </c>
      <c r="N76" s="69" t="inlineStr">
        <is>
          <t>eyes</t>
        </is>
      </c>
      <c r="O76" s="69" t="n">
        <v>30</v>
      </c>
      <c r="P76" s="69" t="inlineStr">
        <is>
          <t>Why You Feel Worse Next to Certain People #shorts</t>
        </is>
      </c>
      <c r="Q76" s="69" t="inlineStr">
        <is>
          <t>Morse &amp; Gergen 1970, JPSP 16(1):148-156 ('Mr. Clean/Mr. Dirty'); self-esteem lower with competent rival, higher with sloppy (Stangor, Principles of Social Psychology 4.3)</t>
        </is>
      </c>
      <c r="R76" s="69" t="inlineStr">
        <is>
          <t>buffer:youtube=6acff96a38b78c67c8fec2aa;instagram=6acff96b68bd56434b7c651d;tiktok=6acff96b90e61174bee1ea47</t>
        </is>
      </c>
      <c r="S76" s="71" t="n"/>
      <c r="T76" s="69" t="n"/>
      <c r="U76" s="72">
        <f>IF(OR(T76="",N(O76)=0),"",T76/O76)</f>
        <v/>
      </c>
      <c r="V76" s="69" t="n"/>
      <c r="W76" s="69" t="n"/>
      <c r="X76" s="69" t="n"/>
      <c r="Y76" s="71" t="n"/>
      <c r="Z76" s="69" t="n"/>
      <c r="AA76" s="71" t="n"/>
      <c r="AB76" s="69" t="n"/>
      <c r="AC76" s="73">
        <f>IF(COUNT(S76,Y76,AA76)=0,"",SUM(S76,Y76,AA76))</f>
        <v/>
      </c>
      <c r="AD76" s="72">
        <f>IF(N(AC76)=0,"",SUM(V76,W76,X76,Z76,AB76)/AC76)</f>
        <v/>
      </c>
      <c r="AE76" s="71" t="n"/>
      <c r="AF76" s="71" t="n"/>
      <c r="AG76" s="71" t="n"/>
      <c r="AH76" s="73">
        <f>IF(COUNT(AE76,AF76,AG76)=0,"",SUM(AE76,AF76,AG76))</f>
        <v/>
      </c>
      <c r="AI76" s="71" t="n"/>
      <c r="AJ76" s="71" t="n"/>
      <c r="AK76" s="71" t="n"/>
      <c r="AL76" s="73">
        <f>IF(COUNT(AI76,AJ76,AK76)=0,"",SUM(AI76,AJ76,AK76))</f>
        <v/>
      </c>
      <c r="AM76" s="68">
        <f>IF(N(AC76)=0,"",IF(COUNT($AC$6:$AC$105)&lt;5,"Too early",IF(AC76&gt;=1.5*MEDIAN($AC$6:$AC$105),"Top",IF(AC76&lt;=0.5*MEDIAN($AC$6:$AC$105),"Low","Average"))))</f>
        <v/>
      </c>
      <c r="AN76" s="69" t="n"/>
      <c r="AO76" s="69" t="inlineStr">
        <is>
          <t>data-story</t>
        </is>
      </c>
      <c r="AP76" s="74" t="n"/>
      <c r="AQ76" s="74" t="n"/>
      <c r="AR76" s="74" t="n"/>
      <c r="AS76" s="74" t="n"/>
      <c r="AT76" s="74" t="n"/>
      <c r="AU76" s="74" t="n"/>
      <c r="AV76" s="64" t="inlineStr">
        <is>
          <t>Study reveal</t>
        </is>
      </c>
    </row>
    <row r="77" ht="60" customHeight="1" s="62">
      <c r="A77" s="68" t="n">
        <v>72</v>
      </c>
      <c r="B77" s="68" t="inlineStr">
        <is>
          <t>Self-image and confidence</t>
        </is>
      </c>
      <c r="C77" s="68" t="inlineStr">
        <is>
          <t>The better-than-average effect</t>
        </is>
      </c>
      <c r="D77" s="68" t="inlineStr">
        <is>
          <t>Can almost everyone be above average?</t>
        </is>
      </c>
      <c r="E77" s="68" t="inlineStr">
        <is>
          <t>Invite a skill rating and explain the statistical tension.</t>
        </is>
      </c>
      <c r="F77" s="68" t="inlineStr">
        <is>
          <t>Distribution sketch</t>
        </is>
      </c>
      <c r="G77" s="68" t="n">
        <v>45</v>
      </c>
      <c r="H77" s="68" t="inlineStr">
        <is>
          <t>Published</t>
        </is>
      </c>
      <c r="I77" s="69" t="n">
        <v>18</v>
      </c>
      <c r="J77" s="69" t="inlineStr">
        <is>
          <t>Strong</t>
        </is>
      </c>
      <c r="K77" s="69" t="inlineStr">
        <is>
          <t>better-than-average</t>
        </is>
      </c>
      <c r="L77" s="70" t="n">
        <v>46311</v>
      </c>
      <c r="M77" s="68">
        <f>IF(L77="","",TEXT(L77,"ddd"))</f>
        <v/>
      </c>
      <c r="N77" s="69" t="n"/>
      <c r="O77" s="69" t="n">
        <v>31</v>
      </c>
      <c r="P77" s="69" t="inlineStr">
        <is>
          <t>93% Rated Their Driving Above Average. You? #shorts</t>
        </is>
      </c>
      <c r="Q77" s="69" t="inlineStr">
        <is>
          <t>Svenson 1981, Acta Psychologica 47(2):143-148; 93% US / 69% Swedish students rated driving skill above median</t>
        </is>
      </c>
      <c r="R77" s="69" t="inlineStr">
        <is>
          <t>buffer:youtube=6ad131084fd04e4eb3ab0f47;tiktok=6ad13108b4510d553d75e196;instagram=6ada6fa180b62e657504c588</t>
        </is>
      </c>
      <c r="S77" s="71" t="n"/>
      <c r="T77" s="69" t="n"/>
      <c r="U77" s="72">
        <f>IF(OR(T77="",N(O77)=0),"",T77/O77)</f>
        <v/>
      </c>
      <c r="V77" s="69" t="n"/>
      <c r="W77" s="69" t="n"/>
      <c r="X77" s="69" t="n"/>
      <c r="Y77" s="71" t="n"/>
      <c r="Z77" s="69" t="n"/>
      <c r="AA77" s="71" t="n"/>
      <c r="AB77" s="69" t="n"/>
      <c r="AC77" s="73">
        <f>IF(COUNT(S77,Y77,AA77)=0,"",SUM(S77,Y77,AA77))</f>
        <v/>
      </c>
      <c r="AD77" s="72">
        <f>IF(N(AC77)=0,"",SUM(V77,W77,X77,Z77,AB77)/AC77)</f>
        <v/>
      </c>
      <c r="AE77" s="71" t="n"/>
      <c r="AF77" s="71" t="n"/>
      <c r="AG77" s="71" t="n"/>
      <c r="AH77" s="73">
        <f>IF(COUNT(AE77,AF77,AG77)=0,"",SUM(AE77,AF77,AG77))</f>
        <v/>
      </c>
      <c r="AI77" s="71" t="n"/>
      <c r="AJ77" s="71" t="n"/>
      <c r="AK77" s="71" t="n"/>
      <c r="AL77" s="73">
        <f>IF(COUNT(AI77,AJ77,AK77)=0,"",SUM(AI77,AJ77,AK77))</f>
        <v/>
      </c>
      <c r="AM77" s="68">
        <f>IF(N(AC77)=0,"",IF(COUNT($AC$6:$AC$105)&lt;5,"Too early",IF(AC77&gt;=1.5*MEDIAN($AC$6:$AC$105),"Top",IF(AC77&lt;=0.5*MEDIAN($AC$6:$AC$105),"Low","Average"))))</f>
        <v/>
      </c>
      <c r="AN77" s="69" t="n"/>
      <c r="AO77" s="69" t="inlineStr">
        <is>
          <t>ted2</t>
        </is>
      </c>
      <c r="AP77" s="74" t="n"/>
      <c r="AQ77" s="74" t="n"/>
      <c r="AR77" s="74" t="n"/>
      <c r="AS77" s="74" t="n"/>
      <c r="AT77" s="74" t="n"/>
      <c r="AU77" s="74" t="n"/>
      <c r="AV77" s="64" t="inlineStr">
        <is>
          <t>Study reveal</t>
        </is>
      </c>
    </row>
    <row r="78" ht="60" customHeight="1" s="62">
      <c r="A78" s="68" t="n">
        <v>73</v>
      </c>
      <c r="B78" s="68" t="inlineStr">
        <is>
          <t>Self-image and confidence</t>
        </is>
      </c>
      <c r="C78" s="68" t="inlineStr">
        <is>
          <t>Impostor feelings</t>
        </is>
      </c>
      <c r="D78" s="68" t="inlineStr">
        <is>
          <t>Why can success still feel undeserved?</t>
        </is>
      </c>
      <c r="E78" s="68" t="inlineStr">
        <is>
          <t>Explore self-doubt without presenting it as a diagnosis.</t>
        </is>
      </c>
      <c r="F78" s="68" t="inlineStr">
        <is>
          <t>Award and doubtful thought bubble</t>
        </is>
      </c>
      <c r="G78" s="68" t="n">
        <v>45</v>
      </c>
      <c r="H78" s="68" t="inlineStr">
        <is>
          <t>Published</t>
        </is>
      </c>
      <c r="I78" s="69" t="n">
        <v>27</v>
      </c>
      <c r="J78" s="69" t="inlineStr">
        <is>
          <t>Strong</t>
        </is>
      </c>
      <c r="K78" s="69" t="inlineStr">
        <is>
          <t>impostor-feelings</t>
        </is>
      </c>
      <c r="L78" s="70" t="n">
        <v>46313</v>
      </c>
      <c r="M78" s="68">
        <f>IF(L78="","",TEXT(L78,"ddd"))</f>
        <v/>
      </c>
      <c r="N78" s="69" t="n"/>
      <c r="O78" s="69" t="n">
        <v>44</v>
      </c>
      <c r="P78" s="69" t="inlineStr">
        <is>
          <t>Why Success Can Still Feel Like You're Faking It #shorts</t>
        </is>
      </c>
      <c r="Q78" s="69" t="inlineStr">
        <is>
          <t>Clance &amp; Imes 1978, Psychotherapy 15(3):241-247 (150+ high-achieving women); Bravata et al. 2020 JGIM review, 62 studies, 9-82%</t>
        </is>
      </c>
      <c r="R78" s="69" t="inlineStr">
        <is>
          <t>buffer:youtube=6ad3c116938409f1d09b2eb1;tiktok=6ad3c117ae173d6e00cc5da0</t>
        </is>
      </c>
      <c r="S78" s="71" t="n"/>
      <c r="T78" s="69" t="n"/>
      <c r="U78" s="72">
        <f>IF(OR(T78="",N(O78)=0),"",T78/O78)</f>
        <v/>
      </c>
      <c r="V78" s="69" t="n"/>
      <c r="W78" s="69" t="n"/>
      <c r="X78" s="69" t="n"/>
      <c r="Y78" s="71" t="n"/>
      <c r="Z78" s="69" t="n"/>
      <c r="AA78" s="71" t="n"/>
      <c r="AB78" s="69" t="n"/>
      <c r="AC78" s="73">
        <f>IF(COUNT(S78,Y78,AA78)=0,"",SUM(S78,Y78,AA78))</f>
        <v/>
      </c>
      <c r="AD78" s="72">
        <f>IF(N(AC78)=0,"",SUM(V78,W78,X78,Z78,AB78)/AC78)</f>
        <v/>
      </c>
      <c r="AE78" s="71" t="n"/>
      <c r="AF78" s="71" t="n"/>
      <c r="AG78" s="71" t="n"/>
      <c r="AH78" s="73">
        <f>IF(COUNT(AE78,AF78,AG78)=0,"",SUM(AE78,AF78,AG78))</f>
        <v/>
      </c>
      <c r="AI78" s="71" t="n"/>
      <c r="AJ78" s="71" t="n"/>
      <c r="AK78" s="71" t="n"/>
      <c r="AL78" s="73">
        <f>IF(COUNT(AI78,AJ78,AK78)=0,"",SUM(AI78,AJ78,AK78))</f>
        <v/>
      </c>
      <c r="AM78" s="68">
        <f>IF(N(AC78)=0,"",IF(COUNT($AC$6:$AC$105)&lt;5,"Too early",IF(AC78&gt;=1.5*MEDIAN($AC$6:$AC$105),"Top",IF(AC78&lt;=0.5*MEDIAN($AC$6:$AC$105),"Low","Average"))))</f>
        <v/>
      </c>
      <c r="AN78" s="69" t="n"/>
      <c r="AO78" s="69" t="inlineStr">
        <is>
          <t>ted2</t>
        </is>
      </c>
      <c r="AP78" s="74" t="n"/>
      <c r="AQ78" s="74" t="n"/>
      <c r="AR78" s="74" t="n"/>
      <c r="AS78" s="74" t="n"/>
      <c r="AT78" s="74" t="n"/>
      <c r="AU78" s="74" t="n"/>
      <c r="AV78" s="64" t="inlineStr">
        <is>
          <t>You-callout</t>
        </is>
      </c>
    </row>
    <row r="79" ht="60" customHeight="1" s="62">
      <c r="A79" s="68" t="n">
        <v>74</v>
      </c>
      <c r="B79" s="68" t="inlineStr">
        <is>
          <t>Self-image and confidence</t>
        </is>
      </c>
      <c r="C79" s="68" t="inlineStr">
        <is>
          <t>Perfectionism and starting</t>
        </is>
      </c>
      <c r="D79" s="68" t="inlineStr">
        <is>
          <t>What happens when the first draft must be flawless?</t>
        </is>
      </c>
      <c r="E79" s="68" t="inlineStr">
        <is>
          <t>Compare an untouched page with a rough workable draft.</t>
        </is>
      </c>
      <c r="F79" s="68" t="inlineStr">
        <is>
          <t>Blank versus messy page</t>
        </is>
      </c>
      <c r="G79" s="68" t="n">
        <v>45</v>
      </c>
      <c r="H79" s="68" t="inlineStr">
        <is>
          <t>Published</t>
        </is>
      </c>
      <c r="I79" s="69" t="n">
        <v>35</v>
      </c>
      <c r="J79" s="69" t="inlineStr">
        <is>
          <t>Strong</t>
        </is>
      </c>
      <c r="K79" s="69" t="inlineStr">
        <is>
          <t>perfectionism-start</t>
        </is>
      </c>
      <c r="L79" s="70" t="n">
        <v>46317</v>
      </c>
      <c r="M79" s="68">
        <f>IF(L79="","",TEXT(L79,"ddd"))</f>
        <v/>
      </c>
      <c r="N79" s="69" t="n"/>
      <c r="O79" s="69" t="n">
        <v>33</v>
      </c>
      <c r="P79" s="69" t="inlineStr">
        <is>
          <t>Perfectionists Aren't Bad at Finishing. They Can't Start #shorts</t>
        </is>
      </c>
      <c r="Q79" s="69" t="inlineStr">
        <is>
          <t>Sirois, Molnar &amp; Hirsch 2017, Eur J Personality (WRRO 112533): concerns r=.23 with procrastination (k=43, N≈10,000), strivings r=-.22</t>
        </is>
      </c>
      <c r="R79" s="69" t="inlineStr">
        <is>
          <t>buffer:youtube=6ad95bda282deeeeb2c111db;instagram=6ad95bdbecaa6cda041df8c0;tiktok=6ad95bdcdeacf5d253225b33</t>
        </is>
      </c>
      <c r="S79" s="71" t="n"/>
      <c r="T79" s="69" t="n"/>
      <c r="U79" s="72">
        <f>IF(OR(T79="",N(O79)=0),"",T79/O79)</f>
        <v/>
      </c>
      <c r="V79" s="69" t="n"/>
      <c r="W79" s="69" t="n"/>
      <c r="X79" s="69" t="n"/>
      <c r="Y79" s="71" t="n"/>
      <c r="Z79" s="69" t="n"/>
      <c r="AA79" s="71" t="n"/>
      <c r="AB79" s="69" t="n"/>
      <c r="AC79" s="73">
        <f>IF(COUNT(S79,Y79,AA79)=0,"",SUM(S79,Y79,AA79))</f>
        <v/>
      </c>
      <c r="AD79" s="72">
        <f>IF(N(AC79)=0,"",SUM(V79,W79,X79,Z79,AB79)/AC79)</f>
        <v/>
      </c>
      <c r="AE79" s="71" t="n"/>
      <c r="AF79" s="71" t="n"/>
      <c r="AG79" s="71" t="n"/>
      <c r="AH79" s="73">
        <f>IF(COUNT(AE79,AF79,AG79)=0,"",SUM(AE79,AF79,AG79))</f>
        <v/>
      </c>
      <c r="AI79" s="71" t="n"/>
      <c r="AJ79" s="71" t="n"/>
      <c r="AK79" s="71" t="n"/>
      <c r="AL79" s="73">
        <f>IF(COUNT(AI79,AJ79,AK79)=0,"",SUM(AI79,AJ79,AK79))</f>
        <v/>
      </c>
      <c r="AM79" s="68">
        <f>IF(N(AC79)=0,"",IF(COUNT($AC$6:$AC$105)&lt;5,"Too early",IF(AC79&gt;=1.5*MEDIAN($AC$6:$AC$105),"Top",IF(AC79&lt;=0.5*MEDIAN($AC$6:$AC$105),"Low","Average"))))</f>
        <v/>
      </c>
      <c r="AN79" s="69" t="n"/>
      <c r="AO79" s="69" t="inlineStr">
        <is>
          <t>ted2</t>
        </is>
      </c>
      <c r="AP79" s="74" t="n"/>
      <c r="AQ79" s="74" t="n"/>
      <c r="AR79" s="74" t="n"/>
      <c r="AS79" s="74" t="n"/>
      <c r="AT79" s="74" t="n"/>
      <c r="AU79" s="74" t="n"/>
      <c r="AV79" s="64" t="inlineStr">
        <is>
          <t>Contrarian</t>
        </is>
      </c>
    </row>
    <row r="80" ht="60" customHeight="1" s="62">
      <c r="A80" s="68" t="n">
        <v>75</v>
      </c>
      <c r="B80" s="68" t="inlineStr">
        <is>
          <t>Self-image and confidence</t>
        </is>
      </c>
      <c r="C80" s="68" t="inlineStr">
        <is>
          <t>Contingent self-worth</t>
        </is>
      </c>
      <c r="D80" s="68" t="inlineStr">
        <is>
          <t>What happens when one grade decides your whole value?</t>
        </is>
      </c>
      <c r="E80" s="68" t="inlineStr">
        <is>
          <t>Separate a performance result from a global self-judgment.</t>
        </is>
      </c>
      <c r="F80" s="68" t="inlineStr">
        <is>
          <t>Grade card and identity cards</t>
        </is>
      </c>
      <c r="G80" s="68" t="n">
        <v>45</v>
      </c>
      <c r="H80" s="68" t="inlineStr">
        <is>
          <t>Published</t>
        </is>
      </c>
      <c r="I80" s="69" t="n">
        <v>42</v>
      </c>
      <c r="J80" s="69" t="inlineStr">
        <is>
          <t>Strong</t>
        </is>
      </c>
      <c r="K80" s="69" t="inlineStr">
        <is>
          <t>contingent-worth</t>
        </is>
      </c>
      <c r="L80" s="70" t="n">
        <v>46318</v>
      </c>
      <c r="M80" s="68">
        <f>IF(L80="","",TEXT(L80,"ddd"))</f>
        <v/>
      </c>
      <c r="N80" s="69" t="n"/>
      <c r="O80" s="69" t="n">
        <v>29</v>
      </c>
      <c r="P80" s="69" t="inlineStr">
        <is>
          <t>When One Grade Decides Your Whole Worth #shorts</t>
        </is>
      </c>
      <c r="Q80" s="69" t="inlineStr">
        <is>
          <t>Crocker, Sommers &amp; Luhtanen 2002, PSPB 28:1275-1286 (year corrected from 2003; 'twice as hard' dropped)</t>
        </is>
      </c>
      <c r="R80" s="69" t="inlineStr">
        <is>
          <t>buffer:youtube=6adae0369ef33e7811b8d2b1;instagram=6adae036cc1b7cdc08cdb0b5;tiktok=6adae037cc1b7cdc08cdb15f</t>
        </is>
      </c>
      <c r="S80" s="71" t="n"/>
      <c r="T80" s="69" t="n"/>
      <c r="U80" s="72">
        <f>IF(OR(T80="",N(O80)=0),"",T80/O80)</f>
        <v/>
      </c>
      <c r="V80" s="69" t="n"/>
      <c r="W80" s="69" t="n"/>
      <c r="X80" s="69" t="n"/>
      <c r="Y80" s="71" t="n"/>
      <c r="Z80" s="69" t="n"/>
      <c r="AA80" s="71" t="n"/>
      <c r="AB80" s="69" t="n"/>
      <c r="AC80" s="73">
        <f>IF(COUNT(S80,Y80,AA80)=0,"",SUM(S80,Y80,AA80))</f>
        <v/>
      </c>
      <c r="AD80" s="72">
        <f>IF(N(AC80)=0,"",SUM(V80,W80,X80,Z80,AB80)/AC80)</f>
        <v/>
      </c>
      <c r="AE80" s="71" t="n"/>
      <c r="AF80" s="71" t="n"/>
      <c r="AG80" s="71" t="n"/>
      <c r="AH80" s="73">
        <f>IF(COUNT(AE80,AF80,AG80)=0,"",SUM(AE80,AF80,AG80))</f>
        <v/>
      </c>
      <c r="AI80" s="71" t="n"/>
      <c r="AJ80" s="71" t="n"/>
      <c r="AK80" s="71" t="n"/>
      <c r="AL80" s="73">
        <f>IF(COUNT(AI80,AJ80,AK80)=0,"",SUM(AI80,AJ80,AK80))</f>
        <v/>
      </c>
      <c r="AM80" s="68">
        <f>IF(N(AC80)=0,"",IF(COUNT($AC$6:$AC$105)&lt;5,"Too early",IF(AC80&gt;=1.5*MEDIAN($AC$6:$AC$105),"Top",IF(AC80&lt;=0.5*MEDIAN($AC$6:$AC$105),"Low","Average"))))</f>
        <v/>
      </c>
      <c r="AN80" s="69" t="n"/>
      <c r="AO80" s="69" t="inlineStr">
        <is>
          <t>ted2</t>
        </is>
      </c>
      <c r="AP80" s="74" t="n"/>
      <c r="AQ80" s="74" t="n"/>
      <c r="AR80" s="74" t="n"/>
      <c r="AS80" s="74" t="n"/>
      <c r="AT80" s="74" t="n"/>
      <c r="AU80" s="74" t="n"/>
      <c r="AV80" s="64" t="inlineStr">
        <is>
          <t>Study reveal</t>
        </is>
      </c>
    </row>
    <row r="81" ht="60" customHeight="1" s="62">
      <c r="A81" s="68" t="n">
        <v>76</v>
      </c>
      <c r="B81" s="68" t="inlineStr">
        <is>
          <t>Self-image and confidence</t>
        </is>
      </c>
      <c r="C81" s="68" t="inlineStr">
        <is>
          <t>Self-serving explanations</t>
        </is>
      </c>
      <c r="D81" s="68" t="inlineStr">
        <is>
          <t>Who gets the credit, and who gets the blame?</t>
        </is>
      </c>
      <c r="E81" s="68" t="inlineStr">
        <is>
          <t>Compare explanations for success and failure.</t>
        </is>
      </c>
      <c r="F81" s="68" t="inlineStr">
        <is>
          <t>Win and loss interview</t>
        </is>
      </c>
      <c r="G81" s="68" t="n">
        <v>45</v>
      </c>
      <c r="H81" s="68" t="inlineStr">
        <is>
          <t>Vetoed</t>
        </is>
      </c>
      <c r="I81" s="69" t="n">
        <v>49</v>
      </c>
      <c r="J81" s="69" t="inlineStr">
        <is>
          <t>Strong</t>
        </is>
      </c>
      <c r="K81" s="69" t="inlineStr">
        <is>
          <t>self-serving-bias</t>
        </is>
      </c>
      <c r="L81" s="70" t="n"/>
      <c r="M81" s="68">
        <f>IF(L81="","",TEXT(L81,"ddd"))</f>
        <v/>
      </c>
      <c r="N81" s="69" t="inlineStr">
        <is>
          <t>You-callout</t>
        </is>
      </c>
      <c r="O81" s="69" t="n"/>
      <c r="P81" s="69" t="n"/>
      <c r="Q81" s="69" t="inlineStr">
        <is>
          <t>Lau &amp; Russell 1980, JPSP 'Attributions in the sports pages'</t>
        </is>
      </c>
      <c r="R81" s="69" t="n"/>
      <c r="S81" s="71" t="n"/>
      <c r="T81" s="69" t="n"/>
      <c r="U81" s="72">
        <f>IF(OR(T81="",N(O81)=0),"",T81/O81)</f>
        <v/>
      </c>
      <c r="V81" s="69" t="n"/>
      <c r="W81" s="69" t="n"/>
      <c r="X81" s="69" t="n"/>
      <c r="Y81" s="71" t="n"/>
      <c r="Z81" s="69" t="n"/>
      <c r="AA81" s="71" t="n"/>
      <c r="AB81" s="69" t="n"/>
      <c r="AC81" s="73">
        <f>IF(COUNT(S81,Y81,AA81)=0,"",SUM(S81,Y81,AA81))</f>
        <v/>
      </c>
      <c r="AD81" s="72">
        <f>IF(N(AC81)=0,"",SUM(V81,W81,X81,Z81,AB81)/AC81)</f>
        <v/>
      </c>
      <c r="AE81" s="71" t="n"/>
      <c r="AF81" s="71" t="n"/>
      <c r="AG81" s="71" t="n"/>
      <c r="AH81" s="73">
        <f>IF(COUNT(AE81,AF81,AG81)=0,"",SUM(AE81,AF81,AG81))</f>
        <v/>
      </c>
      <c r="AI81" s="71" t="n"/>
      <c r="AJ81" s="71" t="n"/>
      <c r="AK81" s="71" t="n"/>
      <c r="AL81" s="73">
        <f>IF(COUNT(AI81,AJ81,AK81)=0,"",SUM(AI81,AJ81,AK81))</f>
        <v/>
      </c>
      <c r="AM81" s="68">
        <f>IF(N(AC81)=0,"",IF(COUNT($AC$6:$AC$105)&lt;5,"Too early",IF(AC81&gt;=1.5*MEDIAN($AC$6:$AC$105),"Top",IF(AC81&lt;=0.5*MEDIAN($AC$6:$AC$105),"Low","Average"))))</f>
        <v/>
      </c>
      <c r="AN81" s="69" t="inlineStr">
        <is>
          <t>2026-10-22: replaced by the pattern test (Shivam)</t>
        </is>
      </c>
      <c r="AO81" s="69" t="inlineStr">
        <is>
          <t>ted2</t>
        </is>
      </c>
      <c r="AP81" s="74" t="n"/>
      <c r="AQ81" s="74" t="n"/>
      <c r="AR81" s="74" t="n"/>
      <c r="AS81" s="74" t="n"/>
      <c r="AT81" s="74" t="n"/>
      <c r="AU81" s="74" t="n"/>
      <c r="AV81" s="64" t="inlineStr">
        <is>
          <t>You-callout</t>
        </is>
      </c>
    </row>
    <row r="82" ht="60" customHeight="1" s="62">
      <c r="A82" s="68" t="n">
        <v>77</v>
      </c>
      <c r="B82" s="68" t="inlineStr">
        <is>
          <t>Self-image and confidence</t>
        </is>
      </c>
      <c r="C82" s="68" t="inlineStr">
        <is>
          <t>Confidence versus accuracy</t>
        </is>
      </c>
      <c r="D82" s="68" t="inlineStr">
        <is>
          <t>Does sounding certain make someone correct?</t>
        </is>
      </c>
      <c r="E82" s="68" t="inlineStr">
        <is>
          <t>Show two confident predictions and check their results.</t>
        </is>
      </c>
      <c r="F82" s="68" t="inlineStr">
        <is>
          <t>Prediction scoreboard</t>
        </is>
      </c>
      <c r="G82" s="68" t="n">
        <v>45</v>
      </c>
      <c r="H82" s="68" t="inlineStr">
        <is>
          <t>Vetoed</t>
        </is>
      </c>
      <c r="I82" s="69" t="n">
        <v>55</v>
      </c>
      <c r="J82" s="69" t="inlineStr">
        <is>
          <t>Strong</t>
        </is>
      </c>
      <c r="K82" s="69" t="n"/>
      <c r="L82" s="70" t="n"/>
      <c r="M82" s="68">
        <f>IF(L82="","",TEXT(L82,"ddd"))</f>
        <v/>
      </c>
      <c r="N82" s="69" t="n"/>
      <c r="O82" s="69" t="n"/>
      <c r="P82" s="69" t="n"/>
      <c r="Q82" s="69" t="n"/>
      <c r="R82" s="69" t="n"/>
      <c r="S82" s="71" t="n"/>
      <c r="T82" s="69" t="n"/>
      <c r="U82" s="72">
        <f>IF(OR(T82="",N(O82)=0),"",T82/O82)</f>
        <v/>
      </c>
      <c r="V82" s="69" t="n"/>
      <c r="W82" s="69" t="n"/>
      <c r="X82" s="69" t="n"/>
      <c r="Y82" s="71" t="n"/>
      <c r="Z82" s="69" t="n"/>
      <c r="AA82" s="71" t="n"/>
      <c r="AB82" s="69" t="n"/>
      <c r="AC82" s="73">
        <f>IF(COUNT(S82,Y82,AA82)=0,"",SUM(S82,Y82,AA82))</f>
        <v/>
      </c>
      <c r="AD82" s="72">
        <f>IF(N(AC82)=0,"",SUM(V82,W82,X82,Z82,AB82)/AC82)</f>
        <v/>
      </c>
      <c r="AE82" s="71" t="n"/>
      <c r="AF82" s="71" t="n"/>
      <c r="AG82" s="71" t="n"/>
      <c r="AH82" s="73">
        <f>IF(COUNT(AE82,AF82,AG82)=0,"",SUM(AE82,AF82,AG82))</f>
        <v/>
      </c>
      <c r="AI82" s="71" t="n"/>
      <c r="AJ82" s="71" t="n"/>
      <c r="AK82" s="71" t="n"/>
      <c r="AL82" s="73">
        <f>IF(COUNT(AI82,AJ82,AK82)=0,"",SUM(AI82,AJ82,AK82))</f>
        <v/>
      </c>
      <c r="AM82" s="68">
        <f>IF(N(AC82)=0,"",IF(COUNT($AC$6:$AC$105)&lt;5,"Too early",IF(AC82&gt;=1.5*MEDIAN($AC$6:$AC$105),"Top",IF(AC82&lt;=0.5*MEDIAN($AC$6:$AC$105),"Low","Average"))))</f>
        <v/>
      </c>
      <c r="AN82" s="69" t="inlineStr">
        <is>
          <t>2026-10-22: replaced by the pattern test (Shivam)</t>
        </is>
      </c>
      <c r="AO82" s="69" t="inlineStr">
        <is>
          <t>swiss</t>
        </is>
      </c>
      <c r="AP82" s="74" t="n"/>
      <c r="AQ82" s="74" t="n"/>
      <c r="AR82" s="74" t="n"/>
      <c r="AS82" s="74" t="n"/>
      <c r="AT82" s="74" t="n"/>
      <c r="AU82" s="74" t="n"/>
      <c r="AV82" s="64" t="inlineStr">
        <is>
          <t>Study reveal</t>
        </is>
      </c>
    </row>
    <row r="83" ht="60" customHeight="1" s="62">
      <c r="A83" s="68" t="n">
        <v>78</v>
      </c>
      <c r="B83" s="68" t="inlineStr">
        <is>
          <t>Self-image and confidence</t>
        </is>
      </c>
      <c r="C83" s="68" t="inlineStr">
        <is>
          <t>Values versus approval</t>
        </is>
      </c>
      <c r="D83" s="68" t="inlineStr">
        <is>
          <t>Would you still choose it if nobody could see it?</t>
        </is>
      </c>
      <c r="E83" s="68" t="inlineStr">
        <is>
          <t>Use a private-choice prompt to explore personal priorities.</t>
        </is>
      </c>
      <c r="F83" s="68" t="inlineStr">
        <is>
          <t>Camera-on versus camera-off choice</t>
        </is>
      </c>
      <c r="G83" s="68" t="n">
        <v>45</v>
      </c>
      <c r="H83" s="68" t="inlineStr">
        <is>
          <t>Vetoed</t>
        </is>
      </c>
      <c r="I83" s="69" t="n">
        <v>76</v>
      </c>
      <c r="J83" s="69" t="inlineStr">
        <is>
          <t>Weak</t>
        </is>
      </c>
      <c r="K83" s="69" t="n"/>
      <c r="L83" s="70" t="n"/>
      <c r="M83" s="68">
        <f>IF(L83="","",TEXT(L83,"ddd"))</f>
        <v/>
      </c>
      <c r="N83" s="69" t="n"/>
      <c r="O83" s="69" t="n"/>
      <c r="P83" s="69" t="n"/>
      <c r="Q83" s="69" t="n"/>
      <c r="R83" s="69" t="n"/>
      <c r="S83" s="71" t="n"/>
      <c r="T83" s="69" t="n"/>
      <c r="U83" s="72">
        <f>IF(OR(T83="",N(O83)=0),"",T83/O83)</f>
        <v/>
      </c>
      <c r="V83" s="69" t="n"/>
      <c r="W83" s="69" t="n"/>
      <c r="X83" s="69" t="n"/>
      <c r="Y83" s="71" t="n"/>
      <c r="Z83" s="69" t="n"/>
      <c r="AA83" s="71" t="n"/>
      <c r="AB83" s="69" t="n"/>
      <c r="AC83" s="73">
        <f>IF(COUNT(S83,Y83,AA83)=0,"",SUM(S83,Y83,AA83))</f>
        <v/>
      </c>
      <c r="AD83" s="72">
        <f>IF(N(AC83)=0,"",SUM(V83,W83,X83,Z83,AB83)/AC83)</f>
        <v/>
      </c>
      <c r="AE83" s="71" t="n"/>
      <c r="AF83" s="71" t="n"/>
      <c r="AG83" s="71" t="n"/>
      <c r="AH83" s="73">
        <f>IF(COUNT(AE83,AF83,AG83)=0,"",SUM(AE83,AF83,AG83))</f>
        <v/>
      </c>
      <c r="AI83" s="71" t="n"/>
      <c r="AJ83" s="71" t="n"/>
      <c r="AK83" s="71" t="n"/>
      <c r="AL83" s="73">
        <f>IF(COUNT(AI83,AJ83,AK83)=0,"",SUM(AI83,AJ83,AK83))</f>
        <v/>
      </c>
      <c r="AM83" s="68">
        <f>IF(N(AC83)=0,"",IF(COUNT($AC$6:$AC$105)&lt;5,"Too early",IF(AC83&gt;=1.5*MEDIAN($AC$6:$AC$105),"Top",IF(AC83&lt;=0.5*MEDIAN($AC$6:$AC$105),"Low","Average"))))</f>
        <v/>
      </c>
      <c r="AN83" s="69" t="inlineStr">
        <is>
          <t>2026-10-22: replaced by the pattern test (Shivam)</t>
        </is>
      </c>
      <c r="AO83" s="69" t="inlineStr">
        <is>
          <t>one-line</t>
        </is>
      </c>
      <c r="AP83" s="74" t="n"/>
      <c r="AQ83" s="74" t="n"/>
      <c r="AR83" s="74" t="n"/>
      <c r="AS83" s="74" t="n"/>
      <c r="AT83" s="74" t="n"/>
      <c r="AU83" s="74" t="n"/>
      <c r="AV83" s="64" t="inlineStr">
        <is>
          <t>Study reveal</t>
        </is>
      </c>
    </row>
    <row r="84" ht="60" customHeight="1" s="62">
      <c r="A84" s="68" t="n">
        <v>79</v>
      </c>
      <c r="B84" s="68" t="inlineStr">
        <is>
          <t>Self-image and confidence</t>
        </is>
      </c>
      <c r="C84" s="68" t="inlineStr">
        <is>
          <t>Identity and behavior</t>
        </is>
      </c>
      <c r="D84" s="68" t="inlineStr">
        <is>
          <t>What evidence supports the person you're trying to become?</t>
        </is>
      </c>
      <c r="E84" s="68" t="inlineStr">
        <is>
          <t>Connect an identity statement with a small observable action.</t>
        </is>
      </c>
      <c r="F84" s="68" t="inlineStr">
        <is>
          <t>Identity note and action clip</t>
        </is>
      </c>
      <c r="G84" s="68" t="n">
        <v>45</v>
      </c>
      <c r="H84" s="68" t="inlineStr">
        <is>
          <t>Vetoed</t>
        </is>
      </c>
      <c r="I84" s="69" t="n">
        <v>83</v>
      </c>
      <c r="J84" s="69" t="inlineStr">
        <is>
          <t>Weak</t>
        </is>
      </c>
      <c r="K84" s="69" t="n"/>
      <c r="L84" s="70" t="n"/>
      <c r="M84" s="68">
        <f>IF(L84="","",TEXT(L84,"ddd"))</f>
        <v/>
      </c>
      <c r="N84" s="69" t="n"/>
      <c r="O84" s="69" t="n"/>
      <c r="P84" s="69" t="n"/>
      <c r="Q84" s="69" t="n"/>
      <c r="R84" s="69" t="n"/>
      <c r="S84" s="71" t="n"/>
      <c r="T84" s="69" t="n"/>
      <c r="U84" s="72">
        <f>IF(OR(T84="",N(O84)=0),"",T84/O84)</f>
        <v/>
      </c>
      <c r="V84" s="69" t="n"/>
      <c r="W84" s="69" t="n"/>
      <c r="X84" s="69" t="n"/>
      <c r="Y84" s="71" t="n"/>
      <c r="Z84" s="69" t="n"/>
      <c r="AA84" s="71" t="n"/>
      <c r="AB84" s="69" t="n"/>
      <c r="AC84" s="73">
        <f>IF(COUNT(S84,Y84,AA84)=0,"",SUM(S84,Y84,AA84))</f>
        <v/>
      </c>
      <c r="AD84" s="72">
        <f>IF(N(AC84)=0,"",SUM(V84,W84,X84,Z84,AB84)/AC84)</f>
        <v/>
      </c>
      <c r="AE84" s="71" t="n"/>
      <c r="AF84" s="71" t="n"/>
      <c r="AG84" s="71" t="n"/>
      <c r="AH84" s="73">
        <f>IF(COUNT(AE84,AF84,AG84)=0,"",SUM(AE84,AF84,AG84))</f>
        <v/>
      </c>
      <c r="AI84" s="71" t="n"/>
      <c r="AJ84" s="71" t="n"/>
      <c r="AK84" s="71" t="n"/>
      <c r="AL84" s="73">
        <f>IF(COUNT(AI84,AJ84,AK84)=0,"",SUM(AI84,AJ84,AK84))</f>
        <v/>
      </c>
      <c r="AM84" s="68">
        <f>IF(N(AC84)=0,"",IF(COUNT($AC$6:$AC$105)&lt;5,"Too early",IF(AC84&gt;=1.5*MEDIAN($AC$6:$AC$105),"Top",IF(AC84&lt;=0.5*MEDIAN($AC$6:$AC$105),"Low","Average"))))</f>
        <v/>
      </c>
      <c r="AN84" s="69" t="inlineStr">
        <is>
          <t>2026-10-22: replaced by the pattern test (Shivam)</t>
        </is>
      </c>
      <c r="AO84" s="69" t="inlineStr">
        <is>
          <t>pixel-quest</t>
        </is>
      </c>
      <c r="AP84" s="74" t="n"/>
      <c r="AQ84" s="74" t="n"/>
      <c r="AR84" s="74" t="n"/>
      <c r="AS84" s="74" t="n"/>
      <c r="AT84" s="74" t="n"/>
      <c r="AU84" s="74" t="n"/>
      <c r="AV84" s="64" t="inlineStr">
        <is>
          <t>Study reveal</t>
        </is>
      </c>
    </row>
    <row r="85" ht="60" customHeight="1" s="62">
      <c r="A85" s="68" t="n">
        <v>80</v>
      </c>
      <c r="B85" s="68" t="inlineStr">
        <is>
          <t>Self-image and confidence</t>
        </is>
      </c>
      <c r="C85" s="68" t="inlineStr">
        <is>
          <t>The illusion of transparency</t>
        </is>
      </c>
      <c r="D85" s="68" t="inlineStr">
        <is>
          <t>Can others tell exactly how nervous you are?</t>
        </is>
      </c>
      <c r="E85" s="68" t="inlineStr">
        <is>
          <t>Compare an internal nervousness rating with an observer's impression.</t>
        </is>
      </c>
      <c r="F85" s="68" t="inlineStr">
        <is>
          <t>Inside versus outside view</t>
        </is>
      </c>
      <c r="G85" s="68" t="n">
        <v>45</v>
      </c>
      <c r="H85" s="68" t="inlineStr">
        <is>
          <t>Vetoed</t>
        </is>
      </c>
      <c r="I85" s="69" t="n">
        <v>61</v>
      </c>
      <c r="J85" s="69" t="inlineStr">
        <is>
          <t>Strong</t>
        </is>
      </c>
      <c r="K85" s="69" t="n"/>
      <c r="L85" s="70" t="n"/>
      <c r="M85" s="68">
        <f>IF(L85="","",TEXT(L85,"ddd"))</f>
        <v/>
      </c>
      <c r="N85" s="69" t="n"/>
      <c r="O85" s="69" t="n"/>
      <c r="P85" s="69" t="n"/>
      <c r="Q85" s="69" t="n"/>
      <c r="R85" s="69" t="n"/>
      <c r="S85" s="71" t="n"/>
      <c r="T85" s="69" t="n"/>
      <c r="U85" s="72">
        <f>IF(OR(T85="",N(O85)=0),"",T85/O85)</f>
        <v/>
      </c>
      <c r="V85" s="69" t="n"/>
      <c r="W85" s="69" t="n"/>
      <c r="X85" s="69" t="n"/>
      <c r="Y85" s="71" t="n"/>
      <c r="Z85" s="69" t="n"/>
      <c r="AA85" s="71" t="n"/>
      <c r="AB85" s="69" t="n"/>
      <c r="AC85" s="73">
        <f>IF(COUNT(S85,Y85,AA85)=0,"",SUM(S85,Y85,AA85))</f>
        <v/>
      </c>
      <c r="AD85" s="72">
        <f>IF(N(AC85)=0,"",SUM(V85,W85,X85,Z85,AB85)/AC85)</f>
        <v/>
      </c>
      <c r="AE85" s="71" t="n"/>
      <c r="AF85" s="71" t="n"/>
      <c r="AG85" s="71" t="n"/>
      <c r="AH85" s="73">
        <f>IF(COUNT(AE85,AF85,AG85)=0,"",SUM(AE85,AF85,AG85))</f>
        <v/>
      </c>
      <c r="AI85" s="71" t="n"/>
      <c r="AJ85" s="71" t="n"/>
      <c r="AK85" s="71" t="n"/>
      <c r="AL85" s="73">
        <f>IF(COUNT(AI85,AJ85,AK85)=0,"",SUM(AI85,AJ85,AK85))</f>
        <v/>
      </c>
      <c r="AM85" s="68">
        <f>IF(N(AC85)=0,"",IF(COUNT($AC$6:$AC$105)&lt;5,"Too early",IF(AC85&gt;=1.5*MEDIAN($AC$6:$AC$105),"Top",IF(AC85&lt;=0.5*MEDIAN($AC$6:$AC$105),"Low","Average"))))</f>
        <v/>
      </c>
      <c r="AN85" s="69" t="inlineStr">
        <is>
          <t>2026-10-22: replaced by the pattern test (Shivam)</t>
        </is>
      </c>
      <c r="AO85" s="69" t="inlineStr">
        <is>
          <t>spy-noir</t>
        </is>
      </c>
      <c r="AP85" s="74" t="n"/>
      <c r="AQ85" s="74" t="n"/>
      <c r="AR85" s="74" t="n"/>
      <c r="AS85" s="74" t="n"/>
      <c r="AT85" s="74" t="n"/>
      <c r="AU85" s="74" t="n"/>
      <c r="AV85" s="64" t="inlineStr">
        <is>
          <t>Study reveal</t>
        </is>
      </c>
    </row>
    <row r="86" ht="60" customHeight="1" s="62">
      <c r="A86" s="68" t="n">
        <v>81</v>
      </c>
      <c r="B86" s="68" t="inlineStr">
        <is>
          <t>Digital life and consumer behavior</t>
        </is>
      </c>
      <c r="C86" s="68" t="inlineStr">
        <is>
          <t>Infinite scroll</t>
        </is>
      </c>
      <c r="D86" s="68" t="inlineStr">
        <is>
          <t>Where is the natural stopping point?</t>
        </is>
      </c>
      <c r="E86" s="68" t="inlineStr">
        <is>
          <t>Compare a page ending with a continuously refreshing feed.</t>
        </is>
      </c>
      <c r="F86" s="68" t="inlineStr">
        <is>
          <t>Original scrolling mockup</t>
        </is>
      </c>
      <c r="G86" s="68" t="n">
        <v>45</v>
      </c>
      <c r="H86" s="68" t="inlineStr">
        <is>
          <t>Vetoed</t>
        </is>
      </c>
      <c r="I86" s="69" t="n">
        <v>77</v>
      </c>
      <c r="J86" s="69" t="inlineStr">
        <is>
          <t>Weak</t>
        </is>
      </c>
      <c r="K86" s="69" t="n"/>
      <c r="L86" s="70" t="n"/>
      <c r="M86" s="68">
        <f>IF(L86="","",TEXT(L86,"ddd"))</f>
        <v/>
      </c>
      <c r="N86" s="69" t="n"/>
      <c r="O86" s="69" t="n"/>
      <c r="P86" s="69" t="n"/>
      <c r="Q86" s="69" t="n"/>
      <c r="R86" s="69" t="n"/>
      <c r="S86" s="71" t="n"/>
      <c r="T86" s="69" t="n"/>
      <c r="U86" s="72">
        <f>IF(OR(T86="",N(O86)=0),"",T86/O86)</f>
        <v/>
      </c>
      <c r="V86" s="69" t="n"/>
      <c r="W86" s="69" t="n"/>
      <c r="X86" s="69" t="n"/>
      <c r="Y86" s="71" t="n"/>
      <c r="Z86" s="69" t="n"/>
      <c r="AA86" s="71" t="n"/>
      <c r="AB86" s="69" t="n"/>
      <c r="AC86" s="73">
        <f>IF(COUNT(S86,Y86,AA86)=0,"",SUM(S86,Y86,AA86))</f>
        <v/>
      </c>
      <c r="AD86" s="72">
        <f>IF(N(AC86)=0,"",SUM(V86,W86,X86,Z86,AB86)/AC86)</f>
        <v/>
      </c>
      <c r="AE86" s="71" t="n"/>
      <c r="AF86" s="71" t="n"/>
      <c r="AG86" s="71" t="n"/>
      <c r="AH86" s="73">
        <f>IF(COUNT(AE86,AF86,AG86)=0,"",SUM(AE86,AF86,AG86))</f>
        <v/>
      </c>
      <c r="AI86" s="71" t="n"/>
      <c r="AJ86" s="71" t="n"/>
      <c r="AK86" s="71" t="n"/>
      <c r="AL86" s="73">
        <f>IF(COUNT(AI86,AJ86,AK86)=0,"",SUM(AI86,AJ86,AK86))</f>
        <v/>
      </c>
      <c r="AM86" s="68">
        <f>IF(N(AC86)=0,"",IF(COUNT($AC$6:$AC$105)&lt;5,"Too early",IF(AC86&gt;=1.5*MEDIAN($AC$6:$AC$105),"Top",IF(AC86&lt;=0.5*MEDIAN($AC$6:$AC$105),"Low","Average"))))</f>
        <v/>
      </c>
      <c r="AN86" s="69" t="inlineStr">
        <is>
          <t>2026-10-22: replaced by the pattern test (Shivam)</t>
        </is>
      </c>
      <c r="AO86" s="69" t="inlineStr">
        <is>
          <t>terminal</t>
        </is>
      </c>
      <c r="AP86" s="74" t="n"/>
      <c r="AQ86" s="74" t="n"/>
      <c r="AR86" s="74" t="n"/>
      <c r="AS86" s="74" t="n"/>
      <c r="AT86" s="74" t="n"/>
      <c r="AU86" s="74" t="n"/>
      <c r="AV86" s="64" t="inlineStr">
        <is>
          <t>Pattern interrupt</t>
        </is>
      </c>
    </row>
    <row r="87" ht="60" customHeight="1" s="62">
      <c r="A87" s="68" t="n">
        <v>82</v>
      </c>
      <c r="B87" s="68" t="inlineStr">
        <is>
          <t>Digital life and consumer behavior</t>
        </is>
      </c>
      <c r="C87" s="68" t="inlineStr">
        <is>
          <t>Variable rewards online</t>
        </is>
      </c>
      <c r="D87" s="68" t="inlineStr">
        <is>
          <t>Why might the next swipe feel tempting?</t>
        </is>
      </c>
      <c r="E87" s="68" t="inlineStr">
        <is>
          <t>Discuss uncertain outcomes as one possible engagement mechanism.</t>
        </is>
      </c>
      <c r="F87" s="68" t="inlineStr">
        <is>
          <t>Swipe and changing content cards</t>
        </is>
      </c>
      <c r="G87" s="68" t="n">
        <v>45</v>
      </c>
      <c r="H87" s="68" t="inlineStr">
        <is>
          <t>Published</t>
        </is>
      </c>
      <c r="I87" s="69" t="n">
        <v>9</v>
      </c>
      <c r="J87" s="69" t="inlineStr">
        <is>
          <t>Strong</t>
        </is>
      </c>
      <c r="K87" s="69" t="inlineStr">
        <is>
          <t>reward-learning</t>
        </is>
      </c>
      <c r="L87" s="70" t="n">
        <v>46310</v>
      </c>
      <c r="M87" s="68">
        <f>IF(L87="","",TEXT(L87,"ddd"))</f>
        <v/>
      </c>
      <c r="N87" s="69" t="inlineStr">
        <is>
          <t>eyes</t>
        </is>
      </c>
      <c r="O87" s="69" t="n">
        <v>28</v>
      </c>
      <c r="P87" s="69" t="inlineStr">
        <is>
          <t>Why Likes Make You Want to Post Again #shorts</t>
        </is>
      </c>
      <c r="Q87" s="69" t="inlineStr">
        <is>
          <t>Lindström et al. 2021, Nature Communications 12:1311; &gt;1M posts, &gt;4,000 users; posting rate tracked like rate; experiment n=176 (UvA/Neuroscience News)</t>
        </is>
      </c>
      <c r="R87" s="69" t="inlineStr">
        <is>
          <t>buffer:youtube=6acfed2bd7ed7764890a8cb7;instagram=6acfed2b384901ac08409b26;tiktok=6acfed2cd7ed7764890a8d15</t>
        </is>
      </c>
      <c r="S87" s="71" t="n"/>
      <c r="T87" s="69" t="n"/>
      <c r="U87" s="72">
        <f>IF(OR(T87="",N(O87)=0),"",T87/O87)</f>
        <v/>
      </c>
      <c r="V87" s="69" t="n"/>
      <c r="W87" s="69" t="n"/>
      <c r="X87" s="69" t="n"/>
      <c r="Y87" s="71" t="n"/>
      <c r="Z87" s="69" t="n"/>
      <c r="AA87" s="71" t="n"/>
      <c r="AB87" s="69" t="n"/>
      <c r="AC87" s="73">
        <f>IF(COUNT(S87,Y87,AA87)=0,"",SUM(S87,Y87,AA87))</f>
        <v/>
      </c>
      <c r="AD87" s="72">
        <f>IF(N(AC87)=0,"",SUM(V87,W87,X87,Z87,AB87)/AC87)</f>
        <v/>
      </c>
      <c r="AE87" s="71" t="n"/>
      <c r="AF87" s="71" t="n"/>
      <c r="AG87" s="71" t="n"/>
      <c r="AH87" s="73">
        <f>IF(COUNT(AE87,AF87,AG87)=0,"",SUM(AE87,AF87,AG87))</f>
        <v/>
      </c>
      <c r="AI87" s="71" t="n"/>
      <c r="AJ87" s="71" t="n"/>
      <c r="AK87" s="71" t="n"/>
      <c r="AL87" s="73">
        <f>IF(COUNT(AI87,AJ87,AK87)=0,"",SUM(AI87,AJ87,AK87))</f>
        <v/>
      </c>
      <c r="AM87" s="68">
        <f>IF(N(AC87)=0,"",IF(COUNT($AC$6:$AC$105)&lt;5,"Too early",IF(AC87&gt;=1.5*MEDIAN($AC$6:$AC$105),"Top",IF(AC87&lt;=0.5*MEDIAN($AC$6:$AC$105),"Low","Average"))))</f>
        <v/>
      </c>
      <c r="AN87" s="69" t="n"/>
      <c r="AO87" s="69" t="inlineStr">
        <is>
          <t>game-show</t>
        </is>
      </c>
      <c r="AP87" s="74" t="n"/>
      <c r="AQ87" s="74" t="n"/>
      <c r="AR87" s="74" t="n"/>
      <c r="AS87" s="74" t="n"/>
      <c r="AT87" s="74" t="n"/>
      <c r="AU87" s="74" t="n"/>
      <c r="AV87" s="64" t="inlineStr">
        <is>
          <t>Study reveal</t>
        </is>
      </c>
    </row>
    <row r="88" ht="60" customHeight="1" s="62">
      <c r="A88" s="68" t="n">
        <v>83</v>
      </c>
      <c r="B88" s="68" t="inlineStr">
        <is>
          <t>Digital life and consumer behavior</t>
        </is>
      </c>
      <c r="C88" s="68" t="inlineStr">
        <is>
          <t>Likes and feedback</t>
        </is>
      </c>
      <c r="D88" s="68" t="inlineStr">
        <is>
          <t>Would you post it if likes were hidden?</t>
        </is>
      </c>
      <c r="E88" s="68" t="inlineStr">
        <is>
          <t>Explore social feedback without reducing behavior to one brain chemical.</t>
        </is>
      </c>
      <c r="F88" s="68" t="inlineStr">
        <is>
          <t>Visible versus hidden like counts</t>
        </is>
      </c>
      <c r="G88" s="68" t="n">
        <v>45</v>
      </c>
      <c r="H88" s="68" t="inlineStr">
        <is>
          <t>Published</t>
        </is>
      </c>
      <c r="I88" s="69" t="n">
        <v>19</v>
      </c>
      <c r="J88" s="69" t="inlineStr">
        <is>
          <t>Strong</t>
        </is>
      </c>
      <c r="K88" s="69" t="inlineStr">
        <is>
          <t>likes-feedback</t>
        </is>
      </c>
      <c r="L88" s="70" t="n">
        <v>46311</v>
      </c>
      <c r="M88" s="68">
        <f>IF(L88="","",TEXT(L88,"ddd"))</f>
        <v/>
      </c>
      <c r="N88" s="69" t="n"/>
      <c r="O88" s="69" t="n">
        <v>32</v>
      </c>
      <c r="P88" s="69" t="inlineStr">
        <is>
          <t>Would You Still Post It If Likes Were Hidden? #shorts</t>
        </is>
      </c>
      <c r="Q88" s="69" t="inlineStr">
        <is>
          <t>Sherman et al. 2016, Psychological Science 27(7):1027-1035; n=32 teens 13-18, many-like photos liked more, NAcc activity for own photos with many likes</t>
        </is>
      </c>
      <c r="R88" s="69" t="inlineStr">
        <is>
          <t>buffer:youtube=6ad1310ab4510d553d75e22a;tiktok=6ad1310b84453eae6f32edcf;instagram=6adbc6ad8b3d437ddc85eb35</t>
        </is>
      </c>
      <c r="S88" s="71" t="n"/>
      <c r="T88" s="69" t="n"/>
      <c r="U88" s="72">
        <f>IF(OR(T88="",N(O88)=0),"",T88/O88)</f>
        <v/>
      </c>
      <c r="V88" s="69" t="n"/>
      <c r="W88" s="69" t="n"/>
      <c r="X88" s="69" t="n"/>
      <c r="Y88" s="71" t="n"/>
      <c r="Z88" s="69" t="n"/>
      <c r="AA88" s="71" t="n"/>
      <c r="AB88" s="69" t="n"/>
      <c r="AC88" s="73">
        <f>IF(COUNT(S88,Y88,AA88)=0,"",SUM(S88,Y88,AA88))</f>
        <v/>
      </c>
      <c r="AD88" s="72">
        <f>IF(N(AC88)=0,"",SUM(V88,W88,X88,Z88,AB88)/AC88)</f>
        <v/>
      </c>
      <c r="AE88" s="71" t="n"/>
      <c r="AF88" s="71" t="n"/>
      <c r="AG88" s="71" t="n"/>
      <c r="AH88" s="73">
        <f>IF(COUNT(AE88,AF88,AG88)=0,"",SUM(AE88,AF88,AG88))</f>
        <v/>
      </c>
      <c r="AI88" s="71" t="n"/>
      <c r="AJ88" s="71" t="n"/>
      <c r="AK88" s="71" t="n"/>
      <c r="AL88" s="73">
        <f>IF(COUNT(AI88,AJ88,AK88)=0,"",SUM(AI88,AJ88,AK88))</f>
        <v/>
      </c>
      <c r="AM88" s="68">
        <f>IF(N(AC88)=0,"",IF(COUNT($AC$6:$AC$105)&lt;5,"Too early",IF(AC88&gt;=1.5*MEDIAN($AC$6:$AC$105),"Top",IF(AC88&lt;=0.5*MEDIAN($AC$6:$AC$105),"Low","Average"))))</f>
        <v/>
      </c>
      <c r="AN88" s="69" t="n"/>
      <c r="AO88" s="69" t="inlineStr">
        <is>
          <t>ted2</t>
        </is>
      </c>
      <c r="AP88" s="74" t="n"/>
      <c r="AQ88" s="74" t="n"/>
      <c r="AR88" s="74" t="n"/>
      <c r="AS88" s="74" t="n"/>
      <c r="AT88" s="74" t="n"/>
      <c r="AU88" s="74" t="n"/>
      <c r="AV88" s="64" t="inlineStr">
        <is>
          <t>Study reveal</t>
        </is>
      </c>
    </row>
    <row r="89" ht="60" customHeight="1" s="62">
      <c r="A89" s="68" t="n">
        <v>84</v>
      </c>
      <c r="B89" s="68" t="inlineStr">
        <is>
          <t>Digital life and consumer behavior</t>
        </is>
      </c>
      <c r="C89" s="68" t="inlineStr">
        <is>
          <t>Curated-feed comparisons</t>
        </is>
      </c>
      <c r="D89" s="68" t="inlineStr">
        <is>
          <t>Are you comparing a whole day with someone's highlight?</t>
        </is>
      </c>
      <c r="E89" s="68" t="inlineStr">
        <is>
          <t>Show what a polished post leaves outside the frame.</t>
        </is>
      </c>
      <c r="F89" s="68" t="inlineStr">
        <is>
          <t>Photo frame and backstage scene</t>
        </is>
      </c>
      <c r="G89" s="68" t="n">
        <v>45</v>
      </c>
      <c r="H89" s="68" t="inlineStr">
        <is>
          <t>Published</t>
        </is>
      </c>
      <c r="I89" s="69" t="n">
        <v>28</v>
      </c>
      <c r="J89" s="69" t="inlineStr">
        <is>
          <t>Strong</t>
        </is>
      </c>
      <c r="K89" s="69" t="inlineStr">
        <is>
          <t>highlight-reel</t>
        </is>
      </c>
      <c r="L89" s="70" t="n">
        <v>46314</v>
      </c>
      <c r="M89" s="68">
        <f>IF(L89="","",TEXT(L89,"ddd"))</f>
        <v/>
      </c>
      <c r="N89" s="69" t="n"/>
      <c r="O89" s="69" t="n">
        <v>36</v>
      </c>
      <c r="P89" s="69" t="inlineStr">
        <is>
          <t>Why Everyone Else's Life Looks Better Online #shorts</t>
        </is>
      </c>
      <c r="Q89" s="69" t="inlineStr">
        <is>
          <t>Jordan et al. 2011, PSPB 37(1):120-135; peers' negative emotions underestimated, positive overestimated; linked to loneliness, lower life satisfaction</t>
        </is>
      </c>
      <c r="R89" s="69" t="inlineStr">
        <is>
          <t>buffer:youtube=6ad51440769b457934d63ba1;tiktok=6ad51440938409f1d0e23dff;instagram=6ad5279cae173d6e0017d609</t>
        </is>
      </c>
      <c r="S89" s="71" t="n"/>
      <c r="T89" s="69" t="n"/>
      <c r="U89" s="72">
        <f>IF(OR(T89="",N(O89)=0),"",T89/O89)</f>
        <v/>
      </c>
      <c r="V89" s="69" t="n"/>
      <c r="W89" s="69" t="n"/>
      <c r="X89" s="69" t="n"/>
      <c r="Y89" s="71" t="n"/>
      <c r="Z89" s="69" t="n"/>
      <c r="AA89" s="71" t="n"/>
      <c r="AB89" s="69" t="n"/>
      <c r="AC89" s="73">
        <f>IF(COUNT(S89,Y89,AA89)=0,"",SUM(S89,Y89,AA89))</f>
        <v/>
      </c>
      <c r="AD89" s="72">
        <f>IF(N(AC89)=0,"",SUM(V89,W89,X89,Z89,AB89)/AC89)</f>
        <v/>
      </c>
      <c r="AE89" s="71" t="n"/>
      <c r="AF89" s="71" t="n"/>
      <c r="AG89" s="71" t="n"/>
      <c r="AH89" s="73">
        <f>IF(COUNT(AE89,AF89,AG89)=0,"",SUM(AE89,AF89,AG89))</f>
        <v/>
      </c>
      <c r="AI89" s="71" t="n"/>
      <c r="AJ89" s="71" t="n"/>
      <c r="AK89" s="71" t="n"/>
      <c r="AL89" s="73">
        <f>IF(COUNT(AI89,AJ89,AK89)=0,"",SUM(AI89,AJ89,AK89))</f>
        <v/>
      </c>
      <c r="AM89" s="68">
        <f>IF(N(AC89)=0,"",IF(COUNT($AC$6:$AC$105)&lt;5,"Too early",IF(AC89&gt;=1.5*MEDIAN($AC$6:$AC$105),"Top",IF(AC89&lt;=0.5*MEDIAN($AC$6:$AC$105),"Low","Average"))))</f>
        <v/>
      </c>
      <c r="AN89" s="69" t="n"/>
      <c r="AO89" s="69" t="inlineStr">
        <is>
          <t>ted2</t>
        </is>
      </c>
      <c r="AP89" s="74" t="n"/>
      <c r="AQ89" s="74" t="n"/>
      <c r="AR89" s="74" t="n"/>
      <c r="AS89" s="74" t="n"/>
      <c r="AT89" s="74" t="n"/>
      <c r="AU89" s="74" t="n"/>
      <c r="AV89" s="64" t="inlineStr">
        <is>
          <t>Study reveal</t>
        </is>
      </c>
    </row>
    <row r="90" ht="60" customHeight="1" s="62">
      <c r="A90" s="68" t="n">
        <v>85</v>
      </c>
      <c r="B90" s="68" t="inlineStr">
        <is>
          <t>Digital life and consumer behavior</t>
        </is>
      </c>
      <c r="C90" s="68" t="inlineStr">
        <is>
          <t>Fear of missing out</t>
        </is>
      </c>
      <c r="D90" s="68" t="inlineStr">
        <is>
          <t>What do you imagine happening while you're offline?</t>
        </is>
      </c>
      <c r="E90" s="68" t="inlineStr">
        <is>
          <t>Explore imagined exclusion and tradeoffs in attention.</t>
        </is>
      </c>
      <c r="F90" s="68" t="inlineStr">
        <is>
          <t>Phone beside real-life activity</t>
        </is>
      </c>
      <c r="G90" s="68" t="n">
        <v>45</v>
      </c>
      <c r="H90" s="68" t="inlineStr">
        <is>
          <t>Published</t>
        </is>
      </c>
      <c r="I90" s="69" t="n">
        <v>36</v>
      </c>
      <c r="J90" s="69" t="inlineStr">
        <is>
          <t>Strong</t>
        </is>
      </c>
      <c r="K90" s="69" t="inlineStr">
        <is>
          <t>fomo</t>
        </is>
      </c>
      <c r="L90" s="70" t="n">
        <v>46316</v>
      </c>
      <c r="M90" s="68">
        <f>IF(L90="","",TEXT(L90,"ddd"))</f>
        <v/>
      </c>
      <c r="N90" s="69" t="n"/>
      <c r="O90" s="69" t="n">
        <v>35</v>
      </c>
      <c r="P90" s="69" t="inlineStr">
        <is>
          <t>What Your Brain Imagines When You're Offline #shorts</t>
        </is>
      </c>
      <c r="Q90" s="69" t="inlineStr">
        <is>
          <t>Przybylski et al. 2013, Computers in Human Behavior 29(4):1841-1848; FOMO correlates w/ lower mood &amp; life satisfaction, social media in lectures/driving</t>
        </is>
      </c>
      <c r="R90" s="69" t="inlineStr">
        <is>
          <t>buffer:youtube=6ad7ca15028de2f3133ebe32;instagram=6ad7ca15ed28fb758abb6e31;tiktok=6ad7ca16c7c690a98f8decce</t>
        </is>
      </c>
      <c r="S90" s="71" t="n"/>
      <c r="T90" s="69" t="n"/>
      <c r="U90" s="72">
        <f>IF(OR(T90="",N(O90)=0),"",T90/O90)</f>
        <v/>
      </c>
      <c r="V90" s="69" t="n"/>
      <c r="W90" s="69" t="n"/>
      <c r="X90" s="69" t="n"/>
      <c r="Y90" s="71" t="n"/>
      <c r="Z90" s="69" t="n"/>
      <c r="AA90" s="71" t="n"/>
      <c r="AB90" s="69" t="n"/>
      <c r="AC90" s="73">
        <f>IF(COUNT(S90,Y90,AA90)=0,"",SUM(S90,Y90,AA90))</f>
        <v/>
      </c>
      <c r="AD90" s="72">
        <f>IF(N(AC90)=0,"",SUM(V90,W90,X90,Z90,AB90)/AC90)</f>
        <v/>
      </c>
      <c r="AE90" s="71" t="n"/>
      <c r="AF90" s="71" t="n"/>
      <c r="AG90" s="71" t="n"/>
      <c r="AH90" s="73">
        <f>IF(COUNT(AE90,AF90,AG90)=0,"",SUM(AE90,AF90,AG90))</f>
        <v/>
      </c>
      <c r="AI90" s="71" t="n"/>
      <c r="AJ90" s="71" t="n"/>
      <c r="AK90" s="71" t="n"/>
      <c r="AL90" s="73">
        <f>IF(COUNT(AI90,AJ90,AK90)=0,"",SUM(AI90,AJ90,AK90))</f>
        <v/>
      </c>
      <c r="AM90" s="68">
        <f>IF(N(AC90)=0,"",IF(COUNT($AC$6:$AC$105)&lt;5,"Too early",IF(AC90&gt;=1.5*MEDIAN($AC$6:$AC$105),"Top",IF(AC90&lt;=0.5*MEDIAN($AC$6:$AC$105),"Low","Average"))))</f>
        <v/>
      </c>
      <c r="AN90" s="69" t="n"/>
      <c r="AO90" s="69" t="inlineStr">
        <is>
          <t>ted2</t>
        </is>
      </c>
      <c r="AP90" s="74" t="n"/>
      <c r="AQ90" s="74" t="n"/>
      <c r="AR90" s="74" t="n"/>
      <c r="AS90" s="74" t="n"/>
      <c r="AT90" s="74" t="n"/>
      <c r="AU90" s="74" t="n"/>
      <c r="AV90" s="64" t="inlineStr">
        <is>
          <t>You-callout</t>
        </is>
      </c>
    </row>
    <row r="91" ht="60" customHeight="1" s="62">
      <c r="A91" s="68" t="n">
        <v>86</v>
      </c>
      <c r="B91" s="68" t="inlineStr">
        <is>
          <t>Digital life and consumer behavior</t>
        </is>
      </c>
      <c r="C91" s="68" t="inlineStr">
        <is>
          <t>Loss-aversion marketing</t>
        </is>
      </c>
      <c r="D91" s="68" t="inlineStr">
        <is>
          <t>Why does 'don't miss out' feel different from 'you could gain'?</t>
        </is>
      </c>
      <c r="E91" s="68" t="inlineStr">
        <is>
          <t>Compare loss and gain language without claiming everyone responds alike.</t>
        </is>
      </c>
      <c r="F91" s="68" t="inlineStr">
        <is>
          <t>Two promotional cards</t>
        </is>
      </c>
      <c r="G91" s="68" t="n">
        <v>45</v>
      </c>
      <c r="H91" s="68" t="inlineStr">
        <is>
          <t>Vetoed</t>
        </is>
      </c>
      <c r="I91" s="69" t="n">
        <v>43</v>
      </c>
      <c r="J91" s="69" t="inlineStr">
        <is>
          <t>Strong</t>
        </is>
      </c>
      <c r="K91" s="69" t="inlineStr">
        <is>
          <t>loss-framing</t>
        </is>
      </c>
      <c r="L91" s="70" t="n"/>
      <c r="M91" s="68">
        <f>IF(L91="","",TEXT(L91,"ddd"))</f>
        <v/>
      </c>
      <c r="N91" s="69" t="inlineStr">
        <is>
          <t>thoughts</t>
        </is>
      </c>
      <c r="O91" s="69" t="n"/>
      <c r="P91" s="69" t="n"/>
      <c r="Q91" s="69" t="inlineStr">
        <is>
          <t>Tversky &amp; Kahneman 1981, Science 211(4481):453-458; 200 saved 72% vs 400 die 22%</t>
        </is>
      </c>
      <c r="R91" s="69" t="n"/>
      <c r="S91" s="71" t="n"/>
      <c r="T91" s="69" t="n"/>
      <c r="U91" s="72">
        <f>IF(OR(T91="",N(O91)=0),"",T91/O91)</f>
        <v/>
      </c>
      <c r="V91" s="69" t="n"/>
      <c r="W91" s="69" t="n"/>
      <c r="X91" s="69" t="n"/>
      <c r="Y91" s="71" t="n"/>
      <c r="Z91" s="69" t="n"/>
      <c r="AA91" s="71" t="n"/>
      <c r="AB91" s="69" t="n"/>
      <c r="AC91" s="73">
        <f>IF(COUNT(S91,Y91,AA91)=0,"",SUM(S91,Y91,AA91))</f>
        <v/>
      </c>
      <c r="AD91" s="72">
        <f>IF(N(AC91)=0,"",SUM(V91,W91,X91,Z91,AB91)/AC91)</f>
        <v/>
      </c>
      <c r="AE91" s="71" t="n"/>
      <c r="AF91" s="71" t="n"/>
      <c r="AG91" s="71" t="n"/>
      <c r="AH91" s="73">
        <f>IF(COUNT(AE91,AF91,AG91)=0,"",SUM(AE91,AF91,AG91))</f>
        <v/>
      </c>
      <c r="AI91" s="71" t="n"/>
      <c r="AJ91" s="71" t="n"/>
      <c r="AK91" s="71" t="n"/>
      <c r="AL91" s="73">
        <f>IF(COUNT(AI91,AJ91,AK91)=0,"",SUM(AI91,AJ91,AK91))</f>
        <v/>
      </c>
      <c r="AM91" s="68">
        <f>IF(N(AC91)=0,"",IF(COUNT($AC$6:$AC$105)&lt;5,"Too early",IF(AC91&gt;=1.5*MEDIAN($AC$6:$AC$105),"Top",IF(AC91&lt;=0.5*MEDIAN($AC$6:$AC$105),"Low","Average"))))</f>
        <v/>
      </c>
      <c r="AN91" s="69" t="inlineStr">
        <is>
          <t>2026-10-22: replaced by the pattern test (Shivam)</t>
        </is>
      </c>
      <c r="AO91" s="69" t="inlineStr">
        <is>
          <t>ted2</t>
        </is>
      </c>
      <c r="AP91" s="74" t="n"/>
      <c r="AQ91" s="74" t="n"/>
      <c r="AR91" s="74" t="n"/>
      <c r="AS91" s="74" t="n"/>
      <c r="AT91" s="74" t="n"/>
      <c r="AU91" s="74" t="n"/>
      <c r="AV91" s="64" t="inlineStr">
        <is>
          <t>Contrarian</t>
        </is>
      </c>
    </row>
    <row r="92" ht="60" customHeight="1" s="62">
      <c r="A92" s="68" t="n">
        <v>87</v>
      </c>
      <c r="B92" s="68" t="inlineStr">
        <is>
          <t>Digital life and consumer behavior</t>
        </is>
      </c>
      <c r="C92" s="68" t="inlineStr">
        <is>
          <t>Scarcity cues</t>
        </is>
      </c>
      <c r="D92" s="68" t="inlineStr">
        <is>
          <t>Would you want it as much without 'only two left'?</t>
        </is>
      </c>
      <c r="E92" s="68" t="inlineStr">
        <is>
          <t>Examine urgency cues and distinguish real from manufactured scarcity.</t>
        </is>
      </c>
      <c r="F92" s="68" t="inlineStr">
        <is>
          <t>Mock stock counter</t>
        </is>
      </c>
      <c r="G92" s="68" t="n">
        <v>45</v>
      </c>
      <c r="H92" s="68" t="inlineStr">
        <is>
          <t>Vetoed</t>
        </is>
      </c>
      <c r="I92" s="69" t="n">
        <v>50</v>
      </c>
      <c r="J92" s="69" t="inlineStr">
        <is>
          <t>Strong</t>
        </is>
      </c>
      <c r="K92" s="69" t="n"/>
      <c r="L92" s="70" t="n"/>
      <c r="M92" s="68">
        <f>IF(L92="","",TEXT(L92,"ddd"))</f>
        <v/>
      </c>
      <c r="N92" s="69" t="n"/>
      <c r="O92" s="69" t="n"/>
      <c r="P92" s="69" t="n"/>
      <c r="Q92" s="69" t="n"/>
      <c r="R92" s="69" t="n"/>
      <c r="S92" s="71" t="n"/>
      <c r="T92" s="69" t="n"/>
      <c r="U92" s="72">
        <f>IF(OR(T92="",N(O92)=0),"",T92/O92)</f>
        <v/>
      </c>
      <c r="V92" s="69" t="n"/>
      <c r="W92" s="69" t="n"/>
      <c r="X92" s="69" t="n"/>
      <c r="Y92" s="71" t="n"/>
      <c r="Z92" s="69" t="n"/>
      <c r="AA92" s="71" t="n"/>
      <c r="AB92" s="69" t="n"/>
      <c r="AC92" s="73">
        <f>IF(COUNT(S92,Y92,AA92)=0,"",SUM(S92,Y92,AA92))</f>
        <v/>
      </c>
      <c r="AD92" s="72">
        <f>IF(N(AC92)=0,"",SUM(V92,W92,X92,Z92,AB92)/AC92)</f>
        <v/>
      </c>
      <c r="AE92" s="71" t="n"/>
      <c r="AF92" s="71" t="n"/>
      <c r="AG92" s="71" t="n"/>
      <c r="AH92" s="73">
        <f>IF(COUNT(AE92,AF92,AG92)=0,"",SUM(AE92,AF92,AG92))</f>
        <v/>
      </c>
      <c r="AI92" s="71" t="n"/>
      <c r="AJ92" s="71" t="n"/>
      <c r="AK92" s="71" t="n"/>
      <c r="AL92" s="73">
        <f>IF(COUNT(AI92,AJ92,AK92)=0,"",SUM(AI92,AJ92,AK92))</f>
        <v/>
      </c>
      <c r="AM92" s="68">
        <f>IF(N(AC92)=0,"",IF(COUNT($AC$6:$AC$105)&lt;5,"Too early",IF(AC92&gt;=1.5*MEDIAN($AC$6:$AC$105),"Top",IF(AC92&lt;=0.5*MEDIAN($AC$6:$AC$105),"Low","Average"))))</f>
        <v/>
      </c>
      <c r="AN92" s="69" t="inlineStr">
        <is>
          <t>2026-10-22: replaced by the pattern test (Shivam)</t>
        </is>
      </c>
      <c r="AO92" s="69" t="inlineStr">
        <is>
          <t>dossier</t>
        </is>
      </c>
      <c r="AP92" s="74" t="n"/>
      <c r="AQ92" s="74" t="n"/>
      <c r="AR92" s="74" t="n"/>
      <c r="AS92" s="74" t="n"/>
      <c r="AT92" s="74" t="n"/>
      <c r="AU92" s="74" t="n"/>
      <c r="AV92" s="64" t="inlineStr">
        <is>
          <t>Study reveal</t>
        </is>
      </c>
    </row>
    <row r="93" ht="60" customHeight="1" s="62">
      <c r="A93" s="68" t="n">
        <v>88</v>
      </c>
      <c r="B93" s="68" t="inlineStr">
        <is>
          <t>Digital life and consumer behavior</t>
        </is>
      </c>
      <c r="C93" s="68" t="inlineStr">
        <is>
          <t>The decoy effect</t>
        </is>
      </c>
      <c r="D93" s="68" t="inlineStr">
        <is>
          <t>Can a third option change which deal looks best?</t>
        </is>
      </c>
      <c r="E93" s="68" t="inlineStr">
        <is>
          <t>Present two subscription choices and then add a decoy.</t>
        </is>
      </c>
      <c r="F93" s="68" t="inlineStr">
        <is>
          <t>Three pricing cards</t>
        </is>
      </c>
      <c r="G93" s="68" t="n">
        <v>45</v>
      </c>
      <c r="H93" s="68" t="inlineStr">
        <is>
          <t>Vetoed</t>
        </is>
      </c>
      <c r="I93" s="69" t="n">
        <v>56</v>
      </c>
      <c r="J93" s="69" t="inlineStr">
        <is>
          <t>Strong</t>
        </is>
      </c>
      <c r="K93" s="69" t="n"/>
      <c r="L93" s="70" t="n"/>
      <c r="M93" s="68">
        <f>IF(L93="","",TEXT(L93,"ddd"))</f>
        <v/>
      </c>
      <c r="N93" s="69" t="n"/>
      <c r="O93" s="69" t="n"/>
      <c r="P93" s="69" t="n"/>
      <c r="Q93" s="69" t="n"/>
      <c r="R93" s="69" t="n"/>
      <c r="S93" s="71" t="n"/>
      <c r="T93" s="69" t="n"/>
      <c r="U93" s="72">
        <f>IF(OR(T93="",N(O93)=0),"",T93/O93)</f>
        <v/>
      </c>
      <c r="V93" s="69" t="n"/>
      <c r="W93" s="69" t="n"/>
      <c r="X93" s="69" t="n"/>
      <c r="Y93" s="71" t="n"/>
      <c r="Z93" s="69" t="n"/>
      <c r="AA93" s="71" t="n"/>
      <c r="AB93" s="69" t="n"/>
      <c r="AC93" s="73">
        <f>IF(COUNT(S93,Y93,AA93)=0,"",SUM(S93,Y93,AA93))</f>
        <v/>
      </c>
      <c r="AD93" s="72">
        <f>IF(N(AC93)=0,"",SUM(V93,W93,X93,Z93,AB93)/AC93)</f>
        <v/>
      </c>
      <c r="AE93" s="71" t="n"/>
      <c r="AF93" s="71" t="n"/>
      <c r="AG93" s="71" t="n"/>
      <c r="AH93" s="73">
        <f>IF(COUNT(AE93,AF93,AG93)=0,"",SUM(AE93,AF93,AG93))</f>
        <v/>
      </c>
      <c r="AI93" s="71" t="n"/>
      <c r="AJ93" s="71" t="n"/>
      <c r="AK93" s="71" t="n"/>
      <c r="AL93" s="73">
        <f>IF(COUNT(AI93,AJ93,AK93)=0,"",SUM(AI93,AJ93,AK93))</f>
        <v/>
      </c>
      <c r="AM93" s="68">
        <f>IF(N(AC93)=0,"",IF(COUNT($AC$6:$AC$105)&lt;5,"Too early",IF(AC93&gt;=1.5*MEDIAN($AC$6:$AC$105),"Top",IF(AC93&lt;=0.5*MEDIAN($AC$6:$AC$105),"Low","Average"))))</f>
        <v/>
      </c>
      <c r="AN93" s="69" t="inlineStr">
        <is>
          <t>2026-10-22: replaced by the pattern test (Shivam)</t>
        </is>
      </c>
      <c r="AO93" s="69" t="inlineStr">
        <is>
          <t>keynote</t>
        </is>
      </c>
      <c r="AP93" s="74" t="n"/>
      <c r="AQ93" s="74" t="n"/>
      <c r="AR93" s="74" t="n"/>
      <c r="AS93" s="74" t="n"/>
      <c r="AT93" s="74" t="n"/>
      <c r="AU93" s="74" t="n"/>
      <c r="AV93" s="64" t="inlineStr">
        <is>
          <t>Study reveal</t>
        </is>
      </c>
    </row>
    <row r="94" ht="60" customHeight="1" s="62">
      <c r="A94" s="68" t="n">
        <v>89</v>
      </c>
      <c r="B94" s="68" t="inlineStr">
        <is>
          <t>Digital life and consumer behavior</t>
        </is>
      </c>
      <c r="C94" s="68" t="inlineStr">
        <is>
          <t>Mental accounting</t>
        </is>
      </c>
      <c r="D94" s="68" t="inlineStr">
        <is>
          <t>Why does a gift card feel different from cash?</t>
        </is>
      </c>
      <c r="E94" s="68" t="inlineStr">
        <is>
          <t>Compare decisions involving money labeled for different purposes.</t>
        </is>
      </c>
      <c r="F94" s="68" t="inlineStr">
        <is>
          <t>Two budget envelopes</t>
        </is>
      </c>
      <c r="G94" s="68" t="n">
        <v>45</v>
      </c>
      <c r="H94" s="68" t="inlineStr">
        <is>
          <t>Vetoed</t>
        </is>
      </c>
      <c r="I94" s="69" t="n">
        <v>62</v>
      </c>
      <c r="J94" s="69" t="inlineStr">
        <is>
          <t>Strong</t>
        </is>
      </c>
      <c r="K94" s="69" t="n"/>
      <c r="L94" s="70" t="n"/>
      <c r="M94" s="68">
        <f>IF(L94="","",TEXT(L94,"ddd"))</f>
        <v/>
      </c>
      <c r="N94" s="69" t="n"/>
      <c r="O94" s="69" t="n"/>
      <c r="P94" s="69" t="n"/>
      <c r="Q94" s="69" t="n"/>
      <c r="R94" s="69" t="n"/>
      <c r="S94" s="71" t="n"/>
      <c r="T94" s="69" t="n"/>
      <c r="U94" s="72">
        <f>IF(OR(T94="",N(O94)=0),"",T94/O94)</f>
        <v/>
      </c>
      <c r="V94" s="69" t="n"/>
      <c r="W94" s="69" t="n"/>
      <c r="X94" s="69" t="n"/>
      <c r="Y94" s="71" t="n"/>
      <c r="Z94" s="69" t="n"/>
      <c r="AA94" s="71" t="n"/>
      <c r="AB94" s="69" t="n"/>
      <c r="AC94" s="73">
        <f>IF(COUNT(S94,Y94,AA94)=0,"",SUM(S94,Y94,AA94))</f>
        <v/>
      </c>
      <c r="AD94" s="72">
        <f>IF(N(AC94)=0,"",SUM(V94,W94,X94,Z94,AB94)/AC94)</f>
        <v/>
      </c>
      <c r="AE94" s="71" t="n"/>
      <c r="AF94" s="71" t="n"/>
      <c r="AG94" s="71" t="n"/>
      <c r="AH94" s="73">
        <f>IF(COUNT(AE94,AF94,AG94)=0,"",SUM(AE94,AF94,AG94))</f>
        <v/>
      </c>
      <c r="AI94" s="71" t="n"/>
      <c r="AJ94" s="71" t="n"/>
      <c r="AK94" s="71" t="n"/>
      <c r="AL94" s="73">
        <f>IF(COUNT(AI94,AJ94,AK94)=0,"",SUM(AI94,AJ94,AK94))</f>
        <v/>
      </c>
      <c r="AM94" s="68">
        <f>IF(N(AC94)=0,"",IF(COUNT($AC$6:$AC$105)&lt;5,"Too early",IF(AC94&gt;=1.5*MEDIAN($AC$6:$AC$105),"Top",IF(AC94&lt;=0.5*MEDIAN($AC$6:$AC$105),"Low","Average"))))</f>
        <v/>
      </c>
      <c r="AN94" s="69" t="inlineStr">
        <is>
          <t>2026-10-22: replaced by the pattern test (Shivam)</t>
        </is>
      </c>
      <c r="AO94" s="69" t="inlineStr">
        <is>
          <t>cartoon-50s</t>
        </is>
      </c>
      <c r="AP94" s="74" t="n"/>
      <c r="AQ94" s="74" t="n"/>
      <c r="AR94" s="74" t="n"/>
      <c r="AS94" s="74" t="n"/>
      <c r="AT94" s="74" t="n"/>
      <c r="AU94" s="74" t="n"/>
      <c r="AV94" s="64" t="inlineStr">
        <is>
          <t>Forced choice</t>
        </is>
      </c>
    </row>
    <row r="95" ht="60" customHeight="1" s="62">
      <c r="A95" s="68" t="n">
        <v>90</v>
      </c>
      <c r="B95" s="68" t="inlineStr">
        <is>
          <t>Digital life and consumer behavior</t>
        </is>
      </c>
      <c r="C95" s="68" t="inlineStr">
        <is>
          <t>The endowment effect</t>
        </is>
      </c>
      <c r="D95" s="68" t="inlineStr">
        <is>
          <t>Why might your used mug feel worth more to you?</t>
        </is>
      </c>
      <c r="E95" s="68" t="inlineStr">
        <is>
          <t>Compare owner and buyer valuations in a hypothetical exchange.</t>
        </is>
      </c>
      <c r="F95" s="68" t="inlineStr">
        <is>
          <t>Mug with two price tags</t>
        </is>
      </c>
      <c r="G95" s="68" t="n">
        <v>45</v>
      </c>
      <c r="H95" s="68" t="inlineStr">
        <is>
          <t>Vetoed</t>
        </is>
      </c>
      <c r="I95" s="69" t="n">
        <v>67</v>
      </c>
      <c r="J95" s="69" t="inlineStr">
        <is>
          <t>Strong</t>
        </is>
      </c>
      <c r="K95" s="69" t="n"/>
      <c r="L95" s="70" t="n"/>
      <c r="M95" s="68">
        <f>IF(L95="","",TEXT(L95,"ddd"))</f>
        <v/>
      </c>
      <c r="N95" s="69" t="n"/>
      <c r="O95" s="69" t="n"/>
      <c r="P95" s="69" t="n"/>
      <c r="Q95" s="69" t="n"/>
      <c r="R95" s="69" t="n"/>
      <c r="S95" s="71" t="n"/>
      <c r="T95" s="69" t="n"/>
      <c r="U95" s="72">
        <f>IF(OR(T95="",N(O95)=0),"",T95/O95)</f>
        <v/>
      </c>
      <c r="V95" s="69" t="n"/>
      <c r="W95" s="69" t="n"/>
      <c r="X95" s="69" t="n"/>
      <c r="Y95" s="71" t="n"/>
      <c r="Z95" s="69" t="n"/>
      <c r="AA95" s="71" t="n"/>
      <c r="AB95" s="69" t="n"/>
      <c r="AC95" s="73">
        <f>IF(COUNT(S95,Y95,AA95)=0,"",SUM(S95,Y95,AA95))</f>
        <v/>
      </c>
      <c r="AD95" s="72">
        <f>IF(N(AC95)=0,"",SUM(V95,W95,X95,Z95,AB95)/AC95)</f>
        <v/>
      </c>
      <c r="AE95" s="71" t="n"/>
      <c r="AF95" s="71" t="n"/>
      <c r="AG95" s="71" t="n"/>
      <c r="AH95" s="73">
        <f>IF(COUNT(AE95,AF95,AG95)=0,"",SUM(AE95,AF95,AG95))</f>
        <v/>
      </c>
      <c r="AI95" s="71" t="n"/>
      <c r="AJ95" s="71" t="n"/>
      <c r="AK95" s="71" t="n"/>
      <c r="AL95" s="73">
        <f>IF(COUNT(AI95,AJ95,AK95)=0,"",SUM(AI95,AJ95,AK95))</f>
        <v/>
      </c>
      <c r="AM95" s="68">
        <f>IF(N(AC95)=0,"",IF(COUNT($AC$6:$AC$105)&lt;5,"Too early",IF(AC95&gt;=1.5*MEDIAN($AC$6:$AC$105),"Top",IF(AC95&lt;=0.5*MEDIAN($AC$6:$AC$105),"Low","Average"))))</f>
        <v/>
      </c>
      <c r="AN95" s="69" t="inlineStr">
        <is>
          <t>2026-10-22: replaced by the pattern test (Shivam)</t>
        </is>
      </c>
      <c r="AO95" s="69" t="inlineStr">
        <is>
          <t>crayon</t>
        </is>
      </c>
      <c r="AP95" s="74" t="n"/>
      <c r="AQ95" s="74" t="n"/>
      <c r="AR95" s="74" t="n"/>
      <c r="AS95" s="74" t="n"/>
      <c r="AT95" s="74" t="n"/>
      <c r="AU95" s="74" t="n"/>
      <c r="AV95" s="64" t="inlineStr">
        <is>
          <t>Study reveal</t>
        </is>
      </c>
    </row>
    <row r="96" ht="60" customHeight="1" s="62">
      <c r="A96" s="68" t="n">
        <v>91</v>
      </c>
      <c r="B96" s="68" t="inlineStr">
        <is>
          <t>Psychology myths and interactive demos</t>
        </is>
      </c>
      <c r="C96" s="68" t="inlineStr">
        <is>
          <t>Learning-style labels</t>
        </is>
      </c>
      <c r="D96" s="68" t="inlineStr">
        <is>
          <t>Does preferring videos mean you learn only visually?</t>
        </is>
      </c>
      <c r="E96" s="68" t="inlineStr">
        <is>
          <t>Separate learning preferences from claims about matching instruction.</t>
        </is>
      </c>
      <c r="F96" s="68" t="inlineStr">
        <is>
          <t>Video, text, and practice cards</t>
        </is>
      </c>
      <c r="G96" s="68" t="n">
        <v>45</v>
      </c>
      <c r="H96" s="68" t="inlineStr">
        <is>
          <t>Vetoed</t>
        </is>
      </c>
      <c r="I96" s="69" t="n">
        <v>10</v>
      </c>
      <c r="J96" s="69" t="inlineStr">
        <is>
          <t>Strong</t>
        </is>
      </c>
      <c r="K96" s="69" t="inlineStr">
        <is>
          <t>learning-styles-myth</t>
        </is>
      </c>
      <c r="L96" s="70" t="n">
        <v>46310</v>
      </c>
      <c r="M96" s="68">
        <f>IF(L96="","",TEXT(L96,"ddd"))</f>
        <v/>
      </c>
      <c r="N96" s="69" t="inlineStr">
        <is>
          <t>thoughts</t>
        </is>
      </c>
      <c r="O96" s="69" t="n">
        <v>24</v>
      </c>
      <c r="P96" s="69" t="inlineStr">
        <is>
          <t>The Learning Styles Myth Most Teachers Believe #shorts</t>
        </is>
      </c>
      <c r="Q96" s="69" t="inlineStr">
        <is>
          <t>Dekker et al. 2012, Frontiers in Psychology 3:429, Table 1: 93% UK / 96% NL; Pashler et al. 2008, PSPI 9(3)</t>
        </is>
      </c>
      <c r="R96" s="69" t="inlineStr">
        <is>
          <t>buffer:youtube=6acfed2d68efdf6f76c4354c;instagram=6acfed2ed7ed7764890a8dc5;tiktok=6acfed2e68efdf6f76c43581</t>
        </is>
      </c>
      <c r="S96" s="71" t="n"/>
      <c r="T96" s="69" t="n"/>
      <c r="U96" s="72">
        <f>IF(OR(T96="",N(O96)=0),"",T96/O96)</f>
        <v/>
      </c>
      <c r="V96" s="69" t="n"/>
      <c r="W96" s="69" t="n"/>
      <c r="X96" s="69" t="n"/>
      <c r="Y96" s="71" t="n"/>
      <c r="Z96" s="69" t="n"/>
      <c r="AA96" s="71" t="n"/>
      <c r="AB96" s="69" t="n"/>
      <c r="AC96" s="73">
        <f>IF(COUNT(S96,Y96,AA96)=0,"",SUM(S96,Y96,AA96))</f>
        <v/>
      </c>
      <c r="AD96" s="72">
        <f>IF(N(AC96)=0,"",SUM(V96,W96,X96,Z96,AB96)/AC96)</f>
        <v/>
      </c>
      <c r="AE96" s="71" t="n"/>
      <c r="AF96" s="71" t="n"/>
      <c r="AG96" s="71" t="n"/>
      <c r="AH96" s="73">
        <f>IF(COUNT(AE96,AF96,AG96)=0,"",SUM(AE96,AF96,AG96))</f>
        <v/>
      </c>
      <c r="AI96" s="71" t="n"/>
      <c r="AJ96" s="71" t="n"/>
      <c r="AK96" s="71" t="n"/>
      <c r="AL96" s="73">
        <f>IF(COUNT(AI96,AJ96,AK96)=0,"",SUM(AI96,AJ96,AK96))</f>
        <v/>
      </c>
      <c r="AM96" s="68">
        <f>IF(N(AC96)=0,"",IF(COUNT($AC$6:$AC$105)&lt;5,"Too early",IF(AC96&gt;=1.5*MEDIAN($AC$6:$AC$105),"Top",IF(AC96&lt;=0.5*MEDIAN($AC$6:$AC$105),"Low","Average"))))</f>
        <v/>
      </c>
      <c r="AN96" s="69" t="inlineStr">
        <is>
          <t>Cancelled in Buffer 2026-10-15 before posting: Shivam retired the 8-bit avatar format (Ted type 2 only)</t>
        </is>
      </c>
      <c r="AO96" s="69" t="inlineStr">
        <is>
          <t>whiteboard</t>
        </is>
      </c>
      <c r="AP96" s="74" t="n"/>
      <c r="AQ96" s="74" t="n"/>
      <c r="AR96" s="74" t="n"/>
      <c r="AS96" s="74" t="n"/>
      <c r="AT96" s="74" t="n"/>
      <c r="AU96" s="74" t="n"/>
      <c r="AV96" s="64" t="inlineStr">
        <is>
          <t>Contrarian</t>
        </is>
      </c>
    </row>
    <row r="97" ht="60" customHeight="1" s="62">
      <c r="A97" s="68" t="n">
        <v>92</v>
      </c>
      <c r="B97" s="68" t="inlineStr">
        <is>
          <t>Psychology myths and interactive demos</t>
        </is>
      </c>
      <c r="C97" s="68" t="inlineStr">
        <is>
          <t>Left-brain versus right-brain personalities</t>
        </is>
      </c>
      <c r="D97" s="68" t="inlineStr">
        <is>
          <t>Can a quiz really divide people into two brain types?</t>
        </is>
      </c>
      <c r="E97" s="68" t="inlineStr">
        <is>
          <t>Challenge the simplistic personality split.</t>
        </is>
      </c>
      <c r="F97" s="68" t="inlineStr">
        <is>
          <t>Brain with exaggerated labels removed</t>
        </is>
      </c>
      <c r="G97" s="68" t="n">
        <v>45</v>
      </c>
      <c r="H97" s="68" t="inlineStr">
        <is>
          <t>Published</t>
        </is>
      </c>
      <c r="I97" s="69" t="n">
        <v>20</v>
      </c>
      <c r="J97" s="69" t="inlineStr">
        <is>
          <t>Strong</t>
        </is>
      </c>
      <c r="K97" s="69" t="inlineStr">
        <is>
          <t>left-right-brain-myth</t>
        </is>
      </c>
      <c r="L97" s="70" t="n">
        <v>46310</v>
      </c>
      <c r="M97" s="68">
        <f>IF(L97="","",TEXT(L97,"ddd"))</f>
        <v/>
      </c>
      <c r="N97" s="69" t="n"/>
      <c r="O97" s="69" t="n">
        <v>34</v>
      </c>
      <c r="P97" s="69" t="inlineStr">
        <is>
          <t>Left-Brained or Right-Brained? 1,000 Brain Scans Say #shorts</t>
        </is>
      </c>
      <c r="Q97" s="69" t="inlineStr">
        <is>
          <t>Nielsen et al. 2013, PLOS ONE 8(8):e71275; 1,011 people aged 7-29, no whole-brain left/right dominance</t>
        </is>
      </c>
      <c r="R97" s="69" t="inlineStr">
        <is>
          <t>buffer:youtube=6ad14ad97998c185a61ca9af;tiktok=6ad14ada5533140b41cadc08</t>
        </is>
      </c>
      <c r="S97" s="71" t="n"/>
      <c r="T97" s="69" t="n"/>
      <c r="U97" s="72">
        <f>IF(OR(T97="",N(O97)=0),"",T97/O97)</f>
        <v/>
      </c>
      <c r="V97" s="69" t="n"/>
      <c r="W97" s="69" t="n"/>
      <c r="X97" s="69" t="n"/>
      <c r="Y97" s="71" t="n"/>
      <c r="Z97" s="69" t="n"/>
      <c r="AA97" s="71" t="n"/>
      <c r="AB97" s="69" t="n"/>
      <c r="AC97" s="73">
        <f>IF(COUNT(S97,Y97,AA97)=0,"",SUM(S97,Y97,AA97))</f>
        <v/>
      </c>
      <c r="AD97" s="72">
        <f>IF(N(AC97)=0,"",SUM(V97,W97,X97,Z97,AB97)/AC97)</f>
        <v/>
      </c>
      <c r="AE97" s="71" t="n"/>
      <c r="AF97" s="71" t="n"/>
      <c r="AG97" s="71" t="n"/>
      <c r="AH97" s="73">
        <f>IF(COUNT(AE97,AF97,AG97)=0,"",SUM(AE97,AF97,AG97))</f>
        <v/>
      </c>
      <c r="AI97" s="71" t="n"/>
      <c r="AJ97" s="71" t="n"/>
      <c r="AK97" s="71" t="n"/>
      <c r="AL97" s="73">
        <f>IF(COUNT(AI97,AJ97,AK97)=0,"",SUM(AI97,AJ97,AK97))</f>
        <v/>
      </c>
      <c r="AM97" s="68">
        <f>IF(N(AC97)=0,"",IF(COUNT($AC$6:$AC$105)&lt;5,"Too early",IF(AC97&gt;=1.5*MEDIAN($AC$6:$AC$105),"Top",IF(AC97&lt;=0.5*MEDIAN($AC$6:$AC$105),"Low","Average"))))</f>
        <v/>
      </c>
      <c r="AN97" s="69" t="n"/>
      <c r="AO97" s="69" t="inlineStr">
        <is>
          <t>ted2</t>
        </is>
      </c>
      <c r="AP97" s="74" t="n"/>
      <c r="AQ97" s="74" t="n"/>
      <c r="AR97" s="74" t="n"/>
      <c r="AS97" s="74" t="n"/>
      <c r="AT97" s="74" t="n"/>
      <c r="AU97" s="74" t="n"/>
      <c r="AV97" s="64" t="inlineStr">
        <is>
          <t>Contrarian</t>
        </is>
      </c>
    </row>
    <row r="98" ht="60" customHeight="1" s="62">
      <c r="A98" s="68" t="n">
        <v>93</v>
      </c>
      <c r="B98" s="68" t="inlineStr">
        <is>
          <t>Psychology myths and interactive demos</t>
        </is>
      </c>
      <c r="C98" s="68" t="inlineStr">
        <is>
          <t>The ten-percent brain myth</t>
        </is>
      </c>
      <c r="D98" s="68" t="inlineStr">
        <is>
          <t>Do we really leave most of the brain unused?</t>
        </is>
      </c>
      <c r="E98" s="68" t="inlineStr">
        <is>
          <t>Explain why the popular claim is misleading.</t>
        </is>
      </c>
      <c r="F98" s="68" t="inlineStr">
        <is>
          <t>Brain activity illustration</t>
        </is>
      </c>
      <c r="G98" s="68" t="n">
        <v>45</v>
      </c>
      <c r="H98" s="68" t="inlineStr">
        <is>
          <t>Published</t>
        </is>
      </c>
      <c r="I98" s="69" t="n">
        <v>29</v>
      </c>
      <c r="J98" s="69" t="inlineStr">
        <is>
          <t>Strong</t>
        </is>
      </c>
      <c r="K98" s="69" t="inlineStr">
        <is>
          <t>ten-percent-myth</t>
        </is>
      </c>
      <c r="L98" s="70" t="n">
        <v>46314</v>
      </c>
      <c r="M98" s="68">
        <f>IF(L98="","",TEXT(L98,"ddd"))</f>
        <v/>
      </c>
      <c r="N98" s="69" t="n"/>
      <c r="O98" s="69" t="n">
        <v>37</v>
      </c>
      <c r="P98" s="69" t="inlineStr">
        <is>
          <t>Do You Really Use Only 10% of Your Brain? #shorts</t>
        </is>
      </c>
      <c r="Q98" s="69" t="inlineStr">
        <is>
          <t>Beyerstein 1999, in Mind Myths (Della Sala ed.); imaging shows activity across all regions; brain ~2% body weight, ~20% energy</t>
        </is>
      </c>
      <c r="R98" s="69" t="inlineStr">
        <is>
          <t>buffer:youtube=6ad51441769b457934d63c00;tiktok=6ad514430a208cb32379c33b;instagram=6ad5279c938409f1d0e61830</t>
        </is>
      </c>
      <c r="S98" s="71" t="n"/>
      <c r="T98" s="69" t="n"/>
      <c r="U98" s="72">
        <f>IF(OR(T98="",N(O98)=0),"",T98/O98)</f>
        <v/>
      </c>
      <c r="V98" s="69" t="n"/>
      <c r="W98" s="69" t="n"/>
      <c r="X98" s="69" t="n"/>
      <c r="Y98" s="71" t="n"/>
      <c r="Z98" s="69" t="n"/>
      <c r="AA98" s="71" t="n"/>
      <c r="AB98" s="69" t="n"/>
      <c r="AC98" s="73">
        <f>IF(COUNT(S98,Y98,AA98)=0,"",SUM(S98,Y98,AA98))</f>
        <v/>
      </c>
      <c r="AD98" s="72">
        <f>IF(N(AC98)=0,"",SUM(V98,W98,X98,Z98,AB98)/AC98)</f>
        <v/>
      </c>
      <c r="AE98" s="71" t="n"/>
      <c r="AF98" s="71" t="n"/>
      <c r="AG98" s="71" t="n"/>
      <c r="AH98" s="73">
        <f>IF(COUNT(AE98,AF98,AG98)=0,"",SUM(AE98,AF98,AG98))</f>
        <v/>
      </c>
      <c r="AI98" s="71" t="n"/>
      <c r="AJ98" s="71" t="n"/>
      <c r="AK98" s="71" t="n"/>
      <c r="AL98" s="73">
        <f>IF(COUNT(AI98,AJ98,AK98)=0,"",SUM(AI98,AJ98,AK98))</f>
        <v/>
      </c>
      <c r="AM98" s="68">
        <f>IF(N(AC98)=0,"",IF(COUNT($AC$6:$AC$105)&lt;5,"Too early",IF(AC98&gt;=1.5*MEDIAN($AC$6:$AC$105),"Top",IF(AC98&lt;=0.5*MEDIAN($AC$6:$AC$105),"Low","Average"))))</f>
        <v/>
      </c>
      <c r="AN98" s="69" t="n"/>
      <c r="AO98" s="69" t="inlineStr">
        <is>
          <t>ted2</t>
        </is>
      </c>
      <c r="AP98" s="74" t="n"/>
      <c r="AQ98" s="74" t="n"/>
      <c r="AR98" s="74" t="n"/>
      <c r="AS98" s="74" t="n"/>
      <c r="AT98" s="74" t="n"/>
      <c r="AU98" s="74" t="n"/>
      <c r="AV98" s="64" t="inlineStr">
        <is>
          <t>Contrarian</t>
        </is>
      </c>
    </row>
    <row r="99" ht="60" customHeight="1" s="62">
      <c r="A99" s="68" t="n">
        <v>94</v>
      </c>
      <c r="B99" s="68" t="inlineStr">
        <is>
          <t>Psychology myths and interactive demos</t>
        </is>
      </c>
      <c r="C99" s="68" t="inlineStr">
        <is>
          <t>Body-language certainty</t>
        </is>
      </c>
      <c r="D99" s="68" t="inlineStr">
        <is>
          <t>Can crossed arms prove someone is lying?</t>
        </is>
      </c>
      <c r="E99" s="68" t="inlineStr">
        <is>
          <t>Show several ordinary explanations for one gesture.</t>
        </is>
      </c>
      <c r="F99" s="68" t="inlineStr">
        <is>
          <t>Cold room and crossed arms</t>
        </is>
      </c>
      <c r="G99" s="68" t="n">
        <v>45</v>
      </c>
      <c r="H99" s="68" t="inlineStr">
        <is>
          <t>Published</t>
        </is>
      </c>
      <c r="I99" s="69" t="n">
        <v>37</v>
      </c>
      <c r="J99" s="69" t="inlineStr">
        <is>
          <t>Strong</t>
        </is>
      </c>
      <c r="K99" s="69" t="inlineStr">
        <is>
          <t>body-language-lies</t>
        </is>
      </c>
      <c r="L99" s="70" t="n">
        <v>46316</v>
      </c>
      <c r="M99" s="68">
        <f>IF(L99="","",TEXT(L99,"ddd"))</f>
        <v/>
      </c>
      <c r="N99" s="69" t="n"/>
      <c r="O99" s="69" t="n">
        <v>35</v>
      </c>
      <c r="P99" s="69" t="inlineStr">
        <is>
          <t>Can Crossed Arms Really Reveal a Liar? #shorts</t>
        </is>
      </c>
      <c r="Q99" s="69" t="inlineStr">
        <is>
          <t>Bond &amp; DePaulo 2006, PSPR 10(3):214-234; 206 studies, ~24,000 judges, 54% accuracy</t>
        </is>
      </c>
      <c r="R99" s="69" t="inlineStr">
        <is>
          <t>buffer:youtube=6ad7ca17ed28fb758abb71d4;instagram=6ad7ca17c7c690a98f8ded19;tiktok=6ad7ca18ed28fb758abb7228</t>
        </is>
      </c>
      <c r="S99" s="71" t="n"/>
      <c r="T99" s="69" t="n"/>
      <c r="U99" s="72">
        <f>IF(OR(T99="",N(O99)=0),"",T99/O99)</f>
        <v/>
      </c>
      <c r="V99" s="69" t="n"/>
      <c r="W99" s="69" t="n"/>
      <c r="X99" s="69" t="n"/>
      <c r="Y99" s="71" t="n"/>
      <c r="Z99" s="69" t="n"/>
      <c r="AA99" s="71" t="n"/>
      <c r="AB99" s="69" t="n"/>
      <c r="AC99" s="73">
        <f>IF(COUNT(S99,Y99,AA99)=0,"",SUM(S99,Y99,AA99))</f>
        <v/>
      </c>
      <c r="AD99" s="72">
        <f>IF(N(AC99)=0,"",SUM(V99,W99,X99,Z99,AB99)/AC99)</f>
        <v/>
      </c>
      <c r="AE99" s="71" t="n"/>
      <c r="AF99" s="71" t="n"/>
      <c r="AG99" s="71" t="n"/>
      <c r="AH99" s="73">
        <f>IF(COUNT(AE99,AF99,AG99)=0,"",SUM(AE99,AF99,AG99))</f>
        <v/>
      </c>
      <c r="AI99" s="71" t="n"/>
      <c r="AJ99" s="71" t="n"/>
      <c r="AK99" s="71" t="n"/>
      <c r="AL99" s="73">
        <f>IF(COUNT(AI99,AJ99,AK99)=0,"",SUM(AI99,AJ99,AK99))</f>
        <v/>
      </c>
      <c r="AM99" s="68">
        <f>IF(N(AC99)=0,"",IF(COUNT($AC$6:$AC$105)&lt;5,"Too early",IF(AC99&gt;=1.5*MEDIAN($AC$6:$AC$105),"Top",IF(AC99&lt;=0.5*MEDIAN($AC$6:$AC$105),"Low","Average"))))</f>
        <v/>
      </c>
      <c r="AN99" s="69" t="n"/>
      <c r="AO99" s="69" t="inlineStr">
        <is>
          <t>ted2</t>
        </is>
      </c>
      <c r="AP99" s="74" t="n"/>
      <c r="AQ99" s="74" t="n"/>
      <c r="AR99" s="74" t="n"/>
      <c r="AS99" s="74" t="n"/>
      <c r="AT99" s="74" t="n"/>
      <c r="AU99" s="74" t="n"/>
      <c r="AV99" s="64" t="inlineStr">
        <is>
          <t>Study reveal</t>
        </is>
      </c>
    </row>
    <row r="100" ht="60" customHeight="1" s="62">
      <c r="A100" s="68" t="n">
        <v>95</v>
      </c>
      <c r="B100" s="68" t="inlineStr">
        <is>
          <t>Psychology myths and interactive demos</t>
        </is>
      </c>
      <c r="C100" s="68" t="inlineStr">
        <is>
          <t>Personality quizzes</t>
        </is>
      </c>
      <c r="D100" s="68" t="inlineStr">
        <is>
          <t>Why can a vague description feel uniquely accurate?</t>
        </is>
      </c>
      <c r="E100" s="68" t="inlineStr">
        <is>
          <t>Use a generic statement to introduce the Barnum effect.</t>
        </is>
      </c>
      <c r="F100" s="68" t="inlineStr">
        <is>
          <t>Same profile handed to several people</t>
        </is>
      </c>
      <c r="G100" s="68" t="n">
        <v>45</v>
      </c>
      <c r="H100" s="68" t="inlineStr">
        <is>
          <t>Vetoed</t>
        </is>
      </c>
      <c r="I100" s="69" t="n">
        <v>44</v>
      </c>
      <c r="J100" s="69" t="inlineStr">
        <is>
          <t>Strong</t>
        </is>
      </c>
      <c r="K100" s="69" t="inlineStr">
        <is>
          <t>barnum-quiz</t>
        </is>
      </c>
      <c r="L100" s="70" t="n"/>
      <c r="M100" s="68">
        <f>IF(L100="","",TEXT(L100,"ddd"))</f>
        <v/>
      </c>
      <c r="N100" s="69" t="inlineStr">
        <is>
          <t>Study reveal</t>
        </is>
      </c>
      <c r="O100" s="69" t="n"/>
      <c r="P100" s="69" t="n"/>
      <c r="Q100" s="69" t="inlineStr">
        <is>
          <t>Forer 1949 (experiment 1948), mean accuracy 4.26/5 (Wikipedia: Bertram Forer)</t>
        </is>
      </c>
      <c r="R100" s="69" t="n"/>
      <c r="S100" s="71" t="n"/>
      <c r="T100" s="69" t="n"/>
      <c r="U100" s="72">
        <f>IF(OR(T100="",N(O100)=0),"",T100/O100)</f>
        <v/>
      </c>
      <c r="V100" s="69" t="n"/>
      <c r="W100" s="69" t="n"/>
      <c r="X100" s="69" t="n"/>
      <c r="Y100" s="71" t="n"/>
      <c r="Z100" s="69" t="n"/>
      <c r="AA100" s="71" t="n"/>
      <c r="AB100" s="69" t="n"/>
      <c r="AC100" s="73">
        <f>IF(COUNT(S100,Y100,AA100)=0,"",SUM(S100,Y100,AA100))</f>
        <v/>
      </c>
      <c r="AD100" s="72">
        <f>IF(N(AC100)=0,"",SUM(V100,W100,X100,Z100,AB100)/AC100)</f>
        <v/>
      </c>
      <c r="AE100" s="71" t="n"/>
      <c r="AF100" s="71" t="n"/>
      <c r="AG100" s="71" t="n"/>
      <c r="AH100" s="73">
        <f>IF(COUNT(AE100,AF100,AG100)=0,"",SUM(AE100,AF100,AG100))</f>
        <v/>
      </c>
      <c r="AI100" s="71" t="n"/>
      <c r="AJ100" s="71" t="n"/>
      <c r="AK100" s="71" t="n"/>
      <c r="AL100" s="73">
        <f>IF(COUNT(AI100,AJ100,AK100)=0,"",SUM(AI100,AJ100,AK100))</f>
        <v/>
      </c>
      <c r="AM100" s="68">
        <f>IF(N(AC100)=0,"",IF(COUNT($AC$6:$AC$105)&lt;5,"Too early",IF(AC100&gt;=1.5*MEDIAN($AC$6:$AC$105),"Top",IF(AC100&lt;=0.5*MEDIAN($AC$6:$AC$105),"Low","Average"))))</f>
        <v/>
      </c>
      <c r="AN100" s="69" t="inlineStr">
        <is>
          <t>2026-10-22: replaced by the pattern test (Shivam)</t>
        </is>
      </c>
      <c r="AO100" s="69" t="inlineStr">
        <is>
          <t>ted2</t>
        </is>
      </c>
      <c r="AP100" s="74" t="n"/>
      <c r="AQ100" s="74" t="n"/>
      <c r="AR100" s="74" t="n"/>
      <c r="AS100" s="74" t="n"/>
      <c r="AT100" s="74" t="n"/>
      <c r="AU100" s="74" t="n"/>
      <c r="AV100" s="64" t="inlineStr">
        <is>
          <t>Study reveal</t>
        </is>
      </c>
    </row>
    <row r="101" ht="60" customHeight="1" s="62">
      <c r="A101" s="68" t="n">
        <v>96</v>
      </c>
      <c r="B101" s="68" t="inlineStr">
        <is>
          <t>Psychology myths and interactive demos</t>
        </is>
      </c>
      <c r="C101" s="68" t="inlineStr">
        <is>
          <t>Memory confidence</t>
        </is>
      </c>
      <c r="D101" s="68" t="inlineStr">
        <is>
          <t>Can you be confident and still remember incorrectly?</t>
        </is>
      </c>
      <c r="E101" s="68" t="inlineStr">
        <is>
          <t>Compare confidence with checked details of a staged event.</t>
        </is>
      </c>
      <c r="F101" s="68" t="inlineStr">
        <is>
          <t>Confidence meter and fact check</t>
        </is>
      </c>
      <c r="G101" s="68" t="n">
        <v>45</v>
      </c>
      <c r="H101" s="68" t="inlineStr">
        <is>
          <t>Vetoed</t>
        </is>
      </c>
      <c r="I101" s="69" t="n">
        <v>51</v>
      </c>
      <c r="J101" s="69" t="inlineStr">
        <is>
          <t>Strong</t>
        </is>
      </c>
      <c r="K101" s="69" t="n"/>
      <c r="L101" s="70" t="n"/>
      <c r="M101" s="68">
        <f>IF(L101="","",TEXT(L101,"ddd"))</f>
        <v/>
      </c>
      <c r="N101" s="69" t="n"/>
      <c r="O101" s="69" t="n"/>
      <c r="P101" s="69" t="n"/>
      <c r="Q101" s="69" t="n"/>
      <c r="R101" s="69" t="n"/>
      <c r="S101" s="71" t="n"/>
      <c r="T101" s="69" t="n"/>
      <c r="U101" s="72">
        <f>IF(OR(T101="",N(O101)=0),"",T101/O101)</f>
        <v/>
      </c>
      <c r="V101" s="69" t="n"/>
      <c r="W101" s="69" t="n"/>
      <c r="X101" s="69" t="n"/>
      <c r="Y101" s="71" t="n"/>
      <c r="Z101" s="69" t="n"/>
      <c r="AA101" s="71" t="n"/>
      <c r="AB101" s="69" t="n"/>
      <c r="AC101" s="73">
        <f>IF(COUNT(S101,Y101,AA101)=0,"",SUM(S101,Y101,AA101))</f>
        <v/>
      </c>
      <c r="AD101" s="72">
        <f>IF(N(AC101)=0,"",SUM(V101,W101,X101,Z101,AB101)/AC101)</f>
        <v/>
      </c>
      <c r="AE101" s="71" t="n"/>
      <c r="AF101" s="71" t="n"/>
      <c r="AG101" s="71" t="n"/>
      <c r="AH101" s="73">
        <f>IF(COUNT(AE101,AF101,AG101)=0,"",SUM(AE101,AF101,AG101))</f>
        <v/>
      </c>
      <c r="AI101" s="71" t="n"/>
      <c r="AJ101" s="71" t="n"/>
      <c r="AK101" s="71" t="n"/>
      <c r="AL101" s="73">
        <f>IF(COUNT(AI101,AJ101,AK101)=0,"",SUM(AI101,AJ101,AK101))</f>
        <v/>
      </c>
      <c r="AM101" s="68">
        <f>IF(N(AC101)=0,"",IF(COUNT($AC$6:$AC$105)&lt;5,"Too early",IF(AC101&gt;=1.5*MEDIAN($AC$6:$AC$105),"Top",IF(AC101&lt;=0.5*MEDIAN($AC$6:$AC$105),"Low","Average"))))</f>
        <v/>
      </c>
      <c r="AN101" s="69" t="inlineStr">
        <is>
          <t>2026-10-22: replaced by the pattern test (Shivam)</t>
        </is>
      </c>
      <c r="AO101" s="69" t="inlineStr">
        <is>
          <t>one-line</t>
        </is>
      </c>
      <c r="AP101" s="74" t="n"/>
      <c r="AQ101" s="74" t="n"/>
      <c r="AR101" s="74" t="n"/>
      <c r="AS101" s="74" t="n"/>
      <c r="AT101" s="74" t="n"/>
      <c r="AU101" s="74" t="n"/>
      <c r="AV101" s="64" t="inlineStr">
        <is>
          <t>Study reveal</t>
        </is>
      </c>
    </row>
    <row r="102" ht="60" customHeight="1" s="62">
      <c r="A102" s="68" t="n">
        <v>97</v>
      </c>
      <c r="B102" s="68" t="inlineStr">
        <is>
          <t>Psychology myths and interactive demos</t>
        </is>
      </c>
      <c r="C102" s="68" t="inlineStr">
        <is>
          <t>Correlation versus causation</t>
        </is>
      </c>
      <c r="D102" s="68" t="inlineStr">
        <is>
          <t>Do ice cream sales cause swimming accidents?</t>
        </is>
      </c>
      <c r="E102" s="68" t="inlineStr">
        <is>
          <t>Introduce a third variable through a simple example.</t>
        </is>
      </c>
      <c r="F102" s="68" t="inlineStr">
        <is>
          <t>Summer temperature illustration</t>
        </is>
      </c>
      <c r="G102" s="68" t="n">
        <v>45</v>
      </c>
      <c r="H102" s="68" t="inlineStr">
        <is>
          <t>Vetoed</t>
        </is>
      </c>
      <c r="I102" s="69" t="n">
        <v>57</v>
      </c>
      <c r="J102" s="69" t="inlineStr">
        <is>
          <t>Strong</t>
        </is>
      </c>
      <c r="K102" s="69" t="n"/>
      <c r="L102" s="70" t="n"/>
      <c r="M102" s="68">
        <f>IF(L102="","",TEXT(L102,"ddd"))</f>
        <v/>
      </c>
      <c r="N102" s="69" t="n"/>
      <c r="O102" s="69" t="n"/>
      <c r="P102" s="69" t="n"/>
      <c r="Q102" s="69" t="n"/>
      <c r="R102" s="69" t="n"/>
      <c r="S102" s="71" t="n"/>
      <c r="T102" s="69" t="n"/>
      <c r="U102" s="72">
        <f>IF(OR(T102="",N(O102)=0),"",T102/O102)</f>
        <v/>
      </c>
      <c r="V102" s="69" t="n"/>
      <c r="W102" s="69" t="n"/>
      <c r="X102" s="69" t="n"/>
      <c r="Y102" s="71" t="n"/>
      <c r="Z102" s="69" t="n"/>
      <c r="AA102" s="71" t="n"/>
      <c r="AB102" s="69" t="n"/>
      <c r="AC102" s="73">
        <f>IF(COUNT(S102,Y102,AA102)=0,"",SUM(S102,Y102,AA102))</f>
        <v/>
      </c>
      <c r="AD102" s="72">
        <f>IF(N(AC102)=0,"",SUM(V102,W102,X102,Z102,AB102)/AC102)</f>
        <v/>
      </c>
      <c r="AE102" s="71" t="n"/>
      <c r="AF102" s="71" t="n"/>
      <c r="AG102" s="71" t="n"/>
      <c r="AH102" s="73">
        <f>IF(COUNT(AE102,AF102,AG102)=0,"",SUM(AE102,AF102,AG102))</f>
        <v/>
      </c>
      <c r="AI102" s="71" t="n"/>
      <c r="AJ102" s="71" t="n"/>
      <c r="AK102" s="71" t="n"/>
      <c r="AL102" s="73">
        <f>IF(COUNT(AI102,AJ102,AK102)=0,"",SUM(AI102,AJ102,AK102))</f>
        <v/>
      </c>
      <c r="AM102" s="68">
        <f>IF(N(AC102)=0,"",IF(COUNT($AC$6:$AC$105)&lt;5,"Too early",IF(AC102&gt;=1.5*MEDIAN($AC$6:$AC$105),"Top",IF(AC102&lt;=0.5*MEDIAN($AC$6:$AC$105),"Low","Average"))))</f>
        <v/>
      </c>
      <c r="AN102" s="69" t="inlineStr">
        <is>
          <t>2026-10-22: replaced by the pattern test (Shivam)</t>
        </is>
      </c>
      <c r="AO102" s="69" t="inlineStr">
        <is>
          <t>data-story</t>
        </is>
      </c>
      <c r="AP102" s="74" t="n"/>
      <c r="AQ102" s="74" t="n"/>
      <c r="AR102" s="74" t="n"/>
      <c r="AS102" s="74" t="n"/>
      <c r="AT102" s="74" t="n"/>
      <c r="AU102" s="74" t="n"/>
      <c r="AV102" s="64" t="inlineStr">
        <is>
          <t>Curiosity gap</t>
        </is>
      </c>
    </row>
    <row r="103" ht="60" customHeight="1" s="62">
      <c r="A103" s="68" t="n">
        <v>98</v>
      </c>
      <c r="B103" s="68" t="inlineStr">
        <is>
          <t>Psychology myths and interactive demos</t>
        </is>
      </c>
      <c r="C103" s="68" t="inlineStr">
        <is>
          <t>Small samples</t>
        </is>
      </c>
      <c r="D103" s="68" t="inlineStr">
        <is>
          <t>Would five people be enough to speak for everyone?</t>
        </is>
      </c>
      <c r="E103" s="68" t="inlineStr">
        <is>
          <t>Compare a tiny poll with a larger varied sample.</t>
        </is>
      </c>
      <c r="F103" s="68" t="inlineStr">
        <is>
          <t>Five dots versus many dots</t>
        </is>
      </c>
      <c r="G103" s="68" t="n">
        <v>45</v>
      </c>
      <c r="H103" s="68" t="inlineStr">
        <is>
          <t>Vetoed</t>
        </is>
      </c>
      <c r="I103" s="69" t="n">
        <v>63</v>
      </c>
      <c r="J103" s="69" t="inlineStr">
        <is>
          <t>Strong</t>
        </is>
      </c>
      <c r="K103" s="69" t="n"/>
      <c r="L103" s="70" t="n"/>
      <c r="M103" s="68">
        <f>IF(L103="","",TEXT(L103,"ddd"))</f>
        <v/>
      </c>
      <c r="N103" s="69" t="n"/>
      <c r="O103" s="69" t="n"/>
      <c r="P103" s="69" t="n"/>
      <c r="Q103" s="69" t="n"/>
      <c r="R103" s="69" t="n"/>
      <c r="S103" s="71" t="n"/>
      <c r="T103" s="69" t="n"/>
      <c r="U103" s="72">
        <f>IF(OR(T103="",N(O103)=0),"",T103/O103)</f>
        <v/>
      </c>
      <c r="V103" s="69" t="n"/>
      <c r="W103" s="69" t="n"/>
      <c r="X103" s="69" t="n"/>
      <c r="Y103" s="71" t="n"/>
      <c r="Z103" s="69" t="n"/>
      <c r="AA103" s="71" t="n"/>
      <c r="AB103" s="69" t="n"/>
      <c r="AC103" s="73">
        <f>IF(COUNT(S103,Y103,AA103)=0,"",SUM(S103,Y103,AA103))</f>
        <v/>
      </c>
      <c r="AD103" s="72">
        <f>IF(N(AC103)=0,"",SUM(V103,W103,X103,Z103,AB103)/AC103)</f>
        <v/>
      </c>
      <c r="AE103" s="71" t="n"/>
      <c r="AF103" s="71" t="n"/>
      <c r="AG103" s="71" t="n"/>
      <c r="AH103" s="73">
        <f>IF(COUNT(AE103,AF103,AG103)=0,"",SUM(AE103,AF103,AG103))</f>
        <v/>
      </c>
      <c r="AI103" s="71" t="n"/>
      <c r="AJ103" s="71" t="n"/>
      <c r="AK103" s="71" t="n"/>
      <c r="AL103" s="73">
        <f>IF(COUNT(AI103,AJ103,AK103)=0,"",SUM(AI103,AJ103,AK103))</f>
        <v/>
      </c>
      <c r="AM103" s="68">
        <f>IF(N(AC103)=0,"",IF(COUNT($AC$6:$AC$105)&lt;5,"Too early",IF(AC103&gt;=1.5*MEDIAN($AC$6:$AC$105),"Top",IF(AC103&lt;=0.5*MEDIAN($AC$6:$AC$105),"Low","Average"))))</f>
        <v/>
      </c>
      <c r="AN103" s="69" t="inlineStr">
        <is>
          <t>2026-10-22: replaced by the pattern test (Shivam)</t>
        </is>
      </c>
      <c r="AO103" s="69" t="inlineStr">
        <is>
          <t>data-story</t>
        </is>
      </c>
      <c r="AP103" s="74" t="n"/>
      <c r="AQ103" s="74" t="n"/>
      <c r="AR103" s="74" t="n"/>
      <c r="AS103" s="74" t="n"/>
      <c r="AT103" s="74" t="n"/>
      <c r="AU103" s="74" t="n"/>
      <c r="AV103" s="64" t="inlineStr">
        <is>
          <t>Forced choice</t>
        </is>
      </c>
    </row>
    <row r="104" ht="60" customHeight="1" s="62">
      <c r="A104" s="68" t="n">
        <v>99</v>
      </c>
      <c r="B104" s="68" t="inlineStr">
        <is>
          <t>Psychology myths and interactive demos</t>
        </is>
      </c>
      <c r="C104" s="68" t="inlineStr">
        <is>
          <t>Replication</t>
        </is>
      </c>
      <c r="D104" s="68" t="inlineStr">
        <is>
          <t>What happens when another team repeats the study?</t>
        </is>
      </c>
      <c r="E104" s="68" t="inlineStr">
        <is>
          <t>Explain why repeated testing helps assess findings.</t>
        </is>
      </c>
      <c r="F104" s="68" t="inlineStr">
        <is>
          <t>Two teams and matching procedures</t>
        </is>
      </c>
      <c r="G104" s="68" t="n">
        <v>45</v>
      </c>
      <c r="H104" s="68" t="inlineStr">
        <is>
          <t>Vetoed</t>
        </is>
      </c>
      <c r="I104" s="69" t="n">
        <v>68</v>
      </c>
      <c r="J104" s="69" t="inlineStr">
        <is>
          <t>Strong</t>
        </is>
      </c>
      <c r="K104" s="69" t="n"/>
      <c r="L104" s="70" t="n"/>
      <c r="M104" s="68">
        <f>IF(L104="","",TEXT(L104,"ddd"))</f>
        <v/>
      </c>
      <c r="N104" s="69" t="n"/>
      <c r="O104" s="69" t="n"/>
      <c r="P104" s="69" t="n"/>
      <c r="Q104" s="69" t="n"/>
      <c r="R104" s="69" t="n"/>
      <c r="S104" s="71" t="n"/>
      <c r="T104" s="69" t="n"/>
      <c r="U104" s="72">
        <f>IF(OR(T104="",N(O104)=0),"",T104/O104)</f>
        <v/>
      </c>
      <c r="V104" s="69" t="n"/>
      <c r="W104" s="69" t="n"/>
      <c r="X104" s="69" t="n"/>
      <c r="Y104" s="71" t="n"/>
      <c r="Z104" s="69" t="n"/>
      <c r="AA104" s="71" t="n"/>
      <c r="AB104" s="69" t="n"/>
      <c r="AC104" s="73">
        <f>IF(COUNT(S104,Y104,AA104)=0,"",SUM(S104,Y104,AA104))</f>
        <v/>
      </c>
      <c r="AD104" s="72">
        <f>IF(N(AC104)=0,"",SUM(V104,W104,X104,Z104,AB104)/AC104)</f>
        <v/>
      </c>
      <c r="AE104" s="71" t="n"/>
      <c r="AF104" s="71" t="n"/>
      <c r="AG104" s="71" t="n"/>
      <c r="AH104" s="73">
        <f>IF(COUNT(AE104,AF104,AG104)=0,"",SUM(AE104,AF104,AG104))</f>
        <v/>
      </c>
      <c r="AI104" s="71" t="n"/>
      <c r="AJ104" s="71" t="n"/>
      <c r="AK104" s="71" t="n"/>
      <c r="AL104" s="73">
        <f>IF(COUNT(AI104,AJ104,AK104)=0,"",SUM(AI104,AJ104,AK104))</f>
        <v/>
      </c>
      <c r="AM104" s="68">
        <f>IF(N(AC104)=0,"",IF(COUNT($AC$6:$AC$105)&lt;5,"Too early",IF(AC104&gt;=1.5*MEDIAN($AC$6:$AC$105),"Top",IF(AC104&lt;=0.5*MEDIAN($AC$6:$AC$105),"Low","Average"))))</f>
        <v/>
      </c>
      <c r="AN104" s="69" t="inlineStr">
        <is>
          <t>2026-10-22: replaced by the pattern test (Shivam)</t>
        </is>
      </c>
      <c r="AO104" s="69" t="inlineStr">
        <is>
          <t>dossier</t>
        </is>
      </c>
      <c r="AP104" s="74" t="n"/>
      <c r="AQ104" s="74" t="n"/>
      <c r="AR104" s="74" t="n"/>
      <c r="AS104" s="74" t="n"/>
      <c r="AT104" s="74" t="n"/>
      <c r="AU104" s="74" t="n"/>
      <c r="AV104" s="64" t="inlineStr">
        <is>
          <t>Study reveal</t>
        </is>
      </c>
    </row>
    <row r="105" ht="60" customHeight="1" s="62">
      <c r="A105" s="68" t="n">
        <v>100</v>
      </c>
      <c r="B105" s="68" t="inlineStr">
        <is>
          <t>Psychology myths and interactive demos</t>
        </is>
      </c>
      <c r="C105" s="68" t="inlineStr">
        <is>
          <t>Psychology claim checklist</t>
        </is>
      </c>
      <c r="D105" s="68" t="inlineStr">
        <is>
          <t>Before sharing a psychology fact, ask these three questions.</t>
        </is>
      </c>
      <c r="E105" s="68" t="inlineStr">
        <is>
          <t>Ask about evidence, population, and limits of the conclusion.</t>
        </is>
      </c>
      <c r="F105" s="68" t="inlineStr">
        <is>
          <t>Three-question checklist</t>
        </is>
      </c>
      <c r="G105" s="68" t="n">
        <v>45</v>
      </c>
      <c r="H105" s="68" t="inlineStr">
        <is>
          <t>Vetoed</t>
        </is>
      </c>
      <c r="I105" s="69" t="n">
        <v>78</v>
      </c>
      <c r="J105" s="69" t="inlineStr">
        <is>
          <t>Weak</t>
        </is>
      </c>
      <c r="K105" s="69" t="n"/>
      <c r="L105" s="70" t="n"/>
      <c r="M105" s="68">
        <f>IF(L105="","",TEXT(L105,"ddd"))</f>
        <v/>
      </c>
      <c r="N105" s="69" t="n"/>
      <c r="O105" s="69" t="n"/>
      <c r="P105" s="69" t="n"/>
      <c r="Q105" s="69" t="n"/>
      <c r="R105" s="69" t="n"/>
      <c r="S105" s="71" t="n"/>
      <c r="T105" s="69" t="n"/>
      <c r="U105" s="72">
        <f>IF(OR(T105="",N(O105)=0),"",T105/O105)</f>
        <v/>
      </c>
      <c r="V105" s="69" t="n"/>
      <c r="W105" s="69" t="n"/>
      <c r="X105" s="69" t="n"/>
      <c r="Y105" s="71" t="n"/>
      <c r="Z105" s="69" t="n"/>
      <c r="AA105" s="71" t="n"/>
      <c r="AB105" s="69" t="n"/>
      <c r="AC105" s="73">
        <f>IF(COUNT(S105,Y105,AA105)=0,"",SUM(S105,Y105,AA105))</f>
        <v/>
      </c>
      <c r="AD105" s="72">
        <f>IF(N(AC105)=0,"",SUM(V105,W105,X105,Z105,AB105)/AC105)</f>
        <v/>
      </c>
      <c r="AE105" s="71" t="n"/>
      <c r="AF105" s="71" t="n"/>
      <c r="AG105" s="71" t="n"/>
      <c r="AH105" s="73">
        <f>IF(COUNT(AE105,AF105,AG105)=0,"",SUM(AE105,AF105,AG105))</f>
        <v/>
      </c>
      <c r="AI105" s="71" t="n"/>
      <c r="AJ105" s="71" t="n"/>
      <c r="AK105" s="71" t="n"/>
      <c r="AL105" s="73">
        <f>IF(COUNT(AI105,AJ105,AK105)=0,"",SUM(AI105,AJ105,AK105))</f>
        <v/>
      </c>
      <c r="AM105" s="68">
        <f>IF(N(AC105)=0,"",IF(COUNT($AC$6:$AC$105)&lt;5,"Too early",IF(AC105&gt;=1.5*MEDIAN($AC$6:$AC$105),"Top",IF(AC105&lt;=0.5*MEDIAN($AC$6:$AC$105),"Low","Average"))))</f>
        <v/>
      </c>
      <c r="AN105" s="69" t="inlineStr">
        <is>
          <t>2026-10-22: replaced by the pattern test (Shivam)</t>
        </is>
      </c>
      <c r="AO105" s="69" t="inlineStr">
        <is>
          <t>whiteboard</t>
        </is>
      </c>
      <c r="AP105" s="74" t="n"/>
      <c r="AQ105" s="74" t="n"/>
      <c r="AR105" s="74" t="n"/>
      <c r="AS105" s="74" t="n"/>
      <c r="AT105" s="74" t="n"/>
      <c r="AU105" s="74" t="n"/>
      <c r="AV105" s="64" t="inlineStr">
        <is>
          <t>List</t>
        </is>
      </c>
    </row>
    <row r="106" ht="115.65" customHeight="1" s="62">
      <c r="A106" s="68" t="n">
        <v>101</v>
      </c>
      <c r="B106" s="68" t="inlineStr">
        <is>
          <t>Memory and learning</t>
        </is>
      </c>
      <c r="C106" s="68" t="inlineStr">
        <is>
          <t>Open loops (Zeigarnik effect)</t>
        </is>
      </c>
      <c r="D106" s="68" t="inlineStr">
        <is>
          <t>Nova, my brain won't let me sleep.</t>
        </is>
      </c>
      <c r="E106" s="68" t="inlineStr">
        <is>
          <t>Unfinished tasks stay active in memory (Zeigarnik 1927); writing the next step quiets them (Masicampo &amp; Baumeister 2011).</t>
        </is>
      </c>
      <c r="F106" s="68" t="inlineStr">
        <is>
          <t>Nova dialogue: Ash and robot Nova in a low-poly night room</t>
        </is>
      </c>
      <c r="G106" s="68" t="n">
        <v>41</v>
      </c>
      <c r="H106" s="68" t="inlineStr">
        <is>
          <t>Published</t>
        </is>
      </c>
      <c r="I106" s="69" t="n">
        <v>16</v>
      </c>
      <c r="J106" s="69" t="n"/>
      <c r="K106" s="69" t="inlineStr">
        <is>
          <t>open-loops</t>
        </is>
      </c>
      <c r="L106" s="70" t="n">
        <v>46310</v>
      </c>
      <c r="M106" s="68">
        <f>IF(L106="","",TEXT(L106,"ddd"))</f>
        <v/>
      </c>
      <c r="N106" s="69" t="n"/>
      <c r="O106" s="69" t="n">
        <v>41</v>
      </c>
      <c r="P106" s="69" t="inlineStr">
        <is>
          <t>Why Your Brain Replays Your To-Do List at Night #shorts</t>
        </is>
      </c>
      <c r="Q106" s="69" t="inlineStr">
        <is>
          <t>Zeigarnik 1927, Psychologische Forschung 9:1-85; Masicampo &amp; Baumeister 2011, JPSP 101(4):667-683</t>
        </is>
      </c>
      <c r="R106" s="69" t="inlineStr">
        <is>
          <t>buffer:youtube=6ad0715a8b6f374826e2018a;instagram=6ad0715b8886414c963c3815;tiktok=6ad0715b0ad4869c077e294a</t>
        </is>
      </c>
      <c r="S106" s="71" t="n"/>
      <c r="T106" s="69" t="n"/>
      <c r="U106" s="72">
        <f>IF(OR(T106="",N(O106)=0),"",T106/O106)</f>
        <v/>
      </c>
      <c r="V106" s="69" t="n"/>
      <c r="W106" s="69" t="n"/>
      <c r="X106" s="69" t="n"/>
      <c r="Y106" s="71" t="n"/>
      <c r="Z106" s="69" t="n"/>
      <c r="AA106" s="71" t="n"/>
      <c r="AB106" s="69" t="n"/>
      <c r="AC106" s="73">
        <f>IF(COUNT(S106,Y106,AA106)=0,"",SUM(S106,Y106,AA106))</f>
        <v/>
      </c>
      <c r="AD106" s="72">
        <f>IF(N(AC106)=0,"",SUM(V106,W106,X106,Z106,AB106)/AC106)</f>
        <v/>
      </c>
      <c r="AE106" s="71" t="n"/>
      <c r="AF106" s="71" t="n"/>
      <c r="AG106" s="71" t="n"/>
      <c r="AH106" s="73">
        <f>IF(COUNT(AE106,AF106,AG106)=0,"",SUM(AE106,AF106,AG106))</f>
        <v/>
      </c>
      <c r="AI106" s="71" t="n"/>
      <c r="AJ106" s="71" t="n"/>
      <c r="AK106" s="71" t="n"/>
      <c r="AL106" s="73">
        <f>IF(COUNT(AI106,AJ106,AK106)=0,"",SUM(AI106,AJ106,AK106))</f>
        <v/>
      </c>
      <c r="AM106" s="68">
        <f>IF(N(AC106)=0,"",IF(COUNT($AC$6:$AC$105)&lt;5,"Too early",IF(AC106&gt;=1.5*MEDIAN($AC$6:$AC$105),"Top",IF(AC106&lt;=0.5*MEDIAN($AC$6:$AC$105),"Low","Average"))))</f>
        <v/>
      </c>
      <c r="AN106" s="69" t="n"/>
      <c r="AO106" s="69" t="inlineStr">
        <is>
          <t>nova</t>
        </is>
      </c>
      <c r="AP106" s="74" t="n"/>
      <c r="AQ106" s="74" t="n"/>
      <c r="AR106" s="74" t="n"/>
      <c r="AS106" s="74" t="n"/>
      <c r="AT106" s="74" t="n"/>
      <c r="AU106" s="74" t="n"/>
      <c r="AV106" s="64" t="inlineStr">
        <is>
          <t>You-callout</t>
        </is>
      </c>
    </row>
    <row r="107" ht="77.59999999999999" customHeight="1" s="62">
      <c r="A107" s="68" t="n">
        <v>102</v>
      </c>
      <c r="B107" s="68" t="inlineStr">
        <is>
          <t>Digital life and consumer behavior</t>
        </is>
      </c>
      <c r="C107" s="68" t="inlineStr">
        <is>
          <t>Why one more never feels like enough (dopamine and checking)</t>
        </is>
      </c>
      <c r="D107" s="68" t="inlineStr">
        <is>
          <t>You opened your phone for a minute.</t>
        </is>
      </c>
      <c r="E107" s="68" t="inlineStr">
        <is>
          <t>Dopamine helps the brain learn what to pursue; uncertain rewards keep you checking; small steps to make room for what matters.</t>
        </is>
      </c>
      <c r="F107" s="68" t="inlineStr">
        <is>
          <t>Claude Design editorial animation (One More Never Enough)</t>
        </is>
      </c>
      <c r="G107" s="68" t="n">
        <v>58</v>
      </c>
      <c r="H107" s="68" t="inlineStr">
        <is>
          <t>Published</t>
        </is>
      </c>
      <c r="I107" s="69" t="n">
        <v>17</v>
      </c>
      <c r="J107" s="69" t="n"/>
      <c r="K107" s="69" t="inlineStr">
        <is>
          <t>one-more</t>
        </is>
      </c>
      <c r="L107" s="70" t="n">
        <v>46311</v>
      </c>
      <c r="M107" s="68">
        <f>IF(L107="","",TEXT(L107,"ddd"))</f>
        <v/>
      </c>
      <c r="N107" s="69" t="n"/>
      <c r="O107" s="69" t="n">
        <v>58</v>
      </c>
      <c r="P107" s="69" t="inlineStr">
        <is>
          <t>Why One More Scroll Never Feels Like Enough #shorts</t>
        </is>
      </c>
      <c r="Q107" s="69" t="n"/>
      <c r="R107" s="69" t="inlineStr">
        <is>
          <t>buffer:youtube=6ad1a654a82f34dbe1464882;tiktok=6ad1a654fb64fffcf1b41af2;instagram=6adcff3c3d5b27036b9ba0a4</t>
        </is>
      </c>
      <c r="S107" s="71" t="n"/>
      <c r="T107" s="69" t="n"/>
      <c r="U107" s="72">
        <f>IF(OR(T107="",N(O107)=0),"",T107/O107)</f>
        <v/>
      </c>
      <c r="V107" s="69" t="n"/>
      <c r="W107" s="69" t="n"/>
      <c r="X107" s="69" t="n"/>
      <c r="Y107" s="71" t="n"/>
      <c r="Z107" s="69" t="n"/>
      <c r="AA107" s="71" t="n"/>
      <c r="AB107" s="69" t="n"/>
      <c r="AC107" s="73">
        <f>IF(COUNT(S107,Y107,AA107)=0,"",SUM(S107,Y107,AA107))</f>
        <v/>
      </c>
      <c r="AD107" s="72">
        <f>IF(N(AC107)=0,"",SUM(V107,W107,X107,Z107,AB107)/AC107)</f>
        <v/>
      </c>
      <c r="AE107" s="71" t="n"/>
      <c r="AF107" s="71" t="n"/>
      <c r="AG107" s="71" t="n"/>
      <c r="AH107" s="73">
        <f>IF(COUNT(AE107,AF107,AG107)=0,"",SUM(AE107,AF107,AG107))</f>
        <v/>
      </c>
      <c r="AI107" s="71" t="n"/>
      <c r="AJ107" s="71" t="n"/>
      <c r="AK107" s="71" t="n"/>
      <c r="AL107" s="73">
        <f>IF(COUNT(AI107,AJ107,AK107)=0,"",SUM(AI107,AJ107,AK107))</f>
        <v/>
      </c>
      <c r="AM107" s="68">
        <f>IF(N(AC107)=0,"",IF(COUNT($AC$6:$AC$105)&lt;5,"Too early",IF(AC107&gt;=1.5*MEDIAN($AC$6:$AC$105),"Top",IF(AC107&lt;=0.5*MEDIAN($AC$6:$AC$105),"Low","Average"))))</f>
        <v/>
      </c>
      <c r="AN107" s="69" t="n"/>
      <c r="AO107" s="69" t="inlineStr">
        <is>
          <t>editorial</t>
        </is>
      </c>
      <c r="AP107" s="74" t="n"/>
      <c r="AQ107" s="74" t="n"/>
      <c r="AR107" s="74" t="n"/>
      <c r="AS107" s="74" t="n"/>
      <c r="AT107" s="74" t="n"/>
      <c r="AU107" s="74" t="n"/>
      <c r="AV107" s="64" t="inlineStr">
        <is>
          <t>You-callout</t>
        </is>
      </c>
    </row>
    <row r="108">
      <c r="A108" s="123" t="n">
        <v>103</v>
      </c>
      <c r="B108" s="123" t="inlineStr">
        <is>
          <t>Pattern: Experiment story</t>
        </is>
      </c>
      <c r="C108" s="123" t="inlineStr">
        <is>
          <t>The experiment that fooled psychiatrists (Rosenhan)</t>
        </is>
      </c>
      <c r="D108" s="123" t="inlineStr">
        <is>
          <t>Eight people faked ONE symptom, and every hospital admitted them.</t>
        </is>
      </c>
      <c r="E108" s="123" t="inlineStr">
        <is>
          <t>Rosenhan 1973; 12 hospitals, 19 days avg, 35/118 patients suspected; turn: Cahalan 2019 doubts</t>
        </is>
      </c>
      <c r="F108" s="123" t="n"/>
      <c r="G108" s="123" t="n">
        <v>30</v>
      </c>
      <c r="H108" s="123" t="inlineStr">
        <is>
          <t>Scheduled</t>
        </is>
      </c>
      <c r="I108" s="124" t="n">
        <v>1</v>
      </c>
      <c r="J108" s="124" t="inlineStr">
        <is>
          <t>Strong</t>
        </is>
      </c>
      <c r="K108" s="124" t="inlineStr">
        <is>
          <t>rosenhan-fake-patients</t>
        </is>
      </c>
      <c r="L108" s="125" t="n">
        <v>46319</v>
      </c>
      <c r="M108" s="123">
        <f>IF(L108="","",TEXT(L108,"ddd"))</f>
        <v/>
      </c>
      <c r="N108" s="124" t="n"/>
      <c r="O108" s="124" t="n">
        <v>29</v>
      </c>
      <c r="P108" s="124" t="inlineStr">
        <is>
          <t>The Experiment That Fooled Psychiatrists #shorts</t>
        </is>
      </c>
      <c r="Q108" s="124" t="inlineStr">
        <is>
          <t>Rosenhan (1973, Science): 8 pseudopatients reported hearing a voice say "thud", were admitted to 12 hospitals and held 7 to 52 days (19 on average); 35 of 118 patients suspected them, staff didn't. Journalist Susannah Cahalan (The Great Pretender, 20</t>
        </is>
      </c>
      <c r="R108" s="124" t="inlineStr">
        <is>
          <t>buffer:youtube=6adbc6a6bd33ce99c3ed0fa3;instagram=6adbc6a6bd33ce99c3ed0fcf;tiktok=6adbc6a70b5343d0704ce897</t>
        </is>
      </c>
      <c r="S108" s="126" t="n"/>
      <c r="T108" s="124" t="n"/>
      <c r="U108" s="127">
        <f>IF(OR(T108="",N(O108)=0),"",T108/O108)</f>
        <v/>
      </c>
      <c r="V108" s="124" t="n"/>
      <c r="W108" s="124" t="n"/>
      <c r="X108" s="124" t="n"/>
      <c r="Y108" s="126" t="n"/>
      <c r="Z108" s="124" t="n"/>
      <c r="AA108" s="126" t="n"/>
      <c r="AB108" s="124" t="n"/>
      <c r="AC108" s="128">
        <f>IF(COUNT(S108,Y108,AA108)=0,"",SUM(S108,Y108,AA108))</f>
        <v/>
      </c>
      <c r="AD108" s="127">
        <f>IF(N(AC108)=0,"",SUM(V108,W108,X108,Z108,AB108)/AC108)</f>
        <v/>
      </c>
      <c r="AE108" s="126" t="n"/>
      <c r="AF108" s="126" t="n"/>
      <c r="AG108" s="126" t="n"/>
      <c r="AH108" s="128">
        <f>IF(COUNT(AE108,AF108,AG108)=0,"",SUM(AE108,AF108,AG108))</f>
        <v/>
      </c>
      <c r="AI108" s="126" t="n"/>
      <c r="AJ108" s="126" t="n"/>
      <c r="AK108" s="126" t="n"/>
      <c r="AL108" s="128">
        <f>IF(COUNT(AI108,AJ108,AK108)=0,"",SUM(AI108,AJ108,AK108))</f>
        <v/>
      </c>
      <c r="AM108" s="123">
        <f>IF(N(AC108)=0,"",IF(COUNT($AC$6:$AC$105)&lt;5,"Too early",IF(AC108&gt;=1.5*MEDIAN($AC$6:$AC$105),"Top",IF(AC108&lt;=0.5*MEDIAN($AC$6:$AC$105),"Low","Average"))))</f>
        <v/>
      </c>
      <c r="AN108" s="124" t="n"/>
      <c r="AO108" s="124" t="inlineStr">
        <is>
          <t>ted2</t>
        </is>
      </c>
      <c r="AP108" s="129" t="n"/>
      <c r="AQ108" s="129" t="n"/>
      <c r="AR108" s="129" t="n"/>
      <c r="AS108" s="129" t="n"/>
      <c r="AT108" s="129" t="n"/>
      <c r="AU108" s="129" t="n"/>
      <c r="AV108" s="130" t="inlineStr">
        <is>
          <t>Experiment story</t>
        </is>
      </c>
    </row>
    <row r="109">
      <c r="A109" s="123" t="n">
        <v>104</v>
      </c>
      <c r="B109" s="123" t="inlineStr">
        <is>
          <t>Pattern: Protect yourself</t>
        </is>
      </c>
      <c r="C109" s="123" t="inlineStr">
        <is>
          <t>The tiny-yes trick (foot in the door)</t>
        </is>
      </c>
      <c r="D109" s="123" t="inlineStr">
        <is>
          <t>If someone asks you for something TINY first, watch out.</t>
        </is>
      </c>
      <c r="E109" s="123" t="inlineStr">
        <is>
          <t>Freedman &amp; Fraser 1966: 17% vs 76% big sign</t>
        </is>
      </c>
      <c r="F109" s="123" t="n"/>
      <c r="G109" s="123" t="n">
        <v>30</v>
      </c>
      <c r="H109" s="123" t="inlineStr">
        <is>
          <t>Scheduled</t>
        </is>
      </c>
      <c r="I109" s="124" t="n">
        <v>2</v>
      </c>
      <c r="J109" s="124" t="inlineStr">
        <is>
          <t>Strong</t>
        </is>
      </c>
      <c r="K109" s="124" t="inlineStr">
        <is>
          <t>foot-in-the-door</t>
        </is>
      </c>
      <c r="L109" s="125" t="n">
        <v>46319</v>
      </c>
      <c r="M109" s="123">
        <f>IF(L109="","",TEXT(L109,"ddd"))</f>
        <v/>
      </c>
      <c r="N109" s="124" t="n"/>
      <c r="O109" s="124" t="n">
        <v>40</v>
      </c>
      <c r="P109" s="124" t="inlineStr">
        <is>
          <t>The Tiny Yes Trick People Use On You #shorts</t>
        </is>
      </c>
      <c r="Q109" s="124" t="inlineStr">
        <is>
          <t>Freedman &amp; Fraser (1966): only 17% of homeowners agreed to a big "Drive Carefully" yard sign, but 76% agreed after first saying yes to a small "Be a Safe Driver" window sign. The foot-in-the-door technique.</t>
        </is>
      </c>
      <c r="R109" s="124" t="inlineStr">
        <is>
          <t>buffer:youtube=6adbc6a99acae620d8192a7d;instagram=6adbc6a93d5b27036b4fa580;tiktok=6adbc6a9bd33ce99c3ed1021</t>
        </is>
      </c>
      <c r="S109" s="126" t="n"/>
      <c r="T109" s="124" t="n"/>
      <c r="U109" s="127">
        <f>IF(OR(T109="",N(O109)=0),"",T109/O109)</f>
        <v/>
      </c>
      <c r="V109" s="124" t="n"/>
      <c r="W109" s="124" t="n"/>
      <c r="X109" s="124" t="n"/>
      <c r="Y109" s="126" t="n"/>
      <c r="Z109" s="124" t="n"/>
      <c r="AA109" s="126" t="n"/>
      <c r="AB109" s="124" t="n"/>
      <c r="AC109" s="128">
        <f>IF(COUNT(S109,Y109,AA109)=0,"",SUM(S109,Y109,AA109))</f>
        <v/>
      </c>
      <c r="AD109" s="127">
        <f>IF(N(AC109)=0,"",SUM(V109,W109,X109,Z109,AB109)/AC109)</f>
        <v/>
      </c>
      <c r="AE109" s="126" t="n"/>
      <c r="AF109" s="126" t="n"/>
      <c r="AG109" s="126" t="n"/>
      <c r="AH109" s="128">
        <f>IF(COUNT(AE109,AF109,AG109)=0,"",SUM(AE109,AF109,AG109))</f>
        <v/>
      </c>
      <c r="AI109" s="126" t="n"/>
      <c r="AJ109" s="126" t="n"/>
      <c r="AK109" s="126" t="n"/>
      <c r="AL109" s="128">
        <f>IF(COUNT(AI109,AJ109,AK109)=0,"",SUM(AI109,AJ109,AK109))</f>
        <v/>
      </c>
      <c r="AM109" s="123">
        <f>IF(N(AC109)=0,"",IF(COUNT($AC$6:$AC$105)&lt;5,"Too early",IF(AC109&gt;=1.5*MEDIAN($AC$6:$AC$105),"Top",IF(AC109&lt;=0.5*MEDIAN($AC$6:$AC$105),"Low","Average"))))</f>
        <v/>
      </c>
      <c r="AN109" s="124" t="n"/>
      <c r="AO109" s="124" t="inlineStr">
        <is>
          <t>ted2</t>
        </is>
      </c>
      <c r="AP109" s="129" t="n"/>
      <c r="AQ109" s="129" t="n"/>
      <c r="AR109" s="129" t="n"/>
      <c r="AS109" s="129" t="n"/>
      <c r="AT109" s="129" t="n"/>
      <c r="AU109" s="129" t="n"/>
      <c r="AV109" s="130" t="inlineStr">
        <is>
          <t>Protect yourself</t>
        </is>
      </c>
    </row>
    <row r="110">
      <c r="A110" s="123" t="n">
        <v>105</v>
      </c>
      <c r="B110" s="123" t="inlineStr">
        <is>
          <t>Pattern: Psychology of people who</t>
        </is>
      </c>
      <c r="C110" s="123" t="inlineStr">
        <is>
          <t>Psychology of people who are always late (planning fallacy)</t>
        </is>
      </c>
      <c r="D110" s="123" t="inlineStr">
        <is>
          <t>Psychology of people who are ALWAYS late: it's usually not laziness.</t>
        </is>
      </c>
      <c r="E110" s="123" t="inlineStr">
        <is>
          <t>Buehler, Griffin &amp; Ross 1994: 33.9 / 48.6 / 55.5 days, ~30% on time</t>
        </is>
      </c>
      <c r="F110" s="123" t="n"/>
      <c r="G110" s="123" t="n">
        <v>30</v>
      </c>
      <c r="H110" s="123" t="inlineStr">
        <is>
          <t>Scheduled</t>
        </is>
      </c>
      <c r="I110" s="124" t="n">
        <v>3</v>
      </c>
      <c r="J110" s="124" t="inlineStr">
        <is>
          <t>Strong</t>
        </is>
      </c>
      <c r="K110" s="124" t="inlineStr">
        <is>
          <t>always-late</t>
        </is>
      </c>
      <c r="L110" s="125" t="n">
        <v>46319</v>
      </c>
      <c r="M110" s="123">
        <f>IF(L110="","",TEXT(L110,"ddd"))</f>
        <v/>
      </c>
      <c r="N110" s="124" t="n"/>
      <c r="O110" s="124" t="n">
        <v>30</v>
      </c>
      <c r="P110" s="124" t="inlineStr">
        <is>
          <t>Psychology Of People Who Are Always Late #shorts</t>
        </is>
      </c>
      <c r="Q110" s="124" t="inlineStr">
        <is>
          <t>Buehler, Griffin &amp; Ross (1994): students predicted their thesis would take 33.9 days (worst case 48.6); it took 55.5, and only about 30% finished by their own estimate. The planning fallacy. Fix: base plans on how long it took last time.</t>
        </is>
      </c>
      <c r="R110" s="124" t="inlineStr">
        <is>
          <t>buffer:youtube=6adbc6abe4be8a4d86255e76;instagram=6adbc6acbd33ce99c3ed1093;tiktok=6adbc6ac3d5b27036b4fa5fc</t>
        </is>
      </c>
      <c r="S110" s="126" t="n"/>
      <c r="T110" s="124" t="n"/>
      <c r="U110" s="127">
        <f>IF(OR(T110="",N(O110)=0),"",T110/O110)</f>
        <v/>
      </c>
      <c r="V110" s="124" t="n"/>
      <c r="W110" s="124" t="n"/>
      <c r="X110" s="124" t="n"/>
      <c r="Y110" s="126" t="n"/>
      <c r="Z110" s="124" t="n"/>
      <c r="AA110" s="126" t="n"/>
      <c r="AB110" s="124" t="n"/>
      <c r="AC110" s="128">
        <f>IF(COUNT(S110,Y110,AA110)=0,"",SUM(S110,Y110,AA110))</f>
        <v/>
      </c>
      <c r="AD110" s="127">
        <f>IF(N(AC110)=0,"",SUM(V110,W110,X110,Z110,AB110)/AC110)</f>
        <v/>
      </c>
      <c r="AE110" s="126" t="n"/>
      <c r="AF110" s="126" t="n"/>
      <c r="AG110" s="126" t="n"/>
      <c r="AH110" s="128">
        <f>IF(COUNT(AE110,AF110,AG110)=0,"",SUM(AE110,AF110,AG110))</f>
        <v/>
      </c>
      <c r="AI110" s="126" t="n"/>
      <c r="AJ110" s="126" t="n"/>
      <c r="AK110" s="126" t="n"/>
      <c r="AL110" s="128">
        <f>IF(COUNT(AI110,AJ110,AK110)=0,"",SUM(AI110,AJ110,AK110))</f>
        <v/>
      </c>
      <c r="AM110" s="123">
        <f>IF(N(AC110)=0,"",IF(COUNT($AC$6:$AC$105)&lt;5,"Too early",IF(AC110&gt;=1.5*MEDIAN($AC$6:$AC$105),"Top",IF(AC110&lt;=0.5*MEDIAN($AC$6:$AC$105),"Low","Average"))))</f>
        <v/>
      </c>
      <c r="AN110" s="124" t="n"/>
      <c r="AO110" s="124" t="inlineStr">
        <is>
          <t>ted2</t>
        </is>
      </c>
      <c r="AP110" s="129" t="n"/>
      <c r="AQ110" s="129" t="n"/>
      <c r="AR110" s="129" t="n"/>
      <c r="AS110" s="129" t="n"/>
      <c r="AT110" s="129" t="n"/>
      <c r="AU110" s="129" t="n"/>
      <c r="AV110" s="130" t="inlineStr">
        <is>
          <t>Psychology of people who</t>
        </is>
      </c>
    </row>
    <row r="111">
      <c r="A111" s="123" t="n">
        <v>106</v>
      </c>
      <c r="B111" s="123" t="inlineStr">
        <is>
          <t>Pattern: Numbered facts</t>
        </is>
      </c>
      <c r="C111" s="123" t="inlineStr">
        <is>
          <t>3 reasons your mind goes blank</t>
        </is>
      </c>
      <c r="D111" s="123" t="inlineStr">
        <is>
          <t>Three reasons your mind goes BLANK.</t>
        </is>
      </c>
      <c r="E111" s="123" t="inlineStr">
        <is>
          <t>Radvansky 2011 doorway; Brenner 1973 next-in-line; Sparrow 2011 Google effect</t>
        </is>
      </c>
      <c r="F111" s="123" t="n"/>
      <c r="G111" s="123" t="n">
        <v>30</v>
      </c>
      <c r="H111" s="123" t="inlineStr">
        <is>
          <t>Vetoed</t>
        </is>
      </c>
      <c r="I111" s="124" t="n">
        <v>4</v>
      </c>
      <c r="J111" s="124" t="inlineStr">
        <is>
          <t>Strong</t>
        </is>
      </c>
      <c r="K111" s="124" t="inlineStr">
        <is>
          <t>mind-goes-blank</t>
        </is>
      </c>
      <c r="L111" s="125" t="n">
        <v>46320</v>
      </c>
      <c r="M111" s="123">
        <f>IF(L111="","",TEXT(L111,"ddd"))</f>
        <v/>
      </c>
      <c r="N111" s="124" t="n"/>
      <c r="O111" s="124" t="n">
        <v>29</v>
      </c>
      <c r="P111" s="124" t="inlineStr">
        <is>
          <t>3 Reasons Your Mind Goes Blank #shorts</t>
        </is>
      </c>
      <c r="Q111" s="124" t="inlineStr">
        <is>
          <t>1) Radvansky et al. (2011): walking through a doorway causes more forgetting than the same distance within a room (an event boundary). 2) Brenner (1973), the next-in-line effect: people recall least of what was said just before their own turn. 3) Spa</t>
        </is>
      </c>
      <c r="R111" s="124" t="inlineStr">
        <is>
          <t>buffer:youtube=6adcff348b3d437ddcd3cc95;instagram=6adcff35e4be8a4d86734cd5;tiktok=6adcff356887a2efc1cf66b7</t>
        </is>
      </c>
      <c r="S111" s="126" t="n"/>
      <c r="T111" s="124" t="n"/>
      <c r="U111" s="127">
        <f>IF(OR(T111="",N(O111)=0),"",T111/O111)</f>
        <v/>
      </c>
      <c r="V111" s="124" t="n"/>
      <c r="W111" s="124" t="n"/>
      <c r="X111" s="124" t="n"/>
      <c r="Y111" s="126" t="n"/>
      <c r="Z111" s="124" t="n"/>
      <c r="AA111" s="126" t="n"/>
      <c r="AB111" s="124" t="n"/>
      <c r="AC111" s="128">
        <f>IF(COUNT(S111,Y111,AA111)=0,"",SUM(S111,Y111,AA111))</f>
        <v/>
      </c>
      <c r="AD111" s="127">
        <f>IF(N(AC111)=0,"",SUM(V111,W111,X111,Z111,AB111)/AC111)</f>
        <v/>
      </c>
      <c r="AE111" s="126" t="n"/>
      <c r="AF111" s="126" t="n"/>
      <c r="AG111" s="126" t="n"/>
      <c r="AH111" s="128">
        <f>IF(COUNT(AE111,AF111,AG111)=0,"",SUM(AE111,AF111,AG111))</f>
        <v/>
      </c>
      <c r="AI111" s="126" t="n"/>
      <c r="AJ111" s="126" t="n"/>
      <c r="AK111" s="126" t="n"/>
      <c r="AL111" s="128">
        <f>IF(COUNT(AI111,AJ111,AK111)=0,"",SUM(AI111,AJ111,AK111))</f>
        <v/>
      </c>
      <c r="AM111" s="123">
        <f>IF(N(AC111)=0,"",IF(COUNT($AC$6:$AC$105)&lt;5,"Too early",IF(AC111&gt;=1.5*MEDIAN($AC$6:$AC$105),"Top",IF(AC111&lt;=0.5*MEDIAN($AC$6:$AC$105),"Low","Average"))))</f>
        <v/>
      </c>
      <c r="AN111" s="124" t="inlineStr">
        <is>
          <t>2026-10-24: pulled from Buffer for the stick story format (Shivam)</t>
        </is>
      </c>
      <c r="AO111" s="124" t="inlineStr">
        <is>
          <t>ted2</t>
        </is>
      </c>
      <c r="AP111" s="129" t="n"/>
      <c r="AQ111" s="129" t="n"/>
      <c r="AR111" s="129" t="n"/>
      <c r="AS111" s="129" t="n"/>
      <c r="AT111" s="129" t="n"/>
      <c r="AU111" s="129" t="n"/>
      <c r="AV111" s="130" t="inlineStr">
        <is>
          <t>Numbered facts</t>
        </is>
      </c>
    </row>
    <row r="112">
      <c r="A112" s="123" t="n">
        <v>107</v>
      </c>
      <c r="B112" s="123" t="inlineStr">
        <is>
          <t>Pattern: Therapist tip</t>
        </is>
      </c>
      <c r="C112" s="123" t="inlineStr">
        <is>
          <t>The 5-minute breath that beat mindfulness (cyclic sighing)</t>
        </is>
      </c>
      <c r="D112" s="123" t="inlineStr">
        <is>
          <t>This five-minute breath lifted mood MORE than mindfulness.</t>
        </is>
      </c>
      <c r="E112" s="123" t="inlineStr">
        <is>
          <t>Balban et al. 2023 Cell Reports Medicine</t>
        </is>
      </c>
      <c r="F112" s="123" t="n"/>
      <c r="G112" s="123" t="n">
        <v>30</v>
      </c>
      <c r="H112" s="123" t="inlineStr">
        <is>
          <t>Vetoed</t>
        </is>
      </c>
      <c r="I112" s="124" t="n">
        <v>5</v>
      </c>
      <c r="J112" s="124" t="inlineStr">
        <is>
          <t>Strong</t>
        </is>
      </c>
      <c r="K112" s="124" t="inlineStr">
        <is>
          <t>five-minute-sigh</t>
        </is>
      </c>
      <c r="L112" s="125" t="n">
        <v>46320</v>
      </c>
      <c r="M112" s="123">
        <f>IF(L112="","",TEXT(L112,"ddd"))</f>
        <v/>
      </c>
      <c r="N112" s="124" t="n"/>
      <c r="O112" s="124" t="n">
        <v>31</v>
      </c>
      <c r="P112" s="124" t="inlineStr">
        <is>
          <t>A 5-Minute Breath That Beat Mindfulness #shorts</t>
        </is>
      </c>
      <c r="Q112" s="124" t="inlineStr">
        <is>
          <t>Balban et al. (2023, Cell Reports Medicine, Stanford): 5 minutes a day of cyclic sighing (inhale, second short inhale, long exhale) for a month raised daily positive mood more than mindfulness meditation; both reduced anxiety. Not medical advice.</t>
        </is>
      </c>
      <c r="R112" s="124" t="inlineStr">
        <is>
          <t>buffer:youtube=6adcff370b5343d0709a8cb9;instagram=6adcff373d5b27036b9b9fe3;tiktok=6adcff38e4be8a4d86734d26</t>
        </is>
      </c>
      <c r="S112" s="126" t="n"/>
      <c r="T112" s="124" t="n"/>
      <c r="U112" s="127">
        <f>IF(OR(T112="",N(O112)=0),"",T112/O112)</f>
        <v/>
      </c>
      <c r="V112" s="124" t="n"/>
      <c r="W112" s="124" t="n"/>
      <c r="X112" s="124" t="n"/>
      <c r="Y112" s="126" t="n"/>
      <c r="Z112" s="124" t="n"/>
      <c r="AA112" s="126" t="n"/>
      <c r="AB112" s="124" t="n"/>
      <c r="AC112" s="128">
        <f>IF(COUNT(S112,Y112,AA112)=0,"",SUM(S112,Y112,AA112))</f>
        <v/>
      </c>
      <c r="AD112" s="127">
        <f>IF(N(AC112)=0,"",SUM(V112,W112,X112,Z112,AB112)/AC112)</f>
        <v/>
      </c>
      <c r="AE112" s="126" t="n"/>
      <c r="AF112" s="126" t="n"/>
      <c r="AG112" s="126" t="n"/>
      <c r="AH112" s="128">
        <f>IF(COUNT(AE112,AF112,AG112)=0,"",SUM(AE112,AF112,AG112))</f>
        <v/>
      </c>
      <c r="AI112" s="126" t="n"/>
      <c r="AJ112" s="126" t="n"/>
      <c r="AK112" s="126" t="n"/>
      <c r="AL112" s="128">
        <f>IF(COUNT(AI112,AJ112,AK112)=0,"",SUM(AI112,AJ112,AK112))</f>
        <v/>
      </c>
      <c r="AM112" s="123">
        <f>IF(N(AC112)=0,"",IF(COUNT($AC$6:$AC$105)&lt;5,"Too early",IF(AC112&gt;=1.5*MEDIAN($AC$6:$AC$105),"Top",IF(AC112&lt;=0.5*MEDIAN($AC$6:$AC$105),"Low","Average"))))</f>
        <v/>
      </c>
      <c r="AN112" s="124" t="inlineStr">
        <is>
          <t>2026-10-24: pulled from Buffer for the stick story format (Shivam)</t>
        </is>
      </c>
      <c r="AO112" s="124" t="inlineStr">
        <is>
          <t>ted2</t>
        </is>
      </c>
      <c r="AP112" s="129" t="n"/>
      <c r="AQ112" s="129" t="n"/>
      <c r="AR112" s="129" t="n"/>
      <c r="AS112" s="129" t="n"/>
      <c r="AT112" s="129" t="n"/>
      <c r="AU112" s="129" t="n"/>
      <c r="AV112" s="130" t="inlineStr">
        <is>
          <t>Therapist tip</t>
        </is>
      </c>
    </row>
    <row r="113">
      <c r="A113" s="123" t="n">
        <v>108</v>
      </c>
      <c r="B113" s="123" t="inlineStr">
        <is>
          <t>Pattern: Relationships &amp; likability</t>
        </is>
      </c>
      <c r="C113" s="123" t="inlineStr">
        <is>
          <t>Why small mistakes make you likable (pratfall effect)</t>
        </is>
      </c>
      <c r="D113" s="123" t="inlineStr">
        <is>
          <t>The most likable person might be the one who SPILLS their coffee.</t>
        </is>
      </c>
      <c r="E113" s="123" t="inlineStr">
        <is>
          <t>Aronson, Willerman &amp; Floyd 1966: 92% contestant</t>
        </is>
      </c>
      <c r="F113" s="123" t="n"/>
      <c r="G113" s="123" t="n">
        <v>30</v>
      </c>
      <c r="H113" s="123" t="inlineStr">
        <is>
          <t>Vetoed</t>
        </is>
      </c>
      <c r="I113" s="124" t="n">
        <v>6</v>
      </c>
      <c r="J113" s="124" t="inlineStr">
        <is>
          <t>Strong</t>
        </is>
      </c>
      <c r="K113" s="124" t="inlineStr">
        <is>
          <t>coffee-spill-effect</t>
        </is>
      </c>
      <c r="L113" s="125" t="n">
        <v>46320</v>
      </c>
      <c r="M113" s="123">
        <f>IF(L113="","",TEXT(L113,"ddd"))</f>
        <v/>
      </c>
      <c r="N113" s="124" t="n"/>
      <c r="O113" s="124" t="n">
        <v>36</v>
      </c>
      <c r="P113" s="124" t="inlineStr">
        <is>
          <t>Why Small Mistakes Make People Like You More #shorts</t>
        </is>
      </c>
      <c r="Q113" s="124" t="inlineStr">
        <is>
          <t>Aronson, Willerman &amp; Floyd (1966): students heard a taped quiz contestant who answered 92% of questions right; when he spilled coffee on himself he was rated more likable. An average contestant who spilled was rated less likable. The pratfall effect.</t>
        </is>
      </c>
      <c r="R113" s="124" t="inlineStr">
        <is>
          <t>buffer:youtube=6adcff3a8b3d437ddcd3ce6a;instagram=6adcff3ae4be8a4d86734d77;tiktok=6adcff3a0b5343d0709a8d2b</t>
        </is>
      </c>
      <c r="S113" s="126" t="n"/>
      <c r="T113" s="124" t="n"/>
      <c r="U113" s="127">
        <f>IF(OR(T113="",N(O113)=0),"",T113/O113)</f>
        <v/>
      </c>
      <c r="V113" s="124" t="n"/>
      <c r="W113" s="124" t="n"/>
      <c r="X113" s="124" t="n"/>
      <c r="Y113" s="126" t="n"/>
      <c r="Z113" s="124" t="n"/>
      <c r="AA113" s="126" t="n"/>
      <c r="AB113" s="124" t="n"/>
      <c r="AC113" s="128">
        <f>IF(COUNT(S113,Y113,AA113)=0,"",SUM(S113,Y113,AA113))</f>
        <v/>
      </c>
      <c r="AD113" s="127">
        <f>IF(N(AC113)=0,"",SUM(V113,W113,X113,Z113,AB113)/AC113)</f>
        <v/>
      </c>
      <c r="AE113" s="126" t="n"/>
      <c r="AF113" s="126" t="n"/>
      <c r="AG113" s="126" t="n"/>
      <c r="AH113" s="128">
        <f>IF(COUNT(AE113,AF113,AG113)=0,"",SUM(AE113,AF113,AG113))</f>
        <v/>
      </c>
      <c r="AI113" s="126" t="n"/>
      <c r="AJ113" s="126" t="n"/>
      <c r="AK113" s="126" t="n"/>
      <c r="AL113" s="128">
        <f>IF(COUNT(AI113,AJ113,AK113)=0,"",SUM(AI113,AJ113,AK113))</f>
        <v/>
      </c>
      <c r="AM113" s="123">
        <f>IF(N(AC113)=0,"",IF(COUNT($AC$6:$AC$105)&lt;5,"Too early",IF(AC113&gt;=1.5*MEDIAN($AC$6:$AC$105),"Top",IF(AC113&lt;=0.5*MEDIAN($AC$6:$AC$105),"Low","Average"))))</f>
        <v/>
      </c>
      <c r="AN113" s="124" t="inlineStr">
        <is>
          <t>2026-10-24: pulled from Buffer for the stick story format (Shivam)</t>
        </is>
      </c>
      <c r="AO113" s="124" t="inlineStr">
        <is>
          <t>ted2</t>
        </is>
      </c>
      <c r="AP113" s="129" t="n"/>
      <c r="AQ113" s="129" t="n"/>
      <c r="AR113" s="129" t="n"/>
      <c r="AS113" s="129" t="n"/>
      <c r="AT113" s="129" t="n"/>
      <c r="AU113" s="129" t="n"/>
      <c r="AV113" s="130" t="inlineStr">
        <is>
          <t>Relationships &amp; likability</t>
        </is>
      </c>
    </row>
    <row r="114">
      <c r="A114" s="123" t="n">
        <v>109</v>
      </c>
      <c r="B114" s="123" t="inlineStr">
        <is>
          <t>Pattern: Strange named effect</t>
        </is>
      </c>
      <c r="C114" s="123" t="inlineStr">
        <is>
          <t>The Tetris effect: your brain replays what you repeat</t>
        </is>
      </c>
      <c r="D114" s="123" t="inlineStr">
        <is>
          <t>Play a game for hours and your brain plays it while you SLEEP.</t>
        </is>
      </c>
      <c r="E114" s="123" t="inlineStr">
        <is>
          <t>Stickgold et al. 2000 Science: Tetris imagery at sleep onset, even in amnesic patients</t>
        </is>
      </c>
      <c r="F114" s="123" t="n"/>
      <c r="G114" s="123" t="n">
        <v>30</v>
      </c>
      <c r="H114" s="123" t="inlineStr">
        <is>
          <t>Idea</t>
        </is>
      </c>
      <c r="I114" s="124" t="n">
        <v>7</v>
      </c>
      <c r="J114" s="124" t="inlineStr">
        <is>
          <t>Strong</t>
        </is>
      </c>
      <c r="K114" s="124" t="inlineStr">
        <is>
          <t>tetris-effect</t>
        </is>
      </c>
      <c r="L114" s="125" t="n"/>
      <c r="M114" s="123">
        <f>IF(L114="","",TEXT(L114,"ddd"))</f>
        <v/>
      </c>
      <c r="N114" s="124" t="inlineStr">
        <is>
          <t>pattern</t>
        </is>
      </c>
      <c r="O114" s="124" t="n"/>
      <c r="P114" s="124" t="n"/>
      <c r="Q114" s="124" t="inlineStr">
        <is>
          <t>Stickgold et al. (2000, Science): after playing Tetris for hours over three days, more than 60% of players (17 of 27) saw falling blocks at sleep onset, including 3 of 5 amnesic patients who couldn't remember playing. The Tetris effect.</t>
        </is>
      </c>
      <c r="R114" s="124" t="n"/>
      <c r="S114" s="126" t="n"/>
      <c r="T114" s="124" t="n"/>
      <c r="U114" s="127">
        <f>IF(OR(T114="",N(O114)=0),"",T114/O114)</f>
        <v/>
      </c>
      <c r="V114" s="124" t="n"/>
      <c r="W114" s="124" t="n"/>
      <c r="X114" s="124" t="n"/>
      <c r="Y114" s="126" t="n"/>
      <c r="Z114" s="124" t="n"/>
      <c r="AA114" s="126" t="n"/>
      <c r="AB114" s="124" t="n"/>
      <c r="AC114" s="128">
        <f>IF(COUNT(S114,Y114,AA114)=0,"",SUM(S114,Y114,AA114))</f>
        <v/>
      </c>
      <c r="AD114" s="127">
        <f>IF(N(AC114)=0,"",SUM(V114,W114,X114,Z114,AB114)/AC114)</f>
        <v/>
      </c>
      <c r="AE114" s="126" t="n"/>
      <c r="AF114" s="126" t="n"/>
      <c r="AG114" s="126" t="n"/>
      <c r="AH114" s="128">
        <f>IF(COUNT(AE114,AF114,AG114)=0,"",SUM(AE114,AF114,AG114))</f>
        <v/>
      </c>
      <c r="AI114" s="126" t="n"/>
      <c r="AJ114" s="126" t="n"/>
      <c r="AK114" s="126" t="n"/>
      <c r="AL114" s="128">
        <f>IF(COUNT(AI114,AJ114,AK114)=0,"",SUM(AI114,AJ114,AK114))</f>
        <v/>
      </c>
      <c r="AM114" s="123">
        <f>IF(N(AC114)=0,"",IF(COUNT($AC$6:$AC$105)&lt;5,"Too early",IF(AC114&gt;=1.5*MEDIAN($AC$6:$AC$105),"Top",IF(AC114&lt;=0.5*MEDIAN($AC$6:$AC$105),"Low","Average"))))</f>
        <v/>
      </c>
      <c r="AN114" s="124" t="inlineStr">
        <is>
          <t>2026-10-25: explainer script shelved; rewrite as a stick character story (Shivam)</t>
        </is>
      </c>
      <c r="AO114" s="124" t="inlineStr">
        <is>
          <t>ted2</t>
        </is>
      </c>
      <c r="AP114" s="129" t="n"/>
      <c r="AQ114" s="129" t="n"/>
      <c r="AR114" s="129" t="n"/>
      <c r="AS114" s="129" t="n"/>
      <c r="AT114" s="129" t="n"/>
      <c r="AU114" s="129" t="n"/>
      <c r="AV114" s="130" t="inlineStr">
        <is>
          <t>Strange named effect</t>
        </is>
      </c>
    </row>
    <row r="115">
      <c r="A115" s="123" t="n">
        <v>110</v>
      </c>
      <c r="B115" s="123" t="inlineStr">
        <is>
          <t>Pattern: Quiz / test yourself</t>
        </is>
      </c>
      <c r="C115" s="123" t="inlineStr">
        <is>
          <t>Can you solve the bat-and-ball question? (CRT)</t>
        </is>
      </c>
      <c r="D115" s="123" t="inlineStr">
        <is>
          <t>A bat and a ball cost $1.10. Most Ivy League students got this WRONG.</t>
        </is>
      </c>
      <c r="E115" s="123" t="inlineStr">
        <is>
          <t>Frederick 2005 Cognitive Reflection Test</t>
        </is>
      </c>
      <c r="F115" s="123" t="n"/>
      <c r="G115" s="123" t="n">
        <v>30</v>
      </c>
      <c r="H115" s="123" t="inlineStr">
        <is>
          <t>Idea</t>
        </is>
      </c>
      <c r="I115" s="124" t="n">
        <v>8</v>
      </c>
      <c r="J115" s="124" t="inlineStr">
        <is>
          <t>Strong</t>
        </is>
      </c>
      <c r="K115" s="124" t="inlineStr">
        <is>
          <t>bat-and-ball</t>
        </is>
      </c>
      <c r="L115" s="125" t="n"/>
      <c r="M115" s="123">
        <f>IF(L115="","",TEXT(L115,"ddd"))</f>
        <v/>
      </c>
      <c r="N115" s="124" t="inlineStr">
        <is>
          <t>pattern</t>
        </is>
      </c>
      <c r="O115" s="124" t="n"/>
      <c r="P115" s="124" t="n"/>
      <c r="Q115" s="124" t="inlineStr">
        <is>
          <t>The bat-and-ball question from Shane Frederick's Cognitive Reflection Test (2005): a bat and a ball cost $1.10 together and the bat costs $1 more than the ball. The intuitive answer (10 cents) is wrong; the ball costs 5 cents. More than half of stude</t>
        </is>
      </c>
      <c r="R115" s="124" t="n"/>
      <c r="S115" s="126" t="n"/>
      <c r="T115" s="124" t="n"/>
      <c r="U115" s="127">
        <f>IF(OR(T115="",N(O115)=0),"",T115/O115)</f>
        <v/>
      </c>
      <c r="V115" s="124" t="n"/>
      <c r="W115" s="124" t="n"/>
      <c r="X115" s="124" t="n"/>
      <c r="Y115" s="126" t="n"/>
      <c r="Z115" s="124" t="n"/>
      <c r="AA115" s="126" t="n"/>
      <c r="AB115" s="124" t="n"/>
      <c r="AC115" s="128">
        <f>IF(COUNT(S115,Y115,AA115)=0,"",SUM(S115,Y115,AA115))</f>
        <v/>
      </c>
      <c r="AD115" s="127">
        <f>IF(N(AC115)=0,"",SUM(V115,W115,X115,Z115,AB115)/AC115)</f>
        <v/>
      </c>
      <c r="AE115" s="126" t="n"/>
      <c r="AF115" s="126" t="n"/>
      <c r="AG115" s="126" t="n"/>
      <c r="AH115" s="128">
        <f>IF(COUNT(AE115,AF115,AG115)=0,"",SUM(AE115,AF115,AG115))</f>
        <v/>
      </c>
      <c r="AI115" s="126" t="n"/>
      <c r="AJ115" s="126" t="n"/>
      <c r="AK115" s="126" t="n"/>
      <c r="AL115" s="128">
        <f>IF(COUNT(AI115,AJ115,AK115)=0,"",SUM(AI115,AJ115,AK115))</f>
        <v/>
      </c>
      <c r="AM115" s="123">
        <f>IF(N(AC115)=0,"",IF(COUNT($AC$6:$AC$105)&lt;5,"Too early",IF(AC115&gt;=1.5*MEDIAN($AC$6:$AC$105),"Top",IF(AC115&lt;=0.5*MEDIAN($AC$6:$AC$105),"Low","Average"))))</f>
        <v/>
      </c>
      <c r="AN115" s="124" t="inlineStr">
        <is>
          <t>2026-10-25: explainer script shelved; rewrite as a stick character story (Shivam)</t>
        </is>
      </c>
      <c r="AO115" s="124" t="inlineStr">
        <is>
          <t>ted2</t>
        </is>
      </c>
      <c r="AP115" s="129" t="n"/>
      <c r="AQ115" s="129" t="n"/>
      <c r="AR115" s="129" t="n"/>
      <c r="AS115" s="129" t="n"/>
      <c r="AT115" s="129" t="n"/>
      <c r="AU115" s="129" t="n"/>
      <c r="AV115" s="130" t="inlineStr">
        <is>
          <t>Quiz / test yourself</t>
        </is>
      </c>
    </row>
    <row r="116">
      <c r="A116" s="123" t="n">
        <v>111</v>
      </c>
      <c r="B116" s="123" t="inlineStr">
        <is>
          <t>Pattern: Presence &amp; influence rules</t>
        </is>
      </c>
      <c r="C116" s="123" t="inlineStr">
        <is>
          <t>Repeat their words, get bigger tips (mirroring)</t>
        </is>
      </c>
      <c r="D116" s="123" t="inlineStr">
        <is>
          <t>Waiters who did ONE thing got much bigger tips.</t>
        </is>
      </c>
      <c r="E116" s="123" t="inlineStr">
        <is>
          <t>van Baaren et al. 2003: repeating orders verbatim raised tips</t>
        </is>
      </c>
      <c r="F116" s="123" t="n"/>
      <c r="G116" s="123" t="n">
        <v>30</v>
      </c>
      <c r="H116" s="123" t="inlineStr">
        <is>
          <t>Idea</t>
        </is>
      </c>
      <c r="I116" s="124" t="n">
        <v>9</v>
      </c>
      <c r="J116" s="124" t="inlineStr">
        <is>
          <t>Strong</t>
        </is>
      </c>
      <c r="K116" s="124" t="inlineStr">
        <is>
          <t>mirroring-tips</t>
        </is>
      </c>
      <c r="L116" s="125" t="n"/>
      <c r="M116" s="123">
        <f>IF(L116="","",TEXT(L116,"ddd"))</f>
        <v/>
      </c>
      <c r="N116" s="124" t="inlineStr">
        <is>
          <t>pattern</t>
        </is>
      </c>
      <c r="O116" s="124" t="n"/>
      <c r="P116" s="124" t="n"/>
      <c r="Q116" s="124" t="inlineStr">
        <is>
          <t>van Baaren, Holland, Steenaert &amp; van Knippenberg (2003): in a restaurant in the Netherlands, a waitress who repeated customers' orders back word for word received almost twice the tip she got when she only said things like "coming right up". Verbal m</t>
        </is>
      </c>
      <c r="R116" s="124" t="n"/>
      <c r="S116" s="126" t="n"/>
      <c r="T116" s="124" t="n"/>
      <c r="U116" s="127">
        <f>IF(OR(T116="",N(O116)=0),"",T116/O116)</f>
        <v/>
      </c>
      <c r="V116" s="124" t="n"/>
      <c r="W116" s="124" t="n"/>
      <c r="X116" s="124" t="n"/>
      <c r="Y116" s="126" t="n"/>
      <c r="Z116" s="124" t="n"/>
      <c r="AA116" s="126" t="n"/>
      <c r="AB116" s="124" t="n"/>
      <c r="AC116" s="128">
        <f>IF(COUNT(S116,Y116,AA116)=0,"",SUM(S116,Y116,AA116))</f>
        <v/>
      </c>
      <c r="AD116" s="127">
        <f>IF(N(AC116)=0,"",SUM(V116,W116,X116,Z116,AB116)/AC116)</f>
        <v/>
      </c>
      <c r="AE116" s="126" t="n"/>
      <c r="AF116" s="126" t="n"/>
      <c r="AG116" s="126" t="n"/>
      <c r="AH116" s="128">
        <f>IF(COUNT(AE116,AF116,AG116)=0,"",SUM(AE116,AF116,AG116))</f>
        <v/>
      </c>
      <c r="AI116" s="126" t="n"/>
      <c r="AJ116" s="126" t="n"/>
      <c r="AK116" s="126" t="n"/>
      <c r="AL116" s="128">
        <f>IF(COUNT(AI116,AJ116,AK116)=0,"",SUM(AI116,AJ116,AK116))</f>
        <v/>
      </c>
      <c r="AM116" s="123">
        <f>IF(N(AC116)=0,"",IF(COUNT($AC$6:$AC$105)&lt;5,"Too early",IF(AC116&gt;=1.5*MEDIAN($AC$6:$AC$105),"Top",IF(AC116&lt;=0.5*MEDIAN($AC$6:$AC$105),"Low","Average"))))</f>
        <v/>
      </c>
      <c r="AN116" s="124" t="inlineStr">
        <is>
          <t>2026-10-25: explainer script shelved; rewrite as a stick character story (Shivam)</t>
        </is>
      </c>
      <c r="AO116" s="124" t="inlineStr">
        <is>
          <t>ted2</t>
        </is>
      </c>
      <c r="AP116" s="129" t="n"/>
      <c r="AQ116" s="129" t="n"/>
      <c r="AR116" s="129" t="n"/>
      <c r="AS116" s="129" t="n"/>
      <c r="AT116" s="129" t="n"/>
      <c r="AU116" s="129" t="n"/>
      <c r="AV116" s="130" t="inlineStr">
        <is>
          <t>Presence &amp; influence rules</t>
        </is>
      </c>
    </row>
    <row r="117">
      <c r="A117" s="123" t="n">
        <v>112</v>
      </c>
      <c r="B117" s="123" t="inlineStr">
        <is>
          <t>Pattern: Psychology says (15 s loop)</t>
        </is>
      </c>
      <c r="C117" s="123" t="inlineStr">
        <is>
          <t>Psychology says: asking a favor makes them like you</t>
        </is>
      </c>
      <c r="D117" s="123" t="inlineStr">
        <is>
          <t>Psychology says: want someone to like you? Ask THEM for a favor.</t>
        </is>
      </c>
      <c r="E117" s="123" t="inlineStr">
        <is>
          <t>Jecker &amp; Landy 1969; Franklin's book anecdote</t>
        </is>
      </c>
      <c r="F117" s="123" t="n"/>
      <c r="G117" s="123" t="n">
        <v>30</v>
      </c>
      <c r="H117" s="123" t="inlineStr">
        <is>
          <t>Idea</t>
        </is>
      </c>
      <c r="I117" s="124" t="n">
        <v>10</v>
      </c>
      <c r="J117" s="124" t="inlineStr">
        <is>
          <t>Strong</t>
        </is>
      </c>
      <c r="K117" s="124" t="inlineStr">
        <is>
          <t>ben-franklin-effect</t>
        </is>
      </c>
      <c r="L117" s="125" t="n"/>
      <c r="M117" s="123">
        <f>IF(L117="","",TEXT(L117,"ddd"))</f>
        <v/>
      </c>
      <c r="N117" s="124" t="n"/>
      <c r="O117" s="124" t="n"/>
      <c r="P117" s="124" t="n"/>
      <c r="Q117" s="124" t="n"/>
      <c r="R117" s="124" t="n"/>
      <c r="S117" s="126" t="n"/>
      <c r="T117" s="124" t="n"/>
      <c r="U117" s="127">
        <f>IF(OR(T117="",N(O117)=0),"",T117/O117)</f>
        <v/>
      </c>
      <c r="V117" s="124" t="n"/>
      <c r="W117" s="124" t="n"/>
      <c r="X117" s="124" t="n"/>
      <c r="Y117" s="126" t="n"/>
      <c r="Z117" s="124" t="n"/>
      <c r="AA117" s="126" t="n"/>
      <c r="AB117" s="124" t="n"/>
      <c r="AC117" s="128">
        <f>IF(COUNT(S117,Y117,AA117)=0,"",SUM(S117,Y117,AA117))</f>
        <v/>
      </c>
      <c r="AD117" s="127">
        <f>IF(N(AC117)=0,"",SUM(V117,W117,X117,Z117,AB117)/AC117)</f>
        <v/>
      </c>
      <c r="AE117" s="126" t="n"/>
      <c r="AF117" s="126" t="n"/>
      <c r="AG117" s="126" t="n"/>
      <c r="AH117" s="128">
        <f>IF(COUNT(AE117,AF117,AG117)=0,"",SUM(AE117,AF117,AG117))</f>
        <v/>
      </c>
      <c r="AI117" s="126" t="n"/>
      <c r="AJ117" s="126" t="n"/>
      <c r="AK117" s="126" t="n"/>
      <c r="AL117" s="128">
        <f>IF(COUNT(AI117,AJ117,AK117)=0,"",SUM(AI117,AJ117,AK117))</f>
        <v/>
      </c>
      <c r="AM117" s="123">
        <f>IF(N(AC117)=0,"",IF(COUNT($AC$6:$AC$105)&lt;5,"Too early",IF(AC117&gt;=1.5*MEDIAN($AC$6:$AC$105),"Top",IF(AC117&lt;=0.5*MEDIAN($AC$6:$AC$105),"Low","Average"))))</f>
        <v/>
      </c>
      <c r="AN117" s="124" t="n"/>
      <c r="AO117" s="124" t="inlineStr">
        <is>
          <t>ted2</t>
        </is>
      </c>
      <c r="AP117" s="129" t="n"/>
      <c r="AQ117" s="129" t="n"/>
      <c r="AR117" s="129" t="n"/>
      <c r="AS117" s="129" t="n"/>
      <c r="AT117" s="129" t="n"/>
      <c r="AU117" s="129" t="n"/>
      <c r="AV117" s="130" t="inlineStr">
        <is>
          <t>Psychology says (15 s loop)</t>
        </is>
      </c>
    </row>
    <row r="118">
      <c r="A118" s="123" t="n">
        <v>113</v>
      </c>
      <c r="B118" s="123" t="inlineStr">
        <is>
          <t>Pattern: Experiment story</t>
        </is>
      </c>
      <c r="C118" s="123" t="inlineStr">
        <is>
          <t>The Good Samaritan experiment: hurry kills kindness</t>
        </is>
      </c>
      <c r="D118" s="123" t="inlineStr">
        <is>
          <t>Seminary students on their way to talk about HELPING walked past a man in need.</t>
        </is>
      </c>
      <c r="E118" s="123" t="inlineStr">
        <is>
          <t>Darley &amp; Batson 1973: 63% vs 10% helped by hurry level</t>
        </is>
      </c>
      <c r="F118" s="123" t="n"/>
      <c r="G118" s="123" t="n">
        <v>30</v>
      </c>
      <c r="H118" s="123" t="inlineStr">
        <is>
          <t>Idea</t>
        </is>
      </c>
      <c r="I118" s="124" t="n">
        <v>11</v>
      </c>
      <c r="J118" s="124" t="inlineStr">
        <is>
          <t>Strong</t>
        </is>
      </c>
      <c r="K118" s="124" t="inlineStr">
        <is>
          <t>good-samaritan-hurry</t>
        </is>
      </c>
      <c r="L118" s="125" t="n"/>
      <c r="M118" s="123">
        <f>IF(L118="","",TEXT(L118,"ddd"))</f>
        <v/>
      </c>
      <c r="N118" s="124" t="n"/>
      <c r="O118" s="124" t="n"/>
      <c r="P118" s="124" t="n"/>
      <c r="Q118" s="124" t="n"/>
      <c r="R118" s="124" t="n"/>
      <c r="S118" s="126" t="n"/>
      <c r="T118" s="124" t="n"/>
      <c r="U118" s="127">
        <f>IF(OR(T118="",N(O118)=0),"",T118/O118)</f>
        <v/>
      </c>
      <c r="V118" s="124" t="n"/>
      <c r="W118" s="124" t="n"/>
      <c r="X118" s="124" t="n"/>
      <c r="Y118" s="126" t="n"/>
      <c r="Z118" s="124" t="n"/>
      <c r="AA118" s="126" t="n"/>
      <c r="AB118" s="124" t="n"/>
      <c r="AC118" s="128">
        <f>IF(COUNT(S118,Y118,AA118)=0,"",SUM(S118,Y118,AA118))</f>
        <v/>
      </c>
      <c r="AD118" s="127">
        <f>IF(N(AC118)=0,"",SUM(V118,W118,X118,Z118,AB118)/AC118)</f>
        <v/>
      </c>
      <c r="AE118" s="126" t="n"/>
      <c r="AF118" s="126" t="n"/>
      <c r="AG118" s="126" t="n"/>
      <c r="AH118" s="128">
        <f>IF(COUNT(AE118,AF118,AG118)=0,"",SUM(AE118,AF118,AG118))</f>
        <v/>
      </c>
      <c r="AI118" s="126" t="n"/>
      <c r="AJ118" s="126" t="n"/>
      <c r="AK118" s="126" t="n"/>
      <c r="AL118" s="128">
        <f>IF(COUNT(AI118,AJ118,AK118)=0,"",SUM(AI118,AJ118,AK118))</f>
        <v/>
      </c>
      <c r="AM118" s="123">
        <f>IF(N(AC118)=0,"",IF(COUNT($AC$6:$AC$105)&lt;5,"Too early",IF(AC118&gt;=1.5*MEDIAN($AC$6:$AC$105),"Top",IF(AC118&lt;=0.5*MEDIAN($AC$6:$AC$105),"Low","Average"))))</f>
        <v/>
      </c>
      <c r="AN118" s="124" t="n"/>
      <c r="AO118" s="124" t="inlineStr">
        <is>
          <t>ted2</t>
        </is>
      </c>
      <c r="AP118" s="129" t="n"/>
      <c r="AQ118" s="129" t="n"/>
      <c r="AR118" s="129" t="n"/>
      <c r="AS118" s="129" t="n"/>
      <c r="AT118" s="129" t="n"/>
      <c r="AU118" s="129" t="n"/>
      <c r="AV118" s="130" t="inlineStr">
        <is>
          <t>Experiment story</t>
        </is>
      </c>
    </row>
    <row r="119">
      <c r="A119" s="123" t="n">
        <v>114</v>
      </c>
      <c r="B119" s="123" t="inlineStr">
        <is>
          <t>Pattern: Protect yourself</t>
        </is>
      </c>
      <c r="C119" s="123" t="inlineStr">
        <is>
          <t>The big-no trick (door in the face)</t>
        </is>
      </c>
      <c r="D119" s="123" t="inlineStr">
        <is>
          <t>If someone asks for something HUGE first, the real ask is next.</t>
        </is>
      </c>
      <c r="E119" s="123" t="inlineStr">
        <is>
          <t>Cialdini et al. 1975: zoo chaperone 50% vs 17%</t>
        </is>
      </c>
      <c r="F119" s="123" t="n"/>
      <c r="G119" s="123" t="n">
        <v>30</v>
      </c>
      <c r="H119" s="123" t="inlineStr">
        <is>
          <t>Idea</t>
        </is>
      </c>
      <c r="I119" s="124" t="n">
        <v>12</v>
      </c>
      <c r="J119" s="124" t="inlineStr">
        <is>
          <t>Strong</t>
        </is>
      </c>
      <c r="K119" s="124" t="inlineStr">
        <is>
          <t>door-in-the-face</t>
        </is>
      </c>
      <c r="L119" s="125" t="n"/>
      <c r="M119" s="123">
        <f>IF(L119="","",TEXT(L119,"ddd"))</f>
        <v/>
      </c>
      <c r="N119" s="124" t="n"/>
      <c r="O119" s="124" t="n"/>
      <c r="P119" s="124" t="n"/>
      <c r="Q119" s="124" t="n"/>
      <c r="R119" s="124" t="n"/>
      <c r="S119" s="126" t="n"/>
      <c r="T119" s="124" t="n"/>
      <c r="U119" s="127">
        <f>IF(OR(T119="",N(O119)=0),"",T119/O119)</f>
        <v/>
      </c>
      <c r="V119" s="124" t="n"/>
      <c r="W119" s="124" t="n"/>
      <c r="X119" s="124" t="n"/>
      <c r="Y119" s="126" t="n"/>
      <c r="Z119" s="124" t="n"/>
      <c r="AA119" s="126" t="n"/>
      <c r="AB119" s="124" t="n"/>
      <c r="AC119" s="128">
        <f>IF(COUNT(S119,Y119,AA119)=0,"",SUM(S119,Y119,AA119))</f>
        <v/>
      </c>
      <c r="AD119" s="127">
        <f>IF(N(AC119)=0,"",SUM(V119,W119,X119,Z119,AB119)/AC119)</f>
        <v/>
      </c>
      <c r="AE119" s="126" t="n"/>
      <c r="AF119" s="126" t="n"/>
      <c r="AG119" s="126" t="n"/>
      <c r="AH119" s="128">
        <f>IF(COUNT(AE119,AF119,AG119)=0,"",SUM(AE119,AF119,AG119))</f>
        <v/>
      </c>
      <c r="AI119" s="126" t="n"/>
      <c r="AJ119" s="126" t="n"/>
      <c r="AK119" s="126" t="n"/>
      <c r="AL119" s="128">
        <f>IF(COUNT(AI119,AJ119,AK119)=0,"",SUM(AI119,AJ119,AK119))</f>
        <v/>
      </c>
      <c r="AM119" s="123">
        <f>IF(N(AC119)=0,"",IF(COUNT($AC$6:$AC$105)&lt;5,"Too early",IF(AC119&gt;=1.5*MEDIAN($AC$6:$AC$105),"Top",IF(AC119&lt;=0.5*MEDIAN($AC$6:$AC$105),"Low","Average"))))</f>
        <v/>
      </c>
      <c r="AN119" s="124" t="n"/>
      <c r="AO119" s="124" t="inlineStr">
        <is>
          <t>ted2</t>
        </is>
      </c>
      <c r="AP119" s="129" t="n"/>
      <c r="AQ119" s="129" t="n"/>
      <c r="AR119" s="129" t="n"/>
      <c r="AS119" s="129" t="n"/>
      <c r="AT119" s="129" t="n"/>
      <c r="AU119" s="129" t="n"/>
      <c r="AV119" s="130" t="inlineStr">
        <is>
          <t>Protect yourself</t>
        </is>
      </c>
    </row>
    <row r="120">
      <c r="A120" s="123" t="n">
        <v>115</v>
      </c>
      <c r="B120" s="123" t="inlineStr">
        <is>
          <t>Pattern: Psychology of people who</t>
        </is>
      </c>
      <c r="C120" s="123" t="inlineStr">
        <is>
          <t>Psychology of people who doodle in meetings</t>
        </is>
      </c>
      <c r="D120" s="123" t="inlineStr">
        <is>
          <t>Psychology of people who DOODLE: they may remember more.</t>
        </is>
      </c>
      <c r="E120" s="123" t="inlineStr">
        <is>
          <t>Andrade 2009: doodlers recalled 29% more</t>
        </is>
      </c>
      <c r="F120" s="123" t="n"/>
      <c r="G120" s="123" t="n">
        <v>30</v>
      </c>
      <c r="H120" s="123" t="inlineStr">
        <is>
          <t>Idea</t>
        </is>
      </c>
      <c r="I120" s="124" t="n">
        <v>13</v>
      </c>
      <c r="J120" s="124" t="inlineStr">
        <is>
          <t>Strong</t>
        </is>
      </c>
      <c r="K120" s="124" t="inlineStr">
        <is>
          <t>doodlers</t>
        </is>
      </c>
      <c r="L120" s="125" t="n"/>
      <c r="M120" s="123">
        <f>IF(L120="","",TEXT(L120,"ddd"))</f>
        <v/>
      </c>
      <c r="N120" s="124" t="n"/>
      <c r="O120" s="124" t="n"/>
      <c r="P120" s="124" t="n"/>
      <c r="Q120" s="124" t="n"/>
      <c r="R120" s="124" t="n"/>
      <c r="S120" s="126" t="n"/>
      <c r="T120" s="124" t="n"/>
      <c r="U120" s="127">
        <f>IF(OR(T120="",N(O120)=0),"",T120/O120)</f>
        <v/>
      </c>
      <c r="V120" s="124" t="n"/>
      <c r="W120" s="124" t="n"/>
      <c r="X120" s="124" t="n"/>
      <c r="Y120" s="126" t="n"/>
      <c r="Z120" s="124" t="n"/>
      <c r="AA120" s="126" t="n"/>
      <c r="AB120" s="124" t="n"/>
      <c r="AC120" s="128">
        <f>IF(COUNT(S120,Y120,AA120)=0,"",SUM(S120,Y120,AA120))</f>
        <v/>
      </c>
      <c r="AD120" s="127">
        <f>IF(N(AC120)=0,"",SUM(V120,W120,X120,Z120,AB120)/AC120)</f>
        <v/>
      </c>
      <c r="AE120" s="126" t="n"/>
      <c r="AF120" s="126" t="n"/>
      <c r="AG120" s="126" t="n"/>
      <c r="AH120" s="128">
        <f>IF(COUNT(AE120,AF120,AG120)=0,"",SUM(AE120,AF120,AG120))</f>
        <v/>
      </c>
      <c r="AI120" s="126" t="n"/>
      <c r="AJ120" s="126" t="n"/>
      <c r="AK120" s="126" t="n"/>
      <c r="AL120" s="128">
        <f>IF(COUNT(AI120,AJ120,AK120)=0,"",SUM(AI120,AJ120,AK120))</f>
        <v/>
      </c>
      <c r="AM120" s="123">
        <f>IF(N(AC120)=0,"",IF(COUNT($AC$6:$AC$105)&lt;5,"Too early",IF(AC120&gt;=1.5*MEDIAN($AC$6:$AC$105),"Top",IF(AC120&lt;=0.5*MEDIAN($AC$6:$AC$105),"Low","Average"))))</f>
        <v/>
      </c>
      <c r="AN120" s="124" t="n"/>
      <c r="AO120" s="124" t="inlineStr">
        <is>
          <t>ted2</t>
        </is>
      </c>
      <c r="AP120" s="129" t="n"/>
      <c r="AQ120" s="129" t="n"/>
      <c r="AR120" s="129" t="n"/>
      <c r="AS120" s="129" t="n"/>
      <c r="AT120" s="129" t="n"/>
      <c r="AU120" s="129" t="n"/>
      <c r="AV120" s="130" t="inlineStr">
        <is>
          <t>Psychology of people who</t>
        </is>
      </c>
    </row>
    <row r="121">
      <c r="A121" s="123" t="n">
        <v>116</v>
      </c>
      <c r="B121" s="123" t="inlineStr">
        <is>
          <t>Pattern: Numbered facts</t>
        </is>
      </c>
      <c r="C121" s="123" t="inlineStr">
        <is>
          <t>3 facts about first impressions</t>
        </is>
      </c>
      <c r="D121" s="123" t="inlineStr">
        <is>
          <t>People judge your face in a TENTH of a second.</t>
        </is>
      </c>
      <c r="E121" s="123" t="inlineStr">
        <is>
          <t>Willis &amp; Todorov 2006 (100 ms); Nisbett &amp; Wilson 1977 halo; Dion et al. 1972</t>
        </is>
      </c>
      <c r="F121" s="123" t="n"/>
      <c r="G121" s="123" t="n">
        <v>30</v>
      </c>
      <c r="H121" s="123" t="inlineStr">
        <is>
          <t>Idea</t>
        </is>
      </c>
      <c r="I121" s="124" t="n">
        <v>14</v>
      </c>
      <c r="J121" s="124" t="inlineStr">
        <is>
          <t>Strong</t>
        </is>
      </c>
      <c r="K121" s="124" t="inlineStr">
        <is>
          <t>first-impressions</t>
        </is>
      </c>
      <c r="L121" s="125" t="n"/>
      <c r="M121" s="123">
        <f>IF(L121="","",TEXT(L121,"ddd"))</f>
        <v/>
      </c>
      <c r="N121" s="124" t="n"/>
      <c r="O121" s="124" t="n"/>
      <c r="P121" s="124" t="n"/>
      <c r="Q121" s="124" t="n"/>
      <c r="R121" s="124" t="n"/>
      <c r="S121" s="126" t="n"/>
      <c r="T121" s="124" t="n"/>
      <c r="U121" s="127">
        <f>IF(OR(T121="",N(O121)=0),"",T121/O121)</f>
        <v/>
      </c>
      <c r="V121" s="124" t="n"/>
      <c r="W121" s="124" t="n"/>
      <c r="X121" s="124" t="n"/>
      <c r="Y121" s="126" t="n"/>
      <c r="Z121" s="124" t="n"/>
      <c r="AA121" s="126" t="n"/>
      <c r="AB121" s="124" t="n"/>
      <c r="AC121" s="128">
        <f>IF(COUNT(S121,Y121,AA121)=0,"",SUM(S121,Y121,AA121))</f>
        <v/>
      </c>
      <c r="AD121" s="127">
        <f>IF(N(AC121)=0,"",SUM(V121,W121,X121,Z121,AB121)/AC121)</f>
        <v/>
      </c>
      <c r="AE121" s="126" t="n"/>
      <c r="AF121" s="126" t="n"/>
      <c r="AG121" s="126" t="n"/>
      <c r="AH121" s="128">
        <f>IF(COUNT(AE121,AF121,AG121)=0,"",SUM(AE121,AF121,AG121))</f>
        <v/>
      </c>
      <c r="AI121" s="126" t="n"/>
      <c r="AJ121" s="126" t="n"/>
      <c r="AK121" s="126" t="n"/>
      <c r="AL121" s="128">
        <f>IF(COUNT(AI121,AJ121,AK121)=0,"",SUM(AI121,AJ121,AK121))</f>
        <v/>
      </c>
      <c r="AM121" s="123">
        <f>IF(N(AC121)=0,"",IF(COUNT($AC$6:$AC$105)&lt;5,"Too early",IF(AC121&gt;=1.5*MEDIAN($AC$6:$AC$105),"Top",IF(AC121&lt;=0.5*MEDIAN($AC$6:$AC$105),"Low","Average"))))</f>
        <v/>
      </c>
      <c r="AN121" s="124" t="n"/>
      <c r="AO121" s="124" t="inlineStr">
        <is>
          <t>ted2</t>
        </is>
      </c>
      <c r="AP121" s="129" t="n"/>
      <c r="AQ121" s="129" t="n"/>
      <c r="AR121" s="129" t="n"/>
      <c r="AS121" s="129" t="n"/>
      <c r="AT121" s="129" t="n"/>
      <c r="AU121" s="129" t="n"/>
      <c r="AV121" s="130" t="inlineStr">
        <is>
          <t>Numbered facts</t>
        </is>
      </c>
    </row>
    <row r="122">
      <c r="A122" s="123" t="n">
        <v>117</v>
      </c>
      <c r="B122" s="123" t="inlineStr">
        <is>
          <t>Pattern: Therapist tip</t>
        </is>
      </c>
      <c r="C122" s="123" t="inlineStr">
        <is>
          <t>Ask yourself this question when you're stuck (Solomon's paradox)</t>
        </is>
      </c>
      <c r="D122" s="123" t="inlineStr">
        <is>
          <t>Ask yourself THIS when you're stuck: what would I tell a friend?</t>
        </is>
      </c>
      <c r="E122" s="123" t="inlineStr">
        <is>
          <t>Grossmann &amp; Kross 2014: wiser reasoning about others' problems; self-distancing</t>
        </is>
      </c>
      <c r="F122" s="123" t="n"/>
      <c r="G122" s="123" t="n">
        <v>30</v>
      </c>
      <c r="H122" s="123" t="inlineStr">
        <is>
          <t>Idea</t>
        </is>
      </c>
      <c r="I122" s="124" t="n">
        <v>15</v>
      </c>
      <c r="J122" s="124" t="inlineStr">
        <is>
          <t>Strong</t>
        </is>
      </c>
      <c r="K122" s="124" t="inlineStr">
        <is>
          <t>friend-question</t>
        </is>
      </c>
      <c r="L122" s="125" t="n"/>
      <c r="M122" s="123">
        <f>IF(L122="","",TEXT(L122,"ddd"))</f>
        <v/>
      </c>
      <c r="N122" s="124" t="n"/>
      <c r="O122" s="124" t="n"/>
      <c r="P122" s="124" t="n"/>
      <c r="Q122" s="124" t="n"/>
      <c r="R122" s="124" t="n"/>
      <c r="S122" s="126" t="n"/>
      <c r="T122" s="124" t="n"/>
      <c r="U122" s="127">
        <f>IF(OR(T122="",N(O122)=0),"",T122/O122)</f>
        <v/>
      </c>
      <c r="V122" s="124" t="n"/>
      <c r="W122" s="124" t="n"/>
      <c r="X122" s="124" t="n"/>
      <c r="Y122" s="126" t="n"/>
      <c r="Z122" s="124" t="n"/>
      <c r="AA122" s="126" t="n"/>
      <c r="AB122" s="124" t="n"/>
      <c r="AC122" s="128">
        <f>IF(COUNT(S122,Y122,AA122)=0,"",SUM(S122,Y122,AA122))</f>
        <v/>
      </c>
      <c r="AD122" s="127">
        <f>IF(N(AC122)=0,"",SUM(V122,W122,X122,Z122,AB122)/AC122)</f>
        <v/>
      </c>
      <c r="AE122" s="126" t="n"/>
      <c r="AF122" s="126" t="n"/>
      <c r="AG122" s="126" t="n"/>
      <c r="AH122" s="128">
        <f>IF(COUNT(AE122,AF122,AG122)=0,"",SUM(AE122,AF122,AG122))</f>
        <v/>
      </c>
      <c r="AI122" s="126" t="n"/>
      <c r="AJ122" s="126" t="n"/>
      <c r="AK122" s="126" t="n"/>
      <c r="AL122" s="128">
        <f>IF(COUNT(AI122,AJ122,AK122)=0,"",SUM(AI122,AJ122,AK122))</f>
        <v/>
      </c>
      <c r="AM122" s="123">
        <f>IF(N(AC122)=0,"",IF(COUNT($AC$6:$AC$105)&lt;5,"Too early",IF(AC122&gt;=1.5*MEDIAN($AC$6:$AC$105),"Top",IF(AC122&lt;=0.5*MEDIAN($AC$6:$AC$105),"Low","Average"))))</f>
        <v/>
      </c>
      <c r="AN122" s="124" t="n"/>
      <c r="AO122" s="124" t="inlineStr">
        <is>
          <t>ted2</t>
        </is>
      </c>
      <c r="AP122" s="129" t="n"/>
      <c r="AQ122" s="129" t="n"/>
      <c r="AR122" s="129" t="n"/>
      <c r="AS122" s="129" t="n"/>
      <c r="AT122" s="129" t="n"/>
      <c r="AU122" s="129" t="n"/>
      <c r="AV122" s="130" t="inlineStr">
        <is>
          <t>Therapist tip</t>
        </is>
      </c>
    </row>
    <row r="123">
      <c r="A123" s="123" t="n">
        <v>118</v>
      </c>
      <c r="B123" s="123" t="inlineStr">
        <is>
          <t>Pattern: Relationships &amp; likability</t>
        </is>
      </c>
      <c r="C123" s="123" t="inlineStr">
        <is>
          <t>The shaky-bridge study: why fear feels like attraction</t>
        </is>
      </c>
      <c r="D123" s="123" t="inlineStr">
        <is>
          <t>Men on a SHAKY bridge were far more likely to call a woman they just met.</t>
        </is>
      </c>
      <c r="E123" s="123" t="inlineStr">
        <is>
          <t>Dutton &amp; Aron 1974 misattribution of arousal</t>
        </is>
      </c>
      <c r="F123" s="123" t="n"/>
      <c r="G123" s="123" t="n">
        <v>30</v>
      </c>
      <c r="H123" s="123" t="inlineStr">
        <is>
          <t>Idea</t>
        </is>
      </c>
      <c r="I123" s="124" t="n">
        <v>16</v>
      </c>
      <c r="J123" s="124" t="inlineStr">
        <is>
          <t>Strong</t>
        </is>
      </c>
      <c r="K123" s="124" t="inlineStr">
        <is>
          <t>shaky-bridge</t>
        </is>
      </c>
      <c r="L123" s="125" t="n"/>
      <c r="M123" s="123">
        <f>IF(L123="","",TEXT(L123,"ddd"))</f>
        <v/>
      </c>
      <c r="N123" s="124" t="n"/>
      <c r="O123" s="124" t="n"/>
      <c r="P123" s="124" t="n"/>
      <c r="Q123" s="124" t="n"/>
      <c r="R123" s="124" t="n"/>
      <c r="S123" s="126" t="n"/>
      <c r="T123" s="124" t="n"/>
      <c r="U123" s="127">
        <f>IF(OR(T123="",N(O123)=0),"",T123/O123)</f>
        <v/>
      </c>
      <c r="V123" s="124" t="n"/>
      <c r="W123" s="124" t="n"/>
      <c r="X123" s="124" t="n"/>
      <c r="Y123" s="126" t="n"/>
      <c r="Z123" s="124" t="n"/>
      <c r="AA123" s="126" t="n"/>
      <c r="AB123" s="124" t="n"/>
      <c r="AC123" s="128">
        <f>IF(COUNT(S123,Y123,AA123)=0,"",SUM(S123,Y123,AA123))</f>
        <v/>
      </c>
      <c r="AD123" s="127">
        <f>IF(N(AC123)=0,"",SUM(V123,W123,X123,Z123,AB123)/AC123)</f>
        <v/>
      </c>
      <c r="AE123" s="126" t="n"/>
      <c r="AF123" s="126" t="n"/>
      <c r="AG123" s="126" t="n"/>
      <c r="AH123" s="128">
        <f>IF(COUNT(AE123,AF123,AG123)=0,"",SUM(AE123,AF123,AG123))</f>
        <v/>
      </c>
      <c r="AI123" s="126" t="n"/>
      <c r="AJ123" s="126" t="n"/>
      <c r="AK123" s="126" t="n"/>
      <c r="AL123" s="128">
        <f>IF(COUNT(AI123,AJ123,AK123)=0,"",SUM(AI123,AJ123,AK123))</f>
        <v/>
      </c>
      <c r="AM123" s="123">
        <f>IF(N(AC123)=0,"",IF(COUNT($AC$6:$AC$105)&lt;5,"Too early",IF(AC123&gt;=1.5*MEDIAN($AC$6:$AC$105),"Top",IF(AC123&lt;=0.5*MEDIAN($AC$6:$AC$105),"Low","Average"))))</f>
        <v/>
      </c>
      <c r="AN123" s="124" t="n"/>
      <c r="AO123" s="124" t="inlineStr">
        <is>
          <t>ted2</t>
        </is>
      </c>
      <c r="AP123" s="129" t="n"/>
      <c r="AQ123" s="129" t="n"/>
      <c r="AR123" s="129" t="n"/>
      <c r="AS123" s="129" t="n"/>
      <c r="AT123" s="129" t="n"/>
      <c r="AU123" s="129" t="n"/>
      <c r="AV123" s="130" t="inlineStr">
        <is>
          <t>Relationships &amp; likability</t>
        </is>
      </c>
    </row>
    <row r="124">
      <c r="A124" s="123" t="n">
        <v>119</v>
      </c>
      <c r="B124" s="123" t="inlineStr">
        <is>
          <t>Pattern: Strange named effect</t>
        </is>
      </c>
      <c r="C124" s="123" t="inlineStr">
        <is>
          <t>Say a word 30 times and it stops meaning anything</t>
        </is>
      </c>
      <c r="D124" s="123" t="inlineStr">
        <is>
          <t>Say any word thirty times and it stops MEANING anything.</t>
        </is>
      </c>
      <c r="E124" s="123" t="inlineStr">
        <is>
          <t>Semantic satiation; Severance &amp; Washburn 1907; Lambert &amp; Jakobovits 1962</t>
        </is>
      </c>
      <c r="F124" s="123" t="n"/>
      <c r="G124" s="123" t="n">
        <v>30</v>
      </c>
      <c r="H124" s="123" t="inlineStr">
        <is>
          <t>Idea</t>
        </is>
      </c>
      <c r="I124" s="124" t="n">
        <v>17</v>
      </c>
      <c r="J124" s="124" t="inlineStr">
        <is>
          <t>Strong</t>
        </is>
      </c>
      <c r="K124" s="124" t="inlineStr">
        <is>
          <t>semantic-satiation</t>
        </is>
      </c>
      <c r="L124" s="125" t="n"/>
      <c r="M124" s="123">
        <f>IF(L124="","",TEXT(L124,"ddd"))</f>
        <v/>
      </c>
      <c r="N124" s="124" t="n"/>
      <c r="O124" s="124" t="n"/>
      <c r="P124" s="124" t="n"/>
      <c r="Q124" s="124" t="n"/>
      <c r="R124" s="124" t="n"/>
      <c r="S124" s="126" t="n"/>
      <c r="T124" s="124" t="n"/>
      <c r="U124" s="127">
        <f>IF(OR(T124="",N(O124)=0),"",T124/O124)</f>
        <v/>
      </c>
      <c r="V124" s="124" t="n"/>
      <c r="W124" s="124" t="n"/>
      <c r="X124" s="124" t="n"/>
      <c r="Y124" s="126" t="n"/>
      <c r="Z124" s="124" t="n"/>
      <c r="AA124" s="126" t="n"/>
      <c r="AB124" s="124" t="n"/>
      <c r="AC124" s="128">
        <f>IF(COUNT(S124,Y124,AA124)=0,"",SUM(S124,Y124,AA124))</f>
        <v/>
      </c>
      <c r="AD124" s="127">
        <f>IF(N(AC124)=0,"",SUM(V124,W124,X124,Z124,AB124)/AC124)</f>
        <v/>
      </c>
      <c r="AE124" s="126" t="n"/>
      <c r="AF124" s="126" t="n"/>
      <c r="AG124" s="126" t="n"/>
      <c r="AH124" s="128">
        <f>IF(COUNT(AE124,AF124,AG124)=0,"",SUM(AE124,AF124,AG124))</f>
        <v/>
      </c>
      <c r="AI124" s="126" t="n"/>
      <c r="AJ124" s="126" t="n"/>
      <c r="AK124" s="126" t="n"/>
      <c r="AL124" s="128">
        <f>IF(COUNT(AI124,AJ124,AK124)=0,"",SUM(AI124,AJ124,AK124))</f>
        <v/>
      </c>
      <c r="AM124" s="123">
        <f>IF(N(AC124)=0,"",IF(COUNT($AC$6:$AC$105)&lt;5,"Too early",IF(AC124&gt;=1.5*MEDIAN($AC$6:$AC$105),"Top",IF(AC124&lt;=0.5*MEDIAN($AC$6:$AC$105),"Low","Average"))))</f>
        <v/>
      </c>
      <c r="AN124" s="124" t="n"/>
      <c r="AO124" s="124" t="inlineStr">
        <is>
          <t>ted2</t>
        </is>
      </c>
      <c r="AP124" s="129" t="n"/>
      <c r="AQ124" s="129" t="n"/>
      <c r="AR124" s="129" t="n"/>
      <c r="AS124" s="129" t="n"/>
      <c r="AT124" s="129" t="n"/>
      <c r="AU124" s="129" t="n"/>
      <c r="AV124" s="130" t="inlineStr">
        <is>
          <t>Strange named effect</t>
        </is>
      </c>
    </row>
    <row r="125">
      <c r="A125" s="123" t="n">
        <v>120</v>
      </c>
      <c r="B125" s="123" t="inlineStr">
        <is>
          <t>Pattern: Quiz / test yourself</t>
        </is>
      </c>
      <c r="C125" s="123" t="inlineStr">
        <is>
          <t>Say the colour, not the word (Stroop test)</t>
        </is>
      </c>
      <c r="D125" s="123" t="inlineStr">
        <is>
          <t>Say the COLOUR, not the word. Most people trip in seconds.</t>
        </is>
      </c>
      <c r="E125" s="123" t="inlineStr">
        <is>
          <t>Stroop 1935; automatic reading</t>
        </is>
      </c>
      <c r="F125" s="123" t="n"/>
      <c r="G125" s="123" t="n">
        <v>30</v>
      </c>
      <c r="H125" s="123" t="inlineStr">
        <is>
          <t>Idea</t>
        </is>
      </c>
      <c r="I125" s="124" t="n">
        <v>18</v>
      </c>
      <c r="J125" s="124" t="inlineStr">
        <is>
          <t>Strong</t>
        </is>
      </c>
      <c r="K125" s="124" t="inlineStr">
        <is>
          <t>stroop-test</t>
        </is>
      </c>
      <c r="L125" s="125" t="n"/>
      <c r="M125" s="123">
        <f>IF(L125="","",TEXT(L125,"ddd"))</f>
        <v/>
      </c>
      <c r="N125" s="124" t="n"/>
      <c r="O125" s="124" t="n"/>
      <c r="P125" s="124" t="n"/>
      <c r="Q125" s="124" t="n"/>
      <c r="R125" s="124" t="n"/>
      <c r="S125" s="126" t="n"/>
      <c r="T125" s="124" t="n"/>
      <c r="U125" s="127">
        <f>IF(OR(T125="",N(O125)=0),"",T125/O125)</f>
        <v/>
      </c>
      <c r="V125" s="124" t="n"/>
      <c r="W125" s="124" t="n"/>
      <c r="X125" s="124" t="n"/>
      <c r="Y125" s="126" t="n"/>
      <c r="Z125" s="124" t="n"/>
      <c r="AA125" s="126" t="n"/>
      <c r="AB125" s="124" t="n"/>
      <c r="AC125" s="128">
        <f>IF(COUNT(S125,Y125,AA125)=0,"",SUM(S125,Y125,AA125))</f>
        <v/>
      </c>
      <c r="AD125" s="127">
        <f>IF(N(AC125)=0,"",SUM(V125,W125,X125,Z125,AB125)/AC125)</f>
        <v/>
      </c>
      <c r="AE125" s="126" t="n"/>
      <c r="AF125" s="126" t="n"/>
      <c r="AG125" s="126" t="n"/>
      <c r="AH125" s="128">
        <f>IF(COUNT(AE125,AF125,AG125)=0,"",SUM(AE125,AF125,AG125))</f>
        <v/>
      </c>
      <c r="AI125" s="126" t="n"/>
      <c r="AJ125" s="126" t="n"/>
      <c r="AK125" s="126" t="n"/>
      <c r="AL125" s="128">
        <f>IF(COUNT(AI125,AJ125,AK125)=0,"",SUM(AI125,AJ125,AK125))</f>
        <v/>
      </c>
      <c r="AM125" s="123">
        <f>IF(N(AC125)=0,"",IF(COUNT($AC$6:$AC$105)&lt;5,"Too early",IF(AC125&gt;=1.5*MEDIAN($AC$6:$AC$105),"Top",IF(AC125&lt;=0.5*MEDIAN($AC$6:$AC$105),"Low","Average"))))</f>
        <v/>
      </c>
      <c r="AN125" s="124" t="n"/>
      <c r="AO125" s="124" t="inlineStr">
        <is>
          <t>ted2</t>
        </is>
      </c>
      <c r="AP125" s="129" t="n"/>
      <c r="AQ125" s="129" t="n"/>
      <c r="AR125" s="129" t="n"/>
      <c r="AS125" s="129" t="n"/>
      <c r="AT125" s="129" t="n"/>
      <c r="AU125" s="129" t="n"/>
      <c r="AV125" s="130" t="inlineStr">
        <is>
          <t>Quiz / test yourself</t>
        </is>
      </c>
    </row>
    <row r="126">
      <c r="A126" s="123" t="n">
        <v>121</v>
      </c>
      <c r="B126" s="123" t="inlineStr">
        <is>
          <t>Pattern: Presence &amp; influence rules</t>
        </is>
      </c>
      <c r="C126" s="123" t="inlineStr">
        <is>
          <t>The one word that gets people to say yes ('because')</t>
        </is>
      </c>
      <c r="D126" s="123" t="inlineStr">
        <is>
          <t>ONE word got people to let a stranger cut the line.</t>
        </is>
      </c>
      <c r="E126" s="123" t="inlineStr">
        <is>
          <t>Langer, Blank &amp; Chanowitz 1978: 94% / 93% / 60%</t>
        </is>
      </c>
      <c r="F126" s="123" t="n"/>
      <c r="G126" s="123" t="n">
        <v>30</v>
      </c>
      <c r="H126" s="123" t="inlineStr">
        <is>
          <t>Idea</t>
        </is>
      </c>
      <c r="I126" s="124" t="n">
        <v>19</v>
      </c>
      <c r="J126" s="124" t="inlineStr">
        <is>
          <t>Strong</t>
        </is>
      </c>
      <c r="K126" s="124" t="inlineStr">
        <is>
          <t>because-copier</t>
        </is>
      </c>
      <c r="L126" s="125" t="n"/>
      <c r="M126" s="123">
        <f>IF(L126="","",TEXT(L126,"ddd"))</f>
        <v/>
      </c>
      <c r="N126" s="124" t="n"/>
      <c r="O126" s="124" t="n"/>
      <c r="P126" s="124" t="n"/>
      <c r="Q126" s="124" t="n"/>
      <c r="R126" s="124" t="n"/>
      <c r="S126" s="126" t="n"/>
      <c r="T126" s="124" t="n"/>
      <c r="U126" s="127">
        <f>IF(OR(T126="",N(O126)=0),"",T126/O126)</f>
        <v/>
      </c>
      <c r="V126" s="124" t="n"/>
      <c r="W126" s="124" t="n"/>
      <c r="X126" s="124" t="n"/>
      <c r="Y126" s="126" t="n"/>
      <c r="Z126" s="124" t="n"/>
      <c r="AA126" s="126" t="n"/>
      <c r="AB126" s="124" t="n"/>
      <c r="AC126" s="128">
        <f>IF(COUNT(S126,Y126,AA126)=0,"",SUM(S126,Y126,AA126))</f>
        <v/>
      </c>
      <c r="AD126" s="127">
        <f>IF(N(AC126)=0,"",SUM(V126,W126,X126,Z126,AB126)/AC126)</f>
        <v/>
      </c>
      <c r="AE126" s="126" t="n"/>
      <c r="AF126" s="126" t="n"/>
      <c r="AG126" s="126" t="n"/>
      <c r="AH126" s="128">
        <f>IF(COUNT(AE126,AF126,AG126)=0,"",SUM(AE126,AF126,AG126))</f>
        <v/>
      </c>
      <c r="AI126" s="126" t="n"/>
      <c r="AJ126" s="126" t="n"/>
      <c r="AK126" s="126" t="n"/>
      <c r="AL126" s="128">
        <f>IF(COUNT(AI126,AJ126,AK126)=0,"",SUM(AI126,AJ126,AK126))</f>
        <v/>
      </c>
      <c r="AM126" s="123">
        <f>IF(N(AC126)=0,"",IF(COUNT($AC$6:$AC$105)&lt;5,"Too early",IF(AC126&gt;=1.5*MEDIAN($AC$6:$AC$105),"Top",IF(AC126&lt;=0.5*MEDIAN($AC$6:$AC$105),"Low","Average"))))</f>
        <v/>
      </c>
      <c r="AN126" s="124" t="n"/>
      <c r="AO126" s="124" t="inlineStr">
        <is>
          <t>ted2</t>
        </is>
      </c>
      <c r="AP126" s="129" t="n"/>
      <c r="AQ126" s="129" t="n"/>
      <c r="AR126" s="129" t="n"/>
      <c r="AS126" s="129" t="n"/>
      <c r="AT126" s="129" t="n"/>
      <c r="AU126" s="129" t="n"/>
      <c r="AV126" s="130" t="inlineStr">
        <is>
          <t>Presence &amp; influence rules</t>
        </is>
      </c>
    </row>
    <row r="127">
      <c r="A127" s="123" t="n">
        <v>122</v>
      </c>
      <c r="B127" s="123" t="inlineStr">
        <is>
          <t>Pattern: Psychology says (15 s loop)</t>
        </is>
      </c>
      <c r="C127" s="123" t="inlineStr">
        <is>
          <t>Psychology says: you remember the ending, not the whole thing</t>
        </is>
      </c>
      <c r="D127" s="123" t="inlineStr">
        <is>
          <t>Psychology says: you'll remember how something ENDS, not how long it lasted.</t>
        </is>
      </c>
      <c r="E127" s="123" t="inlineStr">
        <is>
          <t>Kahneman et al. 1993 cold-hand study</t>
        </is>
      </c>
      <c r="F127" s="123" t="n"/>
      <c r="G127" s="123" t="n">
        <v>30</v>
      </c>
      <c r="H127" s="123" t="inlineStr">
        <is>
          <t>Idea</t>
        </is>
      </c>
      <c r="I127" s="124" t="n">
        <v>20</v>
      </c>
      <c r="J127" s="124" t="inlineStr">
        <is>
          <t>Strong</t>
        </is>
      </c>
      <c r="K127" s="124" t="inlineStr">
        <is>
          <t>peak-end-rule</t>
        </is>
      </c>
      <c r="L127" s="125" t="n"/>
      <c r="M127" s="123">
        <f>IF(L127="","",TEXT(L127,"ddd"))</f>
        <v/>
      </c>
      <c r="N127" s="124" t="n"/>
      <c r="O127" s="124" t="n"/>
      <c r="P127" s="124" t="n"/>
      <c r="Q127" s="124" t="n"/>
      <c r="R127" s="124" t="n"/>
      <c r="S127" s="126" t="n"/>
      <c r="T127" s="124" t="n"/>
      <c r="U127" s="127">
        <f>IF(OR(T127="",N(O127)=0),"",T127/O127)</f>
        <v/>
      </c>
      <c r="V127" s="124" t="n"/>
      <c r="W127" s="124" t="n"/>
      <c r="X127" s="124" t="n"/>
      <c r="Y127" s="126" t="n"/>
      <c r="Z127" s="124" t="n"/>
      <c r="AA127" s="126" t="n"/>
      <c r="AB127" s="124" t="n"/>
      <c r="AC127" s="128">
        <f>IF(COUNT(S127,Y127,AA127)=0,"",SUM(S127,Y127,AA127))</f>
        <v/>
      </c>
      <c r="AD127" s="127">
        <f>IF(N(AC127)=0,"",SUM(V127,W127,X127,Z127,AB127)/AC127)</f>
        <v/>
      </c>
      <c r="AE127" s="126" t="n"/>
      <c r="AF127" s="126" t="n"/>
      <c r="AG127" s="126" t="n"/>
      <c r="AH127" s="128">
        <f>IF(COUNT(AE127,AF127,AG127)=0,"",SUM(AE127,AF127,AG127))</f>
        <v/>
      </c>
      <c r="AI127" s="126" t="n"/>
      <c r="AJ127" s="126" t="n"/>
      <c r="AK127" s="126" t="n"/>
      <c r="AL127" s="128">
        <f>IF(COUNT(AI127,AJ127,AK127)=0,"",SUM(AI127,AJ127,AK127))</f>
        <v/>
      </c>
      <c r="AM127" s="123">
        <f>IF(N(AC127)=0,"",IF(COUNT($AC$6:$AC$105)&lt;5,"Too early",IF(AC127&gt;=1.5*MEDIAN($AC$6:$AC$105),"Top",IF(AC127&lt;=0.5*MEDIAN($AC$6:$AC$105),"Low","Average"))))</f>
        <v/>
      </c>
      <c r="AN127" s="124" t="n"/>
      <c r="AO127" s="124" t="inlineStr">
        <is>
          <t>ted2</t>
        </is>
      </c>
      <c r="AP127" s="129" t="n"/>
      <c r="AQ127" s="129" t="n"/>
      <c r="AR127" s="129" t="n"/>
      <c r="AS127" s="129" t="n"/>
      <c r="AT127" s="129" t="n"/>
      <c r="AU127" s="129" t="n"/>
      <c r="AV127" s="130" t="inlineStr">
        <is>
          <t>Psychology says (15 s loop)</t>
        </is>
      </c>
    </row>
    <row r="128">
      <c r="A128" s="123" t="n">
        <v>123</v>
      </c>
      <c r="B128" s="123" t="inlineStr">
        <is>
          <t>Pattern: Experiment story</t>
        </is>
      </c>
      <c r="C128" s="123" t="inlineStr">
        <is>
          <t>The experiment where people kept pressing the button (Milgram)</t>
        </is>
      </c>
      <c r="D128" s="123" t="inlineStr">
        <is>
          <t>Two out of three ordinary people kept going to the highest SHOCK.</t>
        </is>
      </c>
      <c r="E128" s="123" t="inlineStr">
        <is>
          <t>Milgram 1963: 65% to 450V; turn: variations &amp; critiques</t>
        </is>
      </c>
      <c r="F128" s="123" t="n"/>
      <c r="G128" s="123" t="n">
        <v>30</v>
      </c>
      <c r="H128" s="123" t="inlineStr">
        <is>
          <t>Idea</t>
        </is>
      </c>
      <c r="I128" s="124" t="n">
        <v>21</v>
      </c>
      <c r="J128" s="124" t="inlineStr">
        <is>
          <t>Strong</t>
        </is>
      </c>
      <c r="K128" s="124" t="inlineStr">
        <is>
          <t>milgram-obedience</t>
        </is>
      </c>
      <c r="L128" s="125" t="n"/>
      <c r="M128" s="123">
        <f>IF(L128="","",TEXT(L128,"ddd"))</f>
        <v/>
      </c>
      <c r="N128" s="124" t="n"/>
      <c r="O128" s="124" t="n"/>
      <c r="P128" s="124" t="n"/>
      <c r="Q128" s="124" t="n"/>
      <c r="R128" s="124" t="n"/>
      <c r="S128" s="126" t="n"/>
      <c r="T128" s="124" t="n"/>
      <c r="U128" s="127">
        <f>IF(OR(T128="",N(O128)=0),"",T128/O128)</f>
        <v/>
      </c>
      <c r="V128" s="124" t="n"/>
      <c r="W128" s="124" t="n"/>
      <c r="X128" s="124" t="n"/>
      <c r="Y128" s="126" t="n"/>
      <c r="Z128" s="124" t="n"/>
      <c r="AA128" s="126" t="n"/>
      <c r="AB128" s="124" t="n"/>
      <c r="AC128" s="128">
        <f>IF(COUNT(S128,Y128,AA128)=0,"",SUM(S128,Y128,AA128))</f>
        <v/>
      </c>
      <c r="AD128" s="127">
        <f>IF(N(AC128)=0,"",SUM(V128,W128,X128,Z128,AB128)/AC128)</f>
        <v/>
      </c>
      <c r="AE128" s="126" t="n"/>
      <c r="AF128" s="126" t="n"/>
      <c r="AG128" s="126" t="n"/>
      <c r="AH128" s="128">
        <f>IF(COUNT(AE128,AF128,AG128)=0,"",SUM(AE128,AF128,AG128))</f>
        <v/>
      </c>
      <c r="AI128" s="126" t="n"/>
      <c r="AJ128" s="126" t="n"/>
      <c r="AK128" s="126" t="n"/>
      <c r="AL128" s="128">
        <f>IF(COUNT(AI128,AJ128,AK128)=0,"",SUM(AI128,AJ128,AK128))</f>
        <v/>
      </c>
      <c r="AM128" s="123">
        <f>IF(N(AC128)=0,"",IF(COUNT($AC$6:$AC$105)&lt;5,"Too early",IF(AC128&gt;=1.5*MEDIAN($AC$6:$AC$105),"Top",IF(AC128&lt;=0.5*MEDIAN($AC$6:$AC$105),"Low","Average"))))</f>
        <v/>
      </c>
      <c r="AN128" s="124" t="n"/>
      <c r="AO128" s="124" t="inlineStr">
        <is>
          <t>ted2</t>
        </is>
      </c>
      <c r="AP128" s="129" t="n"/>
      <c r="AQ128" s="129" t="n"/>
      <c r="AR128" s="129" t="n"/>
      <c r="AS128" s="129" t="n"/>
      <c r="AT128" s="129" t="n"/>
      <c r="AU128" s="129" t="n"/>
      <c r="AV128" s="130" t="inlineStr">
        <is>
          <t>Experiment story</t>
        </is>
      </c>
    </row>
    <row r="129">
      <c r="A129" s="123" t="n">
        <v>124</v>
      </c>
      <c r="B129" s="123" t="inlineStr">
        <is>
          <t>Pattern: Protect yourself</t>
        </is>
      </c>
      <c r="C129" s="123" t="inlineStr">
        <is>
          <t>Why 'only 2 left' works on you (scarcity)</t>
        </is>
      </c>
      <c r="D129" s="123" t="inlineStr">
        <is>
          <t>Same cookies, but people rated them BETTER from a nearly empty jar.</t>
        </is>
      </c>
      <c r="E129" s="123" t="inlineStr">
        <is>
          <t>Worchel, Lee &amp; Adewole 1975</t>
        </is>
      </c>
      <c r="F129" s="123" t="n"/>
      <c r="G129" s="123" t="n">
        <v>30</v>
      </c>
      <c r="H129" s="123" t="inlineStr">
        <is>
          <t>Idea</t>
        </is>
      </c>
      <c r="I129" s="124" t="n">
        <v>22</v>
      </c>
      <c r="J129" s="124" t="inlineStr">
        <is>
          <t>Strong</t>
        </is>
      </c>
      <c r="K129" s="124" t="inlineStr">
        <is>
          <t>scarcity-cookies</t>
        </is>
      </c>
      <c r="L129" s="125" t="n"/>
      <c r="M129" s="123">
        <f>IF(L129="","",TEXT(L129,"ddd"))</f>
        <v/>
      </c>
      <c r="N129" s="124" t="n"/>
      <c r="O129" s="124" t="n"/>
      <c r="P129" s="124" t="n"/>
      <c r="Q129" s="124" t="n"/>
      <c r="R129" s="124" t="n"/>
      <c r="S129" s="126" t="n"/>
      <c r="T129" s="124" t="n"/>
      <c r="U129" s="127">
        <f>IF(OR(T129="",N(O129)=0),"",T129/O129)</f>
        <v/>
      </c>
      <c r="V129" s="124" t="n"/>
      <c r="W129" s="124" t="n"/>
      <c r="X129" s="124" t="n"/>
      <c r="Y129" s="126" t="n"/>
      <c r="Z129" s="124" t="n"/>
      <c r="AA129" s="126" t="n"/>
      <c r="AB129" s="124" t="n"/>
      <c r="AC129" s="128">
        <f>IF(COUNT(S129,Y129,AA129)=0,"",SUM(S129,Y129,AA129))</f>
        <v/>
      </c>
      <c r="AD129" s="127">
        <f>IF(N(AC129)=0,"",SUM(V129,W129,X129,Z129,AB129)/AC129)</f>
        <v/>
      </c>
      <c r="AE129" s="126" t="n"/>
      <c r="AF129" s="126" t="n"/>
      <c r="AG129" s="126" t="n"/>
      <c r="AH129" s="128">
        <f>IF(COUNT(AE129,AF129,AG129)=0,"",SUM(AE129,AF129,AG129))</f>
        <v/>
      </c>
      <c r="AI129" s="126" t="n"/>
      <c r="AJ129" s="126" t="n"/>
      <c r="AK129" s="126" t="n"/>
      <c r="AL129" s="128">
        <f>IF(COUNT(AI129,AJ129,AK129)=0,"",SUM(AI129,AJ129,AK129))</f>
        <v/>
      </c>
      <c r="AM129" s="123">
        <f>IF(N(AC129)=0,"",IF(COUNT($AC$6:$AC$105)&lt;5,"Too early",IF(AC129&gt;=1.5*MEDIAN($AC$6:$AC$105),"Top",IF(AC129&lt;=0.5*MEDIAN($AC$6:$AC$105),"Low","Average"))))</f>
        <v/>
      </c>
      <c r="AN129" s="124" t="n"/>
      <c r="AO129" s="124" t="inlineStr">
        <is>
          <t>ted2</t>
        </is>
      </c>
      <c r="AP129" s="129" t="n"/>
      <c r="AQ129" s="129" t="n"/>
      <c r="AR129" s="129" t="n"/>
      <c r="AS129" s="129" t="n"/>
      <c r="AT129" s="129" t="n"/>
      <c r="AU129" s="129" t="n"/>
      <c r="AV129" s="130" t="inlineStr">
        <is>
          <t>Protect yourself</t>
        </is>
      </c>
    </row>
    <row r="130">
      <c r="A130" s="123" t="n">
        <v>125</v>
      </c>
      <c r="B130" s="123" t="inlineStr">
        <is>
          <t>Pattern: Psychology of people who</t>
        </is>
      </c>
      <c r="C130" s="123" t="inlineStr">
        <is>
          <t>Psychology of people who talk to themselves in third person</t>
        </is>
      </c>
      <c r="D130" s="123" t="inlineStr">
        <is>
          <t>Psychology of people who talk to themselves by NAME.</t>
        </is>
      </c>
      <c r="E130" s="123" t="inlineStr">
        <is>
          <t>Kross et al. 2014 self-distancing reduces anxiety</t>
        </is>
      </c>
      <c r="F130" s="123" t="n"/>
      <c r="G130" s="123" t="n">
        <v>30</v>
      </c>
      <c r="H130" s="123" t="inlineStr">
        <is>
          <t>Idea</t>
        </is>
      </c>
      <c r="I130" s="124" t="n">
        <v>23</v>
      </c>
      <c r="J130" s="124" t="inlineStr">
        <is>
          <t>Strong</t>
        </is>
      </c>
      <c r="K130" s="124" t="inlineStr">
        <is>
          <t>talk-to-yourself</t>
        </is>
      </c>
      <c r="L130" s="125" t="n"/>
      <c r="M130" s="123">
        <f>IF(L130="","",TEXT(L130,"ddd"))</f>
        <v/>
      </c>
      <c r="N130" s="124" t="n"/>
      <c r="O130" s="124" t="n"/>
      <c r="P130" s="124" t="n"/>
      <c r="Q130" s="124" t="n"/>
      <c r="R130" s="124" t="n"/>
      <c r="S130" s="126" t="n"/>
      <c r="T130" s="124" t="n"/>
      <c r="U130" s="127">
        <f>IF(OR(T130="",N(O130)=0),"",T130/O130)</f>
        <v/>
      </c>
      <c r="V130" s="124" t="n"/>
      <c r="W130" s="124" t="n"/>
      <c r="X130" s="124" t="n"/>
      <c r="Y130" s="126" t="n"/>
      <c r="Z130" s="124" t="n"/>
      <c r="AA130" s="126" t="n"/>
      <c r="AB130" s="124" t="n"/>
      <c r="AC130" s="128">
        <f>IF(COUNT(S130,Y130,AA130)=0,"",SUM(S130,Y130,AA130))</f>
        <v/>
      </c>
      <c r="AD130" s="127">
        <f>IF(N(AC130)=0,"",SUM(V130,W130,X130,Z130,AB130)/AC130)</f>
        <v/>
      </c>
      <c r="AE130" s="126" t="n"/>
      <c r="AF130" s="126" t="n"/>
      <c r="AG130" s="126" t="n"/>
      <c r="AH130" s="128">
        <f>IF(COUNT(AE130,AF130,AG130)=0,"",SUM(AE130,AF130,AG130))</f>
        <v/>
      </c>
      <c r="AI130" s="126" t="n"/>
      <c r="AJ130" s="126" t="n"/>
      <c r="AK130" s="126" t="n"/>
      <c r="AL130" s="128">
        <f>IF(COUNT(AI130,AJ130,AK130)=0,"",SUM(AI130,AJ130,AK130))</f>
        <v/>
      </c>
      <c r="AM130" s="123">
        <f>IF(N(AC130)=0,"",IF(COUNT($AC$6:$AC$105)&lt;5,"Too early",IF(AC130&gt;=1.5*MEDIAN($AC$6:$AC$105),"Top",IF(AC130&lt;=0.5*MEDIAN($AC$6:$AC$105),"Low","Average"))))</f>
        <v/>
      </c>
      <c r="AN130" s="124" t="n"/>
      <c r="AO130" s="124" t="inlineStr">
        <is>
          <t>ted2</t>
        </is>
      </c>
      <c r="AP130" s="129" t="n"/>
      <c r="AQ130" s="129" t="n"/>
      <c r="AR130" s="129" t="n"/>
      <c r="AS130" s="129" t="n"/>
      <c r="AT130" s="129" t="n"/>
      <c r="AU130" s="129" t="n"/>
      <c r="AV130" s="130" t="inlineStr">
        <is>
          <t>Psychology of people who</t>
        </is>
      </c>
    </row>
    <row r="131">
      <c r="A131" s="123" t="n">
        <v>126</v>
      </c>
      <c r="B131" s="123" t="inlineStr">
        <is>
          <t>Pattern: Numbered facts</t>
        </is>
      </c>
      <c r="C131" s="123" t="inlineStr">
        <is>
          <t>3 facts about how you decide</t>
        </is>
      </c>
      <c r="D131" s="123" t="inlineStr">
        <is>
          <t>Three facts about your decisions. Number one could change who gets an ORGAN.</t>
        </is>
      </c>
      <c r="E131" s="123" t="inlineStr">
        <is>
          <t>Johnson &amp; Goldstein 2003 defaults; Iyengar &amp; Lepper 2000 jam (mixed replications); Shafir decoy</t>
        </is>
      </c>
      <c r="F131" s="123" t="n"/>
      <c r="G131" s="123" t="n">
        <v>30</v>
      </c>
      <c r="H131" s="123" t="inlineStr">
        <is>
          <t>Idea</t>
        </is>
      </c>
      <c r="I131" s="124" t="n">
        <v>24</v>
      </c>
      <c r="J131" s="124" t="inlineStr">
        <is>
          <t>Strong</t>
        </is>
      </c>
      <c r="K131" s="124" t="inlineStr">
        <is>
          <t>decision-facts</t>
        </is>
      </c>
      <c r="L131" s="125" t="n"/>
      <c r="M131" s="123">
        <f>IF(L131="","",TEXT(L131,"ddd"))</f>
        <v/>
      </c>
      <c r="N131" s="124" t="n"/>
      <c r="O131" s="124" t="n"/>
      <c r="P131" s="124" t="n"/>
      <c r="Q131" s="124" t="n"/>
      <c r="R131" s="124" t="n"/>
      <c r="S131" s="126" t="n"/>
      <c r="T131" s="124" t="n"/>
      <c r="U131" s="127">
        <f>IF(OR(T131="",N(O131)=0),"",T131/O131)</f>
        <v/>
      </c>
      <c r="V131" s="124" t="n"/>
      <c r="W131" s="124" t="n"/>
      <c r="X131" s="124" t="n"/>
      <c r="Y131" s="126" t="n"/>
      <c r="Z131" s="124" t="n"/>
      <c r="AA131" s="126" t="n"/>
      <c r="AB131" s="124" t="n"/>
      <c r="AC131" s="128">
        <f>IF(COUNT(S131,Y131,AA131)=0,"",SUM(S131,Y131,AA131))</f>
        <v/>
      </c>
      <c r="AD131" s="127">
        <f>IF(N(AC131)=0,"",SUM(V131,W131,X131,Z131,AB131)/AC131)</f>
        <v/>
      </c>
      <c r="AE131" s="126" t="n"/>
      <c r="AF131" s="126" t="n"/>
      <c r="AG131" s="126" t="n"/>
      <c r="AH131" s="128">
        <f>IF(COUNT(AE131,AF131,AG131)=0,"",SUM(AE131,AF131,AG131))</f>
        <v/>
      </c>
      <c r="AI131" s="126" t="n"/>
      <c r="AJ131" s="126" t="n"/>
      <c r="AK131" s="126" t="n"/>
      <c r="AL131" s="128">
        <f>IF(COUNT(AI131,AJ131,AK131)=0,"",SUM(AI131,AJ131,AK131))</f>
        <v/>
      </c>
      <c r="AM131" s="123">
        <f>IF(N(AC131)=0,"",IF(COUNT($AC$6:$AC$105)&lt;5,"Too early",IF(AC131&gt;=1.5*MEDIAN($AC$6:$AC$105),"Top",IF(AC131&lt;=0.5*MEDIAN($AC$6:$AC$105),"Low","Average"))))</f>
        <v/>
      </c>
      <c r="AN131" s="124" t="n"/>
      <c r="AO131" s="124" t="inlineStr">
        <is>
          <t>ted2</t>
        </is>
      </c>
      <c r="AP131" s="129" t="n"/>
      <c r="AQ131" s="129" t="n"/>
      <c r="AR131" s="129" t="n"/>
      <c r="AS131" s="129" t="n"/>
      <c r="AT131" s="129" t="n"/>
      <c r="AU131" s="129" t="n"/>
      <c r="AV131" s="130" t="inlineStr">
        <is>
          <t>Numbered facts</t>
        </is>
      </c>
    </row>
    <row r="132">
      <c r="A132" s="123" t="n">
        <v>127</v>
      </c>
      <c r="B132" s="123" t="inlineStr">
        <is>
          <t>Pattern: Therapist tip</t>
        </is>
      </c>
      <c r="C132" s="123" t="inlineStr">
        <is>
          <t>The gratitude visit: one letter, a month of happiness</t>
        </is>
      </c>
      <c r="D132" s="123" t="inlineStr">
        <is>
          <t>One letter made people happier for a MONTH.</t>
        </is>
      </c>
      <c r="E132" s="123" t="inlineStr">
        <is>
          <t>Seligman et al. 2005 gratitude visit</t>
        </is>
      </c>
      <c r="F132" s="123" t="n"/>
      <c r="G132" s="123" t="n">
        <v>30</v>
      </c>
      <c r="H132" s="123" t="inlineStr">
        <is>
          <t>Idea</t>
        </is>
      </c>
      <c r="I132" s="124" t="n">
        <v>25</v>
      </c>
      <c r="J132" s="124" t="inlineStr">
        <is>
          <t>Strong</t>
        </is>
      </c>
      <c r="K132" s="124" t="inlineStr">
        <is>
          <t>gratitude-visit</t>
        </is>
      </c>
      <c r="L132" s="125" t="n"/>
      <c r="M132" s="123">
        <f>IF(L132="","",TEXT(L132,"ddd"))</f>
        <v/>
      </c>
      <c r="N132" s="124" t="n"/>
      <c r="O132" s="124" t="n"/>
      <c r="P132" s="124" t="n"/>
      <c r="Q132" s="124" t="n"/>
      <c r="R132" s="124" t="n"/>
      <c r="S132" s="126" t="n"/>
      <c r="T132" s="124" t="n"/>
      <c r="U132" s="127">
        <f>IF(OR(T132="",N(O132)=0),"",T132/O132)</f>
        <v/>
      </c>
      <c r="V132" s="124" t="n"/>
      <c r="W132" s="124" t="n"/>
      <c r="X132" s="124" t="n"/>
      <c r="Y132" s="126" t="n"/>
      <c r="Z132" s="124" t="n"/>
      <c r="AA132" s="126" t="n"/>
      <c r="AB132" s="124" t="n"/>
      <c r="AC132" s="128">
        <f>IF(COUNT(S132,Y132,AA132)=0,"",SUM(S132,Y132,AA132))</f>
        <v/>
      </c>
      <c r="AD132" s="127">
        <f>IF(N(AC132)=0,"",SUM(V132,W132,X132,Z132,AB132)/AC132)</f>
        <v/>
      </c>
      <c r="AE132" s="126" t="n"/>
      <c r="AF132" s="126" t="n"/>
      <c r="AG132" s="126" t="n"/>
      <c r="AH132" s="128">
        <f>IF(COUNT(AE132,AF132,AG132)=0,"",SUM(AE132,AF132,AG132))</f>
        <v/>
      </c>
      <c r="AI132" s="126" t="n"/>
      <c r="AJ132" s="126" t="n"/>
      <c r="AK132" s="126" t="n"/>
      <c r="AL132" s="128">
        <f>IF(COUNT(AI132,AJ132,AK132)=0,"",SUM(AI132,AJ132,AK132))</f>
        <v/>
      </c>
      <c r="AM132" s="123">
        <f>IF(N(AC132)=0,"",IF(COUNT($AC$6:$AC$105)&lt;5,"Too early",IF(AC132&gt;=1.5*MEDIAN($AC$6:$AC$105),"Top",IF(AC132&lt;=0.5*MEDIAN($AC$6:$AC$105),"Low","Average"))))</f>
        <v/>
      </c>
      <c r="AN132" s="124" t="n"/>
      <c r="AO132" s="124" t="inlineStr">
        <is>
          <t>ted2</t>
        </is>
      </c>
      <c r="AP132" s="129" t="n"/>
      <c r="AQ132" s="129" t="n"/>
      <c r="AR132" s="129" t="n"/>
      <c r="AS132" s="129" t="n"/>
      <c r="AT132" s="129" t="n"/>
      <c r="AU132" s="129" t="n"/>
      <c r="AV132" s="130" t="inlineStr">
        <is>
          <t>Therapist tip</t>
        </is>
      </c>
    </row>
    <row r="133">
      <c r="A133" s="123" t="n">
        <v>128</v>
      </c>
      <c r="B133" s="123" t="inlineStr">
        <is>
          <t>Pattern: Relationships &amp; likability</t>
        </is>
      </c>
      <c r="C133" s="123" t="inlineStr">
        <is>
          <t>The 36 questions that made strangers close</t>
        </is>
      </c>
      <c r="D133" s="123" t="inlineStr">
        <is>
          <t>Thirty-six questions made strangers feel CLOSE in under an hour.</t>
        </is>
      </c>
      <c r="E133" s="123" t="inlineStr">
        <is>
          <t>Aron et al. 1997</t>
        </is>
      </c>
      <c r="F133" s="123" t="n"/>
      <c r="G133" s="123" t="n">
        <v>30</v>
      </c>
      <c r="H133" s="123" t="inlineStr">
        <is>
          <t>Idea</t>
        </is>
      </c>
      <c r="I133" s="124" t="n">
        <v>26</v>
      </c>
      <c r="J133" s="124" t="inlineStr">
        <is>
          <t>Strong</t>
        </is>
      </c>
      <c r="K133" s="124" t="inlineStr">
        <is>
          <t>thirty-six-questions</t>
        </is>
      </c>
      <c r="L133" s="125" t="n"/>
      <c r="M133" s="123">
        <f>IF(L133="","",TEXT(L133,"ddd"))</f>
        <v/>
      </c>
      <c r="N133" s="124" t="n"/>
      <c r="O133" s="124" t="n"/>
      <c r="P133" s="124" t="n"/>
      <c r="Q133" s="124" t="n"/>
      <c r="R133" s="124" t="n"/>
      <c r="S133" s="126" t="n"/>
      <c r="T133" s="124" t="n"/>
      <c r="U133" s="127">
        <f>IF(OR(T133="",N(O133)=0),"",T133/O133)</f>
        <v/>
      </c>
      <c r="V133" s="124" t="n"/>
      <c r="W133" s="124" t="n"/>
      <c r="X133" s="124" t="n"/>
      <c r="Y133" s="126" t="n"/>
      <c r="Z133" s="124" t="n"/>
      <c r="AA133" s="126" t="n"/>
      <c r="AB133" s="124" t="n"/>
      <c r="AC133" s="128">
        <f>IF(COUNT(S133,Y133,AA133)=0,"",SUM(S133,Y133,AA133))</f>
        <v/>
      </c>
      <c r="AD133" s="127">
        <f>IF(N(AC133)=0,"",SUM(V133,W133,X133,Z133,AB133)/AC133)</f>
        <v/>
      </c>
      <c r="AE133" s="126" t="n"/>
      <c r="AF133" s="126" t="n"/>
      <c r="AG133" s="126" t="n"/>
      <c r="AH133" s="128">
        <f>IF(COUNT(AE133,AF133,AG133)=0,"",SUM(AE133,AF133,AG133))</f>
        <v/>
      </c>
      <c r="AI133" s="126" t="n"/>
      <c r="AJ133" s="126" t="n"/>
      <c r="AK133" s="126" t="n"/>
      <c r="AL133" s="128">
        <f>IF(COUNT(AI133,AJ133,AK133)=0,"",SUM(AI133,AJ133,AK133))</f>
        <v/>
      </c>
      <c r="AM133" s="123">
        <f>IF(N(AC133)=0,"",IF(COUNT($AC$6:$AC$105)&lt;5,"Too early",IF(AC133&gt;=1.5*MEDIAN($AC$6:$AC$105),"Top",IF(AC133&lt;=0.5*MEDIAN($AC$6:$AC$105),"Low","Average"))))</f>
        <v/>
      </c>
      <c r="AN133" s="124" t="n"/>
      <c r="AO133" s="124" t="inlineStr">
        <is>
          <t>ted2</t>
        </is>
      </c>
      <c r="AP133" s="129" t="n"/>
      <c r="AQ133" s="129" t="n"/>
      <c r="AR133" s="129" t="n"/>
      <c r="AS133" s="129" t="n"/>
      <c r="AT133" s="129" t="n"/>
      <c r="AU133" s="129" t="n"/>
      <c r="AV133" s="130" t="inlineStr">
        <is>
          <t>Relationships &amp; likability</t>
        </is>
      </c>
    </row>
    <row r="134">
      <c r="A134" s="123" t="n">
        <v>129</v>
      </c>
      <c r="B134" s="123" t="inlineStr">
        <is>
          <t>Pattern: Strange named effect</t>
        </is>
      </c>
      <c r="C134" s="123" t="inlineStr">
        <is>
          <t>Lima syndrome: when captors bond with hostages</t>
        </is>
      </c>
      <c r="D134" s="123" t="inlineStr">
        <is>
          <t>You've heard of Stockholm syndrome. This is the REVERSE.</t>
        </is>
      </c>
      <c r="E134" s="123" t="inlineStr">
        <is>
          <t>1996 Lima Japanese embassy hostage crisis; captors released hostages</t>
        </is>
      </c>
      <c r="F134" s="123" t="n"/>
      <c r="G134" s="123" t="n">
        <v>30</v>
      </c>
      <c r="H134" s="123" t="inlineStr">
        <is>
          <t>Idea</t>
        </is>
      </c>
      <c r="I134" s="124" t="n">
        <v>27</v>
      </c>
      <c r="J134" s="124" t="inlineStr">
        <is>
          <t>Strong</t>
        </is>
      </c>
      <c r="K134" s="124" t="inlineStr">
        <is>
          <t>lima-syndrome</t>
        </is>
      </c>
      <c r="L134" s="125" t="n"/>
      <c r="M134" s="123">
        <f>IF(L134="","",TEXT(L134,"ddd"))</f>
        <v/>
      </c>
      <c r="N134" s="124" t="n"/>
      <c r="O134" s="124" t="n"/>
      <c r="P134" s="124" t="n"/>
      <c r="Q134" s="124" t="n"/>
      <c r="R134" s="124" t="n"/>
      <c r="S134" s="126" t="n"/>
      <c r="T134" s="124" t="n"/>
      <c r="U134" s="127">
        <f>IF(OR(T134="",N(O134)=0),"",T134/O134)</f>
        <v/>
      </c>
      <c r="V134" s="124" t="n"/>
      <c r="W134" s="124" t="n"/>
      <c r="X134" s="124" t="n"/>
      <c r="Y134" s="126" t="n"/>
      <c r="Z134" s="124" t="n"/>
      <c r="AA134" s="126" t="n"/>
      <c r="AB134" s="124" t="n"/>
      <c r="AC134" s="128">
        <f>IF(COUNT(S134,Y134,AA134)=0,"",SUM(S134,Y134,AA134))</f>
        <v/>
      </c>
      <c r="AD134" s="127">
        <f>IF(N(AC134)=0,"",SUM(V134,W134,X134,Z134,AB134)/AC134)</f>
        <v/>
      </c>
      <c r="AE134" s="126" t="n"/>
      <c r="AF134" s="126" t="n"/>
      <c r="AG134" s="126" t="n"/>
      <c r="AH134" s="128">
        <f>IF(COUNT(AE134,AF134,AG134)=0,"",SUM(AE134,AF134,AG134))</f>
        <v/>
      </c>
      <c r="AI134" s="126" t="n"/>
      <c r="AJ134" s="126" t="n"/>
      <c r="AK134" s="126" t="n"/>
      <c r="AL134" s="128">
        <f>IF(COUNT(AI134,AJ134,AK134)=0,"",SUM(AI134,AJ134,AK134))</f>
        <v/>
      </c>
      <c r="AM134" s="123">
        <f>IF(N(AC134)=0,"",IF(COUNT($AC$6:$AC$105)&lt;5,"Too early",IF(AC134&gt;=1.5*MEDIAN($AC$6:$AC$105),"Top",IF(AC134&lt;=0.5*MEDIAN($AC$6:$AC$105),"Low","Average"))))</f>
        <v/>
      </c>
      <c r="AN134" s="124" t="n"/>
      <c r="AO134" s="124" t="inlineStr">
        <is>
          <t>ted2</t>
        </is>
      </c>
      <c r="AP134" s="129" t="n"/>
      <c r="AQ134" s="129" t="n"/>
      <c r="AR134" s="129" t="n"/>
      <c r="AS134" s="129" t="n"/>
      <c r="AT134" s="129" t="n"/>
      <c r="AU134" s="129" t="n"/>
      <c r="AV134" s="130" t="inlineStr">
        <is>
          <t>Strange named effect</t>
        </is>
      </c>
    </row>
    <row r="135">
      <c r="A135" s="123" t="n">
        <v>130</v>
      </c>
      <c r="B135" s="123" t="inlineStr">
        <is>
          <t>Pattern: Quiz / test yourself</t>
        </is>
      </c>
      <c r="C135" s="123" t="inlineStr">
        <is>
          <t>Are you a maximizer or a satisficer? Take the test</t>
        </is>
      </c>
      <c r="D135" s="123" t="inlineStr">
        <is>
          <t>Do you always look for the BEST option? That might be making you less happy.</t>
        </is>
      </c>
      <c r="E135" s="123" t="inlineStr">
        <is>
          <t>Schwartz et al. 2002 maximizers less satisfied</t>
        </is>
      </c>
      <c r="F135" s="123" t="n"/>
      <c r="G135" s="123" t="n">
        <v>30</v>
      </c>
      <c r="H135" s="123" t="inlineStr">
        <is>
          <t>Idea</t>
        </is>
      </c>
      <c r="I135" s="124" t="n">
        <v>28</v>
      </c>
      <c r="J135" s="124" t="inlineStr">
        <is>
          <t>Strong</t>
        </is>
      </c>
      <c r="K135" s="124" t="inlineStr">
        <is>
          <t>maximizer-test</t>
        </is>
      </c>
      <c r="L135" s="125" t="n"/>
      <c r="M135" s="123">
        <f>IF(L135="","",TEXT(L135,"ddd"))</f>
        <v/>
      </c>
      <c r="N135" s="124" t="n"/>
      <c r="O135" s="124" t="n"/>
      <c r="P135" s="124" t="n"/>
      <c r="Q135" s="124" t="n"/>
      <c r="R135" s="124" t="n"/>
      <c r="S135" s="126" t="n"/>
      <c r="T135" s="124" t="n"/>
      <c r="U135" s="127">
        <f>IF(OR(T135="",N(O135)=0),"",T135/O135)</f>
        <v/>
      </c>
      <c r="V135" s="124" t="n"/>
      <c r="W135" s="124" t="n"/>
      <c r="X135" s="124" t="n"/>
      <c r="Y135" s="126" t="n"/>
      <c r="Z135" s="124" t="n"/>
      <c r="AA135" s="126" t="n"/>
      <c r="AB135" s="124" t="n"/>
      <c r="AC135" s="128">
        <f>IF(COUNT(S135,Y135,AA135)=0,"",SUM(S135,Y135,AA135))</f>
        <v/>
      </c>
      <c r="AD135" s="127">
        <f>IF(N(AC135)=0,"",SUM(V135,W135,X135,Z135,AB135)/AC135)</f>
        <v/>
      </c>
      <c r="AE135" s="126" t="n"/>
      <c r="AF135" s="126" t="n"/>
      <c r="AG135" s="126" t="n"/>
      <c r="AH135" s="128">
        <f>IF(COUNT(AE135,AF135,AG135)=0,"",SUM(AE135,AF135,AG135))</f>
        <v/>
      </c>
      <c r="AI135" s="126" t="n"/>
      <c r="AJ135" s="126" t="n"/>
      <c r="AK135" s="126" t="n"/>
      <c r="AL135" s="128">
        <f>IF(COUNT(AI135,AJ135,AK135)=0,"",SUM(AI135,AJ135,AK135))</f>
        <v/>
      </c>
      <c r="AM135" s="123">
        <f>IF(N(AC135)=0,"",IF(COUNT($AC$6:$AC$105)&lt;5,"Too early",IF(AC135&gt;=1.5*MEDIAN($AC$6:$AC$105),"Top",IF(AC135&lt;=0.5*MEDIAN($AC$6:$AC$105),"Low","Average"))))</f>
        <v/>
      </c>
      <c r="AN135" s="124" t="n"/>
      <c r="AO135" s="124" t="inlineStr">
        <is>
          <t>ted2</t>
        </is>
      </c>
      <c r="AP135" s="129" t="n"/>
      <c r="AQ135" s="129" t="n"/>
      <c r="AR135" s="129" t="n"/>
      <c r="AS135" s="129" t="n"/>
      <c r="AT135" s="129" t="n"/>
      <c r="AU135" s="129" t="n"/>
      <c r="AV135" s="130" t="inlineStr">
        <is>
          <t>Quiz / test yourself</t>
        </is>
      </c>
    </row>
    <row r="136">
      <c r="A136" s="123" t="n">
        <v>131</v>
      </c>
      <c r="B136" s="123" t="inlineStr">
        <is>
          <t>Pattern: Presence &amp; influence rules</t>
        </is>
      </c>
      <c r="C136" s="123" t="inlineStr">
        <is>
          <t>Why lower voices sound like leaders</t>
        </is>
      </c>
      <c r="D136" s="123" t="inlineStr">
        <is>
          <t>People pick leaders by VOICE more than you think.</t>
        </is>
      </c>
      <c r="E136" s="123" t="inlineStr">
        <is>
          <t>Klofstad, Anderson &amp; Peters 2012</t>
        </is>
      </c>
      <c r="F136" s="123" t="n"/>
      <c r="G136" s="123" t="n">
        <v>30</v>
      </c>
      <c r="H136" s="123" t="inlineStr">
        <is>
          <t>Idea</t>
        </is>
      </c>
      <c r="I136" s="124" t="n">
        <v>29</v>
      </c>
      <c r="J136" s="124" t="inlineStr">
        <is>
          <t>Strong</t>
        </is>
      </c>
      <c r="K136" s="124" t="inlineStr">
        <is>
          <t>lower-voice</t>
        </is>
      </c>
      <c r="L136" s="125" t="n"/>
      <c r="M136" s="123">
        <f>IF(L136="","",TEXT(L136,"ddd"))</f>
        <v/>
      </c>
      <c r="N136" s="124" t="n"/>
      <c r="O136" s="124" t="n"/>
      <c r="P136" s="124" t="n"/>
      <c r="Q136" s="124" t="n"/>
      <c r="R136" s="124" t="n"/>
      <c r="S136" s="126" t="n"/>
      <c r="T136" s="124" t="n"/>
      <c r="U136" s="127">
        <f>IF(OR(T136="",N(O136)=0),"",T136/O136)</f>
        <v/>
      </c>
      <c r="V136" s="124" t="n"/>
      <c r="W136" s="124" t="n"/>
      <c r="X136" s="124" t="n"/>
      <c r="Y136" s="126" t="n"/>
      <c r="Z136" s="124" t="n"/>
      <c r="AA136" s="126" t="n"/>
      <c r="AB136" s="124" t="n"/>
      <c r="AC136" s="128">
        <f>IF(COUNT(S136,Y136,AA136)=0,"",SUM(S136,Y136,AA136))</f>
        <v/>
      </c>
      <c r="AD136" s="127">
        <f>IF(N(AC136)=0,"",SUM(V136,W136,X136,Z136,AB136)/AC136)</f>
        <v/>
      </c>
      <c r="AE136" s="126" t="n"/>
      <c r="AF136" s="126" t="n"/>
      <c r="AG136" s="126" t="n"/>
      <c r="AH136" s="128">
        <f>IF(COUNT(AE136,AF136,AG136)=0,"",SUM(AE136,AF136,AG136))</f>
        <v/>
      </c>
      <c r="AI136" s="126" t="n"/>
      <c r="AJ136" s="126" t="n"/>
      <c r="AK136" s="126" t="n"/>
      <c r="AL136" s="128">
        <f>IF(COUNT(AI136,AJ136,AK136)=0,"",SUM(AI136,AJ136,AK136))</f>
        <v/>
      </c>
      <c r="AM136" s="123">
        <f>IF(N(AC136)=0,"",IF(COUNT($AC$6:$AC$105)&lt;5,"Too early",IF(AC136&gt;=1.5*MEDIAN($AC$6:$AC$105),"Top",IF(AC136&lt;=0.5*MEDIAN($AC$6:$AC$105),"Low","Average"))))</f>
        <v/>
      </c>
      <c r="AN136" s="124" t="n"/>
      <c r="AO136" s="124" t="inlineStr">
        <is>
          <t>ted2</t>
        </is>
      </c>
      <c r="AP136" s="129" t="n"/>
      <c r="AQ136" s="129" t="n"/>
      <c r="AR136" s="129" t="n"/>
      <c r="AS136" s="129" t="n"/>
      <c r="AT136" s="129" t="n"/>
      <c r="AU136" s="129" t="n"/>
      <c r="AV136" s="130" t="inlineStr">
        <is>
          <t>Presence &amp; influence rules</t>
        </is>
      </c>
    </row>
    <row r="137">
      <c r="A137" s="123" t="n">
        <v>132</v>
      </c>
      <c r="B137" s="123" t="inlineStr">
        <is>
          <t>Pattern: Psychology says (15 s loop)</t>
        </is>
      </c>
      <c r="C137" s="123" t="inlineStr">
        <is>
          <t>Psychology says: you overvalue what you build (IKEA effect)</t>
        </is>
      </c>
      <c r="D137" s="123" t="inlineStr">
        <is>
          <t>Psychology says: you'll pay MORE for something you built yourself.</t>
        </is>
      </c>
      <c r="E137" s="123" t="inlineStr">
        <is>
          <t>Norton, Mochon &amp; Ariely 2012</t>
        </is>
      </c>
      <c r="F137" s="123" t="n"/>
      <c r="G137" s="123" t="n">
        <v>30</v>
      </c>
      <c r="H137" s="123" t="inlineStr">
        <is>
          <t>Idea</t>
        </is>
      </c>
      <c r="I137" s="124" t="n">
        <v>30</v>
      </c>
      <c r="J137" s="124" t="inlineStr">
        <is>
          <t>Strong</t>
        </is>
      </c>
      <c r="K137" s="124" t="inlineStr">
        <is>
          <t>ikea-effect</t>
        </is>
      </c>
      <c r="L137" s="125" t="n"/>
      <c r="M137" s="123">
        <f>IF(L137="","",TEXT(L137,"ddd"))</f>
        <v/>
      </c>
      <c r="N137" s="124" t="n"/>
      <c r="O137" s="124" t="n"/>
      <c r="P137" s="124" t="n"/>
      <c r="Q137" s="124" t="n"/>
      <c r="R137" s="124" t="n"/>
      <c r="S137" s="126" t="n"/>
      <c r="T137" s="124" t="n"/>
      <c r="U137" s="127">
        <f>IF(OR(T137="",N(O137)=0),"",T137/O137)</f>
        <v/>
      </c>
      <c r="V137" s="124" t="n"/>
      <c r="W137" s="124" t="n"/>
      <c r="X137" s="124" t="n"/>
      <c r="Y137" s="126" t="n"/>
      <c r="Z137" s="124" t="n"/>
      <c r="AA137" s="126" t="n"/>
      <c r="AB137" s="124" t="n"/>
      <c r="AC137" s="128">
        <f>IF(COUNT(S137,Y137,AA137)=0,"",SUM(S137,Y137,AA137))</f>
        <v/>
      </c>
      <c r="AD137" s="127">
        <f>IF(N(AC137)=0,"",SUM(V137,W137,X137,Z137,AB137)/AC137)</f>
        <v/>
      </c>
      <c r="AE137" s="126" t="n"/>
      <c r="AF137" s="126" t="n"/>
      <c r="AG137" s="126" t="n"/>
      <c r="AH137" s="128">
        <f>IF(COUNT(AE137,AF137,AG137)=0,"",SUM(AE137,AF137,AG137))</f>
        <v/>
      </c>
      <c r="AI137" s="126" t="n"/>
      <c r="AJ137" s="126" t="n"/>
      <c r="AK137" s="126" t="n"/>
      <c r="AL137" s="128">
        <f>IF(COUNT(AI137,AJ137,AK137)=0,"",SUM(AI137,AJ137,AK137))</f>
        <v/>
      </c>
      <c r="AM137" s="123">
        <f>IF(N(AC137)=0,"",IF(COUNT($AC$6:$AC$105)&lt;5,"Too early",IF(AC137&gt;=1.5*MEDIAN($AC$6:$AC$105),"Top",IF(AC137&lt;=0.5*MEDIAN($AC$6:$AC$105),"Low","Average"))))</f>
        <v/>
      </c>
      <c r="AN137" s="124" t="n"/>
      <c r="AO137" s="124" t="inlineStr">
        <is>
          <t>ted2</t>
        </is>
      </c>
      <c r="AP137" s="129" t="n"/>
      <c r="AQ137" s="129" t="n"/>
      <c r="AR137" s="129" t="n"/>
      <c r="AS137" s="129" t="n"/>
      <c r="AT137" s="129" t="n"/>
      <c r="AU137" s="129" t="n"/>
      <c r="AV137" s="130" t="inlineStr">
        <is>
          <t>Psychology says (15 s loop)</t>
        </is>
      </c>
    </row>
    <row r="138">
      <c r="A138" s="123" t="n">
        <v>133</v>
      </c>
      <c r="B138" s="123" t="inlineStr">
        <is>
          <t>Character story: Arjun</t>
        </is>
      </c>
      <c r="C138" s="123" t="inlineStr">
        <is>
          <t>Arjun ep.1: thinks Kabir is mad at him (mind reading)</t>
        </is>
      </c>
      <c r="D138" s="123" t="inlineStr">
        <is>
          <t>Arjun waved at Kabir. Kabir walked right past him.</t>
        </is>
      </c>
      <c r="E138" s="123" t="inlineStr">
        <is>
          <t>Mind reading cognitive distortion (Beck; Burns 1980)</t>
        </is>
      </c>
      <c r="F138" s="123" t="n"/>
      <c r="G138" s="123" t="n">
        <v>32</v>
      </c>
      <c r="H138" s="123" t="inlineStr">
        <is>
          <t>Scheduled</t>
        </is>
      </c>
      <c r="I138" s="124" t="n">
        <v>0</v>
      </c>
      <c r="J138" s="124" t="n"/>
      <c r="K138" s="124" t="inlineStr">
        <is>
          <t>arjun-mind-reading</t>
        </is>
      </c>
      <c r="L138" s="125" t="n">
        <v>46320</v>
      </c>
      <c r="M138" s="123">
        <f>IF(L138="","",TEXT(L138,"ddd"))</f>
        <v/>
      </c>
      <c r="N138" s="124" t="n"/>
      <c r="O138" s="124" t="n">
        <v>32</v>
      </c>
      <c r="P138" s="124" t="inlineStr">
        <is>
          <t>Why You Think Everyone Is Mad at You #shorts</t>
        </is>
      </c>
      <c r="Q138" s="124" t="inlineStr">
        <is>
          <t>Beck cognitive distortions; Burns, Feeling Good (1980)</t>
        </is>
      </c>
      <c r="R138" s="124" t="inlineStr">
        <is>
          <t>buffer:youtube=6addab016887a2efc1f1d40a;instagram=6addab01e4be8a4d8695ffa0;tiktok=6addab028b3d437ddcf646bc</t>
        </is>
      </c>
      <c r="S138" s="126" t="n"/>
      <c r="T138" s="124" t="n"/>
      <c r="U138" s="127">
        <f>IF(OR(T138="",N(O138)=0),"",T138/O138)</f>
        <v/>
      </c>
      <c r="V138" s="124" t="n"/>
      <c r="W138" s="124" t="n"/>
      <c r="X138" s="124" t="n"/>
      <c r="Y138" s="126" t="n"/>
      <c r="Z138" s="124" t="n"/>
      <c r="AA138" s="126" t="n"/>
      <c r="AB138" s="124" t="n"/>
      <c r="AC138" s="128">
        <f>IF(COUNT(S138,Y138,AA138)=0,"",SUM(S138,Y138,AA138))</f>
        <v/>
      </c>
      <c r="AD138" s="127">
        <f>IF(N(AC138)=0,"",SUM(V138,W138,X138,Z138,AB138)/AC138)</f>
        <v/>
      </c>
      <c r="AE138" s="126" t="n"/>
      <c r="AF138" s="126" t="n"/>
      <c r="AG138" s="126" t="n"/>
      <c r="AH138" s="128">
        <f>IF(COUNT(AE138,AF138,AG138)=0,"",SUM(AE138,AF138,AG138))</f>
        <v/>
      </c>
      <c r="AI138" s="126" t="n"/>
      <c r="AJ138" s="126" t="n"/>
      <c r="AK138" s="126" t="n"/>
      <c r="AL138" s="128">
        <f>IF(COUNT(AI138,AJ138,AK138)=0,"",SUM(AI138,AJ138,AK138))</f>
        <v/>
      </c>
      <c r="AM138" s="123">
        <f>IF(N(AC138)=0,"",IF(COUNT($AC$6:$AC$105)&lt;5,"Too early",IF(AC138&gt;=1.5*MEDIAN($AC$6:$AC$105),"Top",IF(AC138&lt;=0.5*MEDIAN($AC$6:$AC$105),"Low","Average"))))</f>
        <v/>
      </c>
      <c r="AN138" s="124" t="n"/>
      <c r="AO138" s="124" t="inlineStr">
        <is>
          <t>stick</t>
        </is>
      </c>
      <c r="AP138" s="129" t="n"/>
      <c r="AQ138" s="129" t="n"/>
      <c r="AR138" s="129" t="n"/>
      <c r="AS138" s="129" t="n"/>
      <c r="AT138" s="129" t="n"/>
      <c r="AU138" s="129" t="n"/>
      <c r="AV138" s="130" t="n"/>
    </row>
    <row r="139">
      <c r="A139" s="123" t="n">
        <v>134</v>
      </c>
      <c r="B139" s="123" t="inlineStr">
        <is>
          <t>Character story: Zoe</t>
        </is>
      </c>
      <c r="C139" s="123" t="inlineStr">
        <is>
          <t>Zoe ep.1: tiny favor then weekend shift (foot in the door)</t>
        </is>
      </c>
      <c r="D139" s="123" t="inlineStr">
        <is>
          <t>Maya asked Zoe for one tiny favor.</t>
        </is>
      </c>
      <c r="E139" s="123" t="inlineStr">
        <is>
          <t>Freedman &amp; Fraser 1966 17% vs 76%</t>
        </is>
      </c>
      <c r="F139" s="123" t="n"/>
      <c r="G139" s="123" t="n">
        <v>36</v>
      </c>
      <c r="H139" s="123" t="inlineStr">
        <is>
          <t>Failed</t>
        </is>
      </c>
      <c r="I139" s="124" t="n">
        <v>0</v>
      </c>
      <c r="J139" s="124" t="n"/>
      <c r="K139" s="124" t="inlineStr">
        <is>
          <t>zoe-tiny-favor</t>
        </is>
      </c>
      <c r="L139" s="125" t="n"/>
      <c r="M139" s="123">
        <f>IF(L139="","",TEXT(L139,"ddd"))</f>
        <v/>
      </c>
      <c r="N139" s="124" t="inlineStr">
        <is>
          <t>story</t>
        </is>
      </c>
      <c r="O139" s="124" t="n"/>
      <c r="P139" s="124" t="n"/>
      <c r="Q139" s="124" t="inlineStr">
        <is>
          <t>Freedman &amp; Fraser (1966) JPSP: 17% vs 76%</t>
        </is>
      </c>
      <c r="R139" s="124" t="n"/>
      <c r="S139" s="126" t="n"/>
      <c r="T139" s="124" t="n"/>
      <c r="U139" s="127">
        <f>IF(OR(T139="",N(O139)=0),"",T139/O139)</f>
        <v/>
      </c>
      <c r="V139" s="124" t="n"/>
      <c r="W139" s="124" t="n"/>
      <c r="X139" s="124" t="n"/>
      <c r="Y139" s="126" t="n"/>
      <c r="Z139" s="124" t="n"/>
      <c r="AA139" s="126" t="n"/>
      <c r="AB139" s="124" t="n"/>
      <c r="AC139" s="128">
        <f>IF(COUNT(S139,Y139,AA139)=0,"",SUM(S139,Y139,AA139))</f>
        <v/>
      </c>
      <c r="AD139" s="127">
        <f>IF(N(AC139)=0,"",SUM(V139,W139,X139,Z139,AB139)/AC139)</f>
        <v/>
      </c>
      <c r="AE139" s="126" t="n"/>
      <c r="AF139" s="126" t="n"/>
      <c r="AG139" s="126" t="n"/>
      <c r="AH139" s="128">
        <f>IF(COUNT(AE139,AF139,AG139)=0,"",SUM(AE139,AF139,AG139))</f>
        <v/>
      </c>
      <c r="AI139" s="126" t="n"/>
      <c r="AJ139" s="126" t="n"/>
      <c r="AK139" s="126" t="n"/>
      <c r="AL139" s="128">
        <f>IF(COUNT(AI139,AJ139,AK139)=0,"",SUM(AI139,AJ139,AK139))</f>
        <v/>
      </c>
      <c r="AM139" s="123">
        <f>IF(N(AC139)=0,"",IF(COUNT($AC$6:$AC$105)&lt;5,"Too early",IF(AC139&gt;=1.5*MEDIAN($AC$6:$AC$105),"Top",IF(AC139&lt;=0.5*MEDIAN($AC$6:$AC$105),"Low","Average"))))</f>
        <v/>
      </c>
      <c r="AN139" s="124" t="inlineStr">
        <is>
          <t>CI 2026-10-25: build produced no video</t>
        </is>
      </c>
      <c r="AO139" s="124" t="inlineStr">
        <is>
          <t>stick</t>
        </is>
      </c>
      <c r="AP139" s="129" t="n"/>
      <c r="AQ139" s="129" t="n"/>
      <c r="AR139" s="129" t="n"/>
      <c r="AS139" s="129" t="n"/>
      <c r="AT139" s="129" t="n"/>
      <c r="AU139" s="129" t="n"/>
      <c r="AV139" s="130" t="n"/>
    </row>
    <row r="140">
      <c r="A140" s="123" t="n">
        <v>135</v>
      </c>
      <c r="B140" s="123" t="inlineStr">
        <is>
          <t>Character story: Kabir</t>
        </is>
      </c>
      <c r="C140" s="123" t="inlineStr">
        <is>
          <t>Kabir ep.1: two days, tops (planning fallacy)</t>
        </is>
      </c>
      <c r="D140" s="123" t="inlineStr">
        <is>
          <t>Kabir had a whole week for his essay.</t>
        </is>
      </c>
      <c r="E140" s="123" t="inlineStr">
        <is>
          <t>Buehler, Griffin &amp; Ross 1994: 33.9 / 55.5 days, ~30%</t>
        </is>
      </c>
      <c r="F140" s="123" t="n"/>
      <c r="G140" s="123" t="n">
        <v>34</v>
      </c>
      <c r="H140" s="123" t="inlineStr">
        <is>
          <t>Failed</t>
        </is>
      </c>
      <c r="I140" s="124" t="n">
        <v>0</v>
      </c>
      <c r="J140" s="124" t="n"/>
      <c r="K140" s="124" t="inlineStr">
        <is>
          <t>kabir-two-days</t>
        </is>
      </c>
      <c r="L140" s="125" t="n"/>
      <c r="M140" s="123">
        <f>IF(L140="","",TEXT(L140,"ddd"))</f>
        <v/>
      </c>
      <c r="N140" s="124" t="inlineStr">
        <is>
          <t>story</t>
        </is>
      </c>
      <c r="O140" s="124" t="n"/>
      <c r="P140" s="124" t="n"/>
      <c r="Q140" s="124" t="inlineStr">
        <is>
          <t>Buehler, Griffin &amp; Ross (1994) JPSP: 33.9 predicted, 55.5 actual, ~30% on time</t>
        </is>
      </c>
      <c r="R140" s="124" t="n"/>
      <c r="S140" s="126" t="n"/>
      <c r="T140" s="124" t="n"/>
      <c r="U140" s="127">
        <f>IF(OR(T140="",N(O140)=0),"",T140/O140)</f>
        <v/>
      </c>
      <c r="V140" s="124" t="n"/>
      <c r="W140" s="124" t="n"/>
      <c r="X140" s="124" t="n"/>
      <c r="Y140" s="126" t="n"/>
      <c r="Z140" s="124" t="n"/>
      <c r="AA140" s="126" t="n"/>
      <c r="AB140" s="124" t="n"/>
      <c r="AC140" s="128">
        <f>IF(COUNT(S140,Y140,AA140)=0,"",SUM(S140,Y140,AA140))</f>
        <v/>
      </c>
      <c r="AD140" s="127">
        <f>IF(N(AC140)=0,"",SUM(V140,W140,X140,Z140,AB140)/AC140)</f>
        <v/>
      </c>
      <c r="AE140" s="126" t="n"/>
      <c r="AF140" s="126" t="n"/>
      <c r="AG140" s="126" t="n"/>
      <c r="AH140" s="128">
        <f>IF(COUNT(AE140,AF140,AG140)=0,"",SUM(AE140,AF140,AG140))</f>
        <v/>
      </c>
      <c r="AI140" s="126" t="n"/>
      <c r="AJ140" s="126" t="n"/>
      <c r="AK140" s="126" t="n"/>
      <c r="AL140" s="128">
        <f>IF(COUNT(AI140,AJ140,AK140)=0,"",SUM(AI140,AJ140,AK140))</f>
        <v/>
      </c>
      <c r="AM140" s="123">
        <f>IF(N(AC140)=0,"",IF(COUNT($AC$6:$AC$105)&lt;5,"Too early",IF(AC140&gt;=1.5*MEDIAN($AC$6:$AC$105),"Top",IF(AC140&lt;=0.5*MEDIAN($AC$6:$AC$105),"Low","Average"))))</f>
        <v/>
      </c>
      <c r="AN140" s="124" t="inlineStr">
        <is>
          <t>CI 2026-10-25: build produced no video</t>
        </is>
      </c>
      <c r="AO140" s="124" t="inlineStr">
        <is>
          <t>stick</t>
        </is>
      </c>
      <c r="AP140" s="129" t="n"/>
      <c r="AQ140" s="129" t="n"/>
      <c r="AR140" s="129" t="n"/>
      <c r="AS140" s="129" t="n"/>
      <c r="AT140" s="129" t="n"/>
      <c r="AU140" s="129" t="n"/>
      <c r="AV140" s="130" t="n"/>
    </row>
  </sheetData>
  <conditionalFormatting sqref="AM6:AM105">
    <cfRule type="cellIs" rank="0" priority="2" equalAverage="0" operator="equal" aboveAverage="0" dxfId="4" text="" percent="0" bottom="0">
      <formula>"Top"</formula>
    </cfRule>
    <cfRule type="cellIs" rank="0" priority="3" equalAverage="0" operator="equal" aboveAverage="0" dxfId="5" text="" percent="0" bottom="0">
      <formula>"Low"</formula>
    </cfRule>
  </conditionalFormatting>
  <dataValidations count="4">
    <dataValidation sqref="H6:H140" showDropDown="0" showInputMessage="0" showErrorMessage="0" allowBlank="1" type="list" errorStyle="stop" operator="between">
      <formula1>"Idea,Researching,Scripted,Scheduled,Published,Vetoed,Failed,Filming,Editing"</formula1>
      <formula2>0</formula2>
    </dataValidation>
    <dataValidation sqref="J6:J140" showDropDown="0" showInputMessage="0" showErrorMessage="0" allowBlank="1" type="list" errorStyle="stop" operator="between">
      <formula1>"Strong,Weak"</formula1>
      <formula2>0</formula2>
    </dataValidation>
    <dataValidation sqref="AO6:AO140" showDropDown="0" showInputMessage="0" showErrorMessage="0" allowBlank="1" type="list" errorStyle="stop" operator="between">
      <formula1>Looks!$A$5:$A$21</formula1>
      <formula2>0</formula2>
    </dataValidation>
    <dataValidation sqref="AP6:AP140" showDropDown="0" showInputMessage="0" showErrorMessage="0" allowBlank="1" type="list" errorStyle="stop" operator="between">
      <formula1>"ted2,story"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7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61" min="1" max="1"/>
    <col width="26" customWidth="1" style="61" min="2" max="2"/>
    <col width="11" customWidth="1" style="61" min="3" max="3"/>
    <col width="16" customWidth="1" style="61" min="4" max="4"/>
    <col width="18" customWidth="1" style="61" min="5" max="5"/>
    <col width="11" customWidth="1" style="61" min="6" max="6"/>
    <col width="8" customWidth="1" style="61" min="7" max="7"/>
    <col width="60" customWidth="1" style="61" min="8" max="8"/>
    <col width="42" customWidth="1" style="61" min="9" max="9"/>
    <col width="40" customWidth="1" style="61" min="10" max="10"/>
  </cols>
  <sheetData>
    <row r="1" ht="17.35" customHeight="1" s="62">
      <c r="A1" s="75" t="inlineStr">
        <is>
          <t>3-Act Scripts — hook → escalation → payoff, one row per beat</t>
        </is>
      </c>
    </row>
    <row r="2" ht="30" customHeight="1" s="62">
      <c r="A2" s="76" t="inlineStr">
        <is>
          <t>Each Short = 7 beats (~65–110 spoken words, 25–40 s). VO = what the narrator says; On-screen = caption / visual. Studies and numbers are written from memory: the script writer must still verify each "Claim to verify" with a web search before production.</t>
        </is>
      </c>
    </row>
    <row r="4" ht="15" customHeight="1" s="62">
      <c r="A4" s="77" t="inlineStr">
        <is>
          <t>No.</t>
        </is>
      </c>
      <c r="B4" s="77" t="inlineStr">
        <is>
          <t>Video idea</t>
        </is>
      </c>
      <c r="C4" s="77" t="inlineStr">
        <is>
          <t>Status</t>
        </is>
      </c>
      <c r="D4" s="77" t="inlineStr">
        <is>
          <t>Hook formula</t>
        </is>
      </c>
      <c r="E4" s="77" t="inlineStr">
        <is>
          <t>Act</t>
        </is>
      </c>
      <c r="F4" s="77" t="inlineStr">
        <is>
          <t>Beat</t>
        </is>
      </c>
      <c r="G4" s="77" t="inlineStr">
        <is>
          <t>Time</t>
        </is>
      </c>
      <c r="H4" s="77" t="inlineStr">
        <is>
          <t>VO line</t>
        </is>
      </c>
      <c r="I4" s="77" t="inlineStr">
        <is>
          <t>On-screen text / visual</t>
        </is>
      </c>
      <c r="J4" s="77" t="inlineStr">
        <is>
          <t>Claim to verify</t>
        </is>
      </c>
    </row>
    <row r="5" ht="23.85" customHeight="1" s="62">
      <c r="A5" s="78" t="n">
        <v>1</v>
      </c>
      <c r="B5" s="79" t="inlineStr">
        <is>
          <t>The spotlight effect</t>
        </is>
      </c>
      <c r="C5" s="78" t="inlineStr">
        <is>
          <t>Published</t>
        </is>
      </c>
      <c r="D5" s="78" t="inlineStr">
        <is>
          <t>You-callout</t>
        </is>
      </c>
      <c r="E5" s="78" t="inlineStr">
        <is>
          <t>I · Setup</t>
        </is>
      </c>
      <c r="F5" s="78" t="inlineStr">
        <is>
          <t>Hook</t>
        </is>
      </c>
      <c r="G5" s="78" t="inlineStr">
        <is>
          <t>0–3s</t>
        </is>
      </c>
      <c r="H5" s="80" t="inlineStr">
        <is>
          <t>That awkward thing you did yesterday? Almost nobody noticed.</t>
        </is>
      </c>
      <c r="I5" s="79" t="inlineStr">
        <is>
          <t>NOBODY NOTICED. | spotlight hits one person in a crowd</t>
        </is>
      </c>
      <c r="J5" s="79" t="inlineStr">
        <is>
          <t>Gilovich, Medvec &amp; Savitsky 2000: T-shirt wearers guessed ~50% noticed; ~25% did</t>
        </is>
      </c>
    </row>
    <row r="6" ht="15" customHeight="1" s="62">
      <c r="A6" s="78" t="n">
        <v>1</v>
      </c>
      <c r="B6" s="79" t="inlineStr">
        <is>
          <t>The spotlight effect</t>
        </is>
      </c>
      <c r="C6" s="78" t="inlineStr">
        <is>
          <t>Published</t>
        </is>
      </c>
      <c r="D6" s="78" t="inlineStr">
        <is>
          <t>You-callout</t>
        </is>
      </c>
      <c r="E6" s="78" t="inlineStr">
        <is>
          <t>I · Setup</t>
        </is>
      </c>
      <c r="F6" s="78" t="inlineStr">
        <is>
          <t>Setup</t>
        </is>
      </c>
      <c r="G6" s="78" t="inlineStr">
        <is>
          <t>3–8s</t>
        </is>
      </c>
      <c r="H6" s="79" t="inlineStr">
        <is>
          <t>You walk in, trip on the doorstep, and feel every eye on you.</t>
        </is>
      </c>
      <c r="I6" s="79" t="inlineStr">
        <is>
          <t>you trip → every head turns (imagined)</t>
        </is>
      </c>
      <c r="J6" s="79" t="n"/>
    </row>
    <row r="7" ht="23.85" customHeight="1" s="62">
      <c r="A7" s="78" t="n">
        <v>1</v>
      </c>
      <c r="B7" s="79" t="inlineStr">
        <is>
          <t>The spotlight effect</t>
        </is>
      </c>
      <c r="C7" s="78" t="inlineStr">
        <is>
          <t>Published</t>
        </is>
      </c>
      <c r="D7" s="78" t="inlineStr">
        <is>
          <t>You-callout</t>
        </is>
      </c>
      <c r="E7" s="78" t="inlineStr">
        <is>
          <t>II · Confrontation</t>
        </is>
      </c>
      <c r="F7" s="78" t="inlineStr">
        <is>
          <t>Evidence</t>
        </is>
      </c>
      <c r="G7" s="78" t="inlineStr">
        <is>
          <t>8–15s</t>
        </is>
      </c>
      <c r="H7" s="79" t="inlineStr">
        <is>
          <t>In 2000, Thomas Gilovich made students wear an embarrassing T-shirt into a full room.</t>
        </is>
      </c>
      <c r="I7" s="79" t="inlineStr">
        <is>
          <t>GILOVICH, 2000 | student in loud T-shirt</t>
        </is>
      </c>
      <c r="J7" s="79" t="n"/>
    </row>
    <row r="8" ht="15" customHeight="1" s="62">
      <c r="A8" s="78" t="n">
        <v>1</v>
      </c>
      <c r="B8" s="79" t="inlineStr">
        <is>
          <t>The spotlight effect</t>
        </is>
      </c>
      <c r="C8" s="78" t="inlineStr">
        <is>
          <t>Published</t>
        </is>
      </c>
      <c r="D8" s="78" t="inlineStr">
        <is>
          <t>You-callout</t>
        </is>
      </c>
      <c r="E8" s="78" t="inlineStr">
        <is>
          <t>II · Confrontation</t>
        </is>
      </c>
      <c r="F8" s="78" t="inlineStr">
        <is>
          <t>Escalation</t>
        </is>
      </c>
      <c r="G8" s="78" t="inlineStr">
        <is>
          <t>15–22s</t>
        </is>
      </c>
      <c r="H8" s="79" t="inlineStr">
        <is>
          <t>The wearers guessed half the room noticed it. Only about a quarter did.</t>
        </is>
      </c>
      <c r="I8" s="79" t="inlineStr">
        <is>
          <t>GUESSED 50% → ACTUAL ~25% | bar chart</t>
        </is>
      </c>
      <c r="J8" s="79" t="n"/>
    </row>
    <row r="9" ht="15" customHeight="1" s="62">
      <c r="A9" s="78" t="n">
        <v>1</v>
      </c>
      <c r="B9" s="79" t="inlineStr">
        <is>
          <t>The spotlight effect</t>
        </is>
      </c>
      <c r="C9" s="78" t="inlineStr">
        <is>
          <t>Published</t>
        </is>
      </c>
      <c r="D9" s="78" t="inlineStr">
        <is>
          <t>You-callout</t>
        </is>
      </c>
      <c r="E9" s="78" t="inlineStr">
        <is>
          <t>II · Confrontation</t>
        </is>
      </c>
      <c r="F9" s="78" t="inlineStr">
        <is>
          <t>Turn</t>
        </is>
      </c>
      <c r="G9" s="78" t="inlineStr">
        <is>
          <t>22–26s</t>
        </is>
      </c>
      <c r="H9" s="79" t="inlineStr">
        <is>
          <t>But here's why: everyone else is busy starring in their own spotlight.</t>
        </is>
      </c>
      <c r="I9" s="79" t="inlineStr">
        <is>
          <t>every person under their own spotlight</t>
        </is>
      </c>
      <c r="J9" s="79" t="n"/>
    </row>
    <row r="10" ht="15" customHeight="1" s="62">
      <c r="A10" s="78" t="n">
        <v>1</v>
      </c>
      <c r="B10" s="79" t="inlineStr">
        <is>
          <t>The spotlight effect</t>
        </is>
      </c>
      <c r="C10" s="78" t="inlineStr">
        <is>
          <t>Published</t>
        </is>
      </c>
      <c r="D10" s="78" t="inlineStr">
        <is>
          <t>You-callout</t>
        </is>
      </c>
      <c r="E10" s="78" t="inlineStr">
        <is>
          <t>III · Resolution</t>
        </is>
      </c>
      <c r="F10" s="78" t="inlineStr">
        <is>
          <t>Payoff</t>
        </is>
      </c>
      <c r="G10" s="78" t="inlineStr">
        <is>
          <t>26–32s</t>
        </is>
      </c>
      <c r="H10" s="79" t="inlineStr">
        <is>
          <t>It's called the spotlight effect. You're the main character only in your head.</t>
        </is>
      </c>
      <c r="I10" s="79" t="inlineStr">
        <is>
          <t>THE SPOTLIGHT EFFECT</t>
        </is>
      </c>
      <c r="J10" s="79" t="n"/>
    </row>
    <row r="11" ht="23.85" customHeight="1" s="62">
      <c r="A11" s="81" t="n">
        <v>1</v>
      </c>
      <c r="B11" s="82" t="inlineStr">
        <is>
          <t>The spotlight effect</t>
        </is>
      </c>
      <c r="C11" s="81" t="inlineStr">
        <is>
          <t>Published</t>
        </is>
      </c>
      <c r="D11" s="81" t="inlineStr">
        <is>
          <t>You-callout</t>
        </is>
      </c>
      <c r="E11" s="81" t="inlineStr">
        <is>
          <t>III · Resolution</t>
        </is>
      </c>
      <c r="F11" s="81" t="inlineStr">
        <is>
          <t>Outro</t>
        </is>
      </c>
      <c r="G11" s="81" t="inlineStr">
        <is>
          <t>32–36s</t>
        </is>
      </c>
      <c r="H11" s="82" t="inlineStr">
        <is>
          <t>Next time you cringe, remember they're replaying their own moment, not yours. Follow for tomorrow's trick on embarrassment.</t>
        </is>
      </c>
      <c r="I11" s="82" t="inlineStr">
        <is>
          <t>THEY'RE NOT WATCHING YOU | cut back to frame 1</t>
        </is>
      </c>
      <c r="J11" s="82" t="n"/>
    </row>
    <row r="12" ht="23.85" customHeight="1" s="62">
      <c r="A12" s="83" t="n">
        <v>2</v>
      </c>
      <c r="B12" s="84" t="inlineStr">
        <is>
          <t>Confirmation bias</t>
        </is>
      </c>
      <c r="C12" s="83" t="inlineStr">
        <is>
          <t>Vetoed</t>
        </is>
      </c>
      <c r="D12" s="83" t="inlineStr">
        <is>
          <t>Pattern interrupt</t>
        </is>
      </c>
      <c r="E12" s="83" t="inlineStr">
        <is>
          <t>I · Setup</t>
        </is>
      </c>
      <c r="F12" s="83" t="inlineStr">
        <is>
          <t>Hook</t>
        </is>
      </c>
      <c r="G12" s="83" t="inlineStr">
        <is>
          <t>0–3s</t>
        </is>
      </c>
      <c r="H12" s="85" t="inlineStr">
        <is>
          <t>Your feed isn't showing you the news. It's showing you yourself.</t>
        </is>
      </c>
      <c r="I12" s="84" t="inlineStr">
        <is>
          <t>YOUR FEED = A MIRROR | phone reflecting a face</t>
        </is>
      </c>
      <c r="J12" s="84" t="inlineStr">
        <is>
          <t>Lord, Ross &amp; Lepper 1979: same mixed evidence, both sides grew more confident</t>
        </is>
      </c>
    </row>
    <row r="13" ht="23.85" customHeight="1" s="62">
      <c r="A13" s="83" t="n">
        <v>2</v>
      </c>
      <c r="B13" s="84" t="inlineStr">
        <is>
          <t>Confirmation bias</t>
        </is>
      </c>
      <c r="C13" s="83" t="inlineStr">
        <is>
          <t>Vetoed</t>
        </is>
      </c>
      <c r="D13" s="83" t="inlineStr">
        <is>
          <t>Pattern interrupt</t>
        </is>
      </c>
      <c r="E13" s="83" t="inlineStr">
        <is>
          <t>I · Setup</t>
        </is>
      </c>
      <c r="F13" s="83" t="inlineStr">
        <is>
          <t>Setup</t>
        </is>
      </c>
      <c r="G13" s="83" t="inlineStr">
        <is>
          <t>3–8s</t>
        </is>
      </c>
      <c r="H13" s="84" t="inlineStr">
        <is>
          <t>Two people read the same headline and walk away more sure they were right.</t>
        </is>
      </c>
      <c r="I13" s="84" t="inlineStr">
        <is>
          <t>one headline → two smug faces</t>
        </is>
      </c>
      <c r="J13" s="84" t="n"/>
    </row>
    <row r="14" ht="23.85" customHeight="1" s="62">
      <c r="A14" s="83" t="n">
        <v>2</v>
      </c>
      <c r="B14" s="84" t="inlineStr">
        <is>
          <t>Confirmation bias</t>
        </is>
      </c>
      <c r="C14" s="83" t="inlineStr">
        <is>
          <t>Vetoed</t>
        </is>
      </c>
      <c r="D14" s="83" t="inlineStr">
        <is>
          <t>Pattern interrupt</t>
        </is>
      </c>
      <c r="E14" s="83" t="inlineStr">
        <is>
          <t>II · Confrontation</t>
        </is>
      </c>
      <c r="F14" s="83" t="inlineStr">
        <is>
          <t>Evidence</t>
        </is>
      </c>
      <c r="G14" s="83" t="inlineStr">
        <is>
          <t>8–15s</t>
        </is>
      </c>
      <c r="H14" s="84" t="inlineStr">
        <is>
          <t>In 1979, Stanford researchers gave both sides of a debate the exact same mixed studies.</t>
        </is>
      </c>
      <c r="I14" s="84" t="inlineStr">
        <is>
          <t>STANFORD, 1979 | identical study packets</t>
        </is>
      </c>
      <c r="J14" s="84" t="n"/>
    </row>
    <row r="15" ht="23.85" customHeight="1" s="62">
      <c r="A15" s="83" t="n">
        <v>2</v>
      </c>
      <c r="B15" s="84" t="inlineStr">
        <is>
          <t>Confirmation bias</t>
        </is>
      </c>
      <c r="C15" s="83" t="inlineStr">
        <is>
          <t>Vetoed</t>
        </is>
      </c>
      <c r="D15" s="83" t="inlineStr">
        <is>
          <t>Pattern interrupt</t>
        </is>
      </c>
      <c r="E15" s="83" t="inlineStr">
        <is>
          <t>II · Confrontation</t>
        </is>
      </c>
      <c r="F15" s="83" t="inlineStr">
        <is>
          <t>Escalation</t>
        </is>
      </c>
      <c r="G15" s="83" t="inlineStr">
        <is>
          <t>15–22s</t>
        </is>
      </c>
      <c r="H15" s="84" t="inlineStr">
        <is>
          <t>Each side praised the study that agreed with them and picked apart the other.</t>
        </is>
      </c>
      <c r="I15" s="84" t="inlineStr">
        <is>
          <t>✓ agrees = 'great study' | ✗ disagrees = 'flawed'</t>
        </is>
      </c>
      <c r="J15" s="84" t="n"/>
    </row>
    <row r="16" ht="23.85" customHeight="1" s="62">
      <c r="A16" s="83" t="n">
        <v>2</v>
      </c>
      <c r="B16" s="84" t="inlineStr">
        <is>
          <t>Confirmation bias</t>
        </is>
      </c>
      <c r="C16" s="83" t="inlineStr">
        <is>
          <t>Vetoed</t>
        </is>
      </c>
      <c r="D16" s="83" t="inlineStr">
        <is>
          <t>Pattern interrupt</t>
        </is>
      </c>
      <c r="E16" s="83" t="inlineStr">
        <is>
          <t>II · Confrontation</t>
        </is>
      </c>
      <c r="F16" s="83" t="inlineStr">
        <is>
          <t>Turn</t>
        </is>
      </c>
      <c r="G16" s="83" t="inlineStr">
        <is>
          <t>22–26s</t>
        </is>
      </c>
      <c r="H16" s="84" t="inlineStr">
        <is>
          <t>But the twist: after reading both, each side got more extreme, not less.</t>
        </is>
      </c>
      <c r="I16" s="84" t="inlineStr">
        <is>
          <t>BOTH SIDES GOT MORE EXTREME | opinion sliders split</t>
        </is>
      </c>
      <c r="J16" s="84" t="n"/>
    </row>
    <row r="17" ht="15" customHeight="1" s="62">
      <c r="A17" s="83" t="n">
        <v>2</v>
      </c>
      <c r="B17" s="84" t="inlineStr">
        <is>
          <t>Confirmation bias</t>
        </is>
      </c>
      <c r="C17" s="83" t="inlineStr">
        <is>
          <t>Vetoed</t>
        </is>
      </c>
      <c r="D17" s="83" t="inlineStr">
        <is>
          <t>Pattern interrupt</t>
        </is>
      </c>
      <c r="E17" s="83" t="inlineStr">
        <is>
          <t>III · Resolution</t>
        </is>
      </c>
      <c r="F17" s="83" t="inlineStr">
        <is>
          <t>Payoff</t>
        </is>
      </c>
      <c r="G17" s="83" t="inlineStr">
        <is>
          <t>26–32s</t>
        </is>
      </c>
      <c r="H17" s="84" t="inlineStr">
        <is>
          <t>That's confirmation bias. We search for proof, not for truth.</t>
        </is>
      </c>
      <c r="I17" s="84" t="inlineStr">
        <is>
          <t>CONFIRMATION BIAS</t>
        </is>
      </c>
      <c r="J17" s="84" t="n"/>
    </row>
    <row r="18" ht="23.85" customHeight="1" s="62">
      <c r="A18" s="86" t="n">
        <v>2</v>
      </c>
      <c r="B18" s="87" t="inlineStr">
        <is>
          <t>Confirmation bias</t>
        </is>
      </c>
      <c r="C18" s="86" t="inlineStr">
        <is>
          <t>Vetoed</t>
        </is>
      </c>
      <c r="D18" s="86" t="inlineStr">
        <is>
          <t>Pattern interrupt</t>
        </is>
      </c>
      <c r="E18" s="86" t="inlineStr">
        <is>
          <t>III · Resolution</t>
        </is>
      </c>
      <c r="F18" s="86" t="inlineStr">
        <is>
          <t>Outro</t>
        </is>
      </c>
      <c r="G18" s="86" t="inlineStr">
        <is>
          <t>32–36s</t>
        </is>
      </c>
      <c r="H18" s="87" t="inlineStr">
        <is>
          <t>Try this: before you share something, look for the best argument against it. Save this for your next argument.</t>
        </is>
      </c>
      <c r="I18" s="87" t="inlineStr">
        <is>
          <t>FIND THE BEST COUNTER-ARGUMENT | checklist tick</t>
        </is>
      </c>
      <c r="J18" s="87" t="n"/>
    </row>
    <row r="19" ht="23.85" customHeight="1" s="62">
      <c r="A19" s="78" t="n">
        <v>3</v>
      </c>
      <c r="B19" s="79" t="inlineStr">
        <is>
          <t>The anchoring effect</t>
        </is>
      </c>
      <c r="C19" s="78" t="inlineStr">
        <is>
          <t>Scheduled</t>
        </is>
      </c>
      <c r="D19" s="78" t="inlineStr">
        <is>
          <t>Study reveal</t>
        </is>
      </c>
      <c r="E19" s="78" t="inlineStr">
        <is>
          <t>I · Setup</t>
        </is>
      </c>
      <c r="F19" s="78" t="inlineStr">
        <is>
          <t>Hook</t>
        </is>
      </c>
      <c r="G19" s="78" t="inlineStr">
        <is>
          <t>0–3s</t>
        </is>
      </c>
      <c r="H19" s="80" t="inlineStr">
        <is>
          <t>A random wheel spin changed how people answered a geography question.</t>
        </is>
      </c>
      <c r="I19" s="79" t="inlineStr">
        <is>
          <t>RANDOM WHEEL → YOUR ANSWER? | spinning wheel</t>
        </is>
      </c>
      <c r="J19" s="79" t="inlineStr">
        <is>
          <t>Tversky &amp; Kahneman 1974: wheel 10 → median 25%, wheel 65 → median 45%</t>
        </is>
      </c>
    </row>
    <row r="20" ht="23.85" customHeight="1" s="62">
      <c r="A20" s="78" t="n">
        <v>3</v>
      </c>
      <c r="B20" s="79" t="inlineStr">
        <is>
          <t>The anchoring effect</t>
        </is>
      </c>
      <c r="C20" s="78" t="inlineStr">
        <is>
          <t>Scheduled</t>
        </is>
      </c>
      <c r="D20" s="78" t="inlineStr">
        <is>
          <t>Study reveal</t>
        </is>
      </c>
      <c r="E20" s="78" t="inlineStr">
        <is>
          <t>I · Setup</t>
        </is>
      </c>
      <c r="F20" s="78" t="inlineStr">
        <is>
          <t>Setup</t>
        </is>
      </c>
      <c r="G20" s="78" t="inlineStr">
        <is>
          <t>3–8s</t>
        </is>
      </c>
      <c r="H20" s="79" t="inlineStr">
        <is>
          <t>Researchers spun a wheel that landed on 10 or 65, then asked a totally unrelated question.</t>
        </is>
      </c>
      <c r="I20" s="79" t="inlineStr">
        <is>
          <t>wheel lands on 10 | wheel lands on 65</t>
        </is>
      </c>
      <c r="J20" s="79" t="n"/>
    </row>
    <row r="21" ht="23.85" customHeight="1" s="62">
      <c r="A21" s="78" t="n">
        <v>3</v>
      </c>
      <c r="B21" s="79" t="inlineStr">
        <is>
          <t>The anchoring effect</t>
        </is>
      </c>
      <c r="C21" s="78" t="inlineStr">
        <is>
          <t>Scheduled</t>
        </is>
      </c>
      <c r="D21" s="78" t="inlineStr">
        <is>
          <t>Study reveal</t>
        </is>
      </c>
      <c r="E21" s="78" t="inlineStr">
        <is>
          <t>II · Confrontation</t>
        </is>
      </c>
      <c r="F21" s="78" t="inlineStr">
        <is>
          <t>Evidence</t>
        </is>
      </c>
      <c r="G21" s="78" t="inlineStr">
        <is>
          <t>8–15s</t>
        </is>
      </c>
      <c r="H21" s="79" t="inlineStr">
        <is>
          <t>What percent of UN countries are African? That's what Tversky and Kahneman asked in 1974.</t>
        </is>
      </c>
      <c r="I21" s="79" t="inlineStr">
        <is>
          <t>TVERSKY &amp; KAHNEMAN, 1974 | UN flags</t>
        </is>
      </c>
      <c r="J21" s="79" t="n"/>
    </row>
    <row r="22" ht="23.85" customHeight="1" s="62">
      <c r="A22" s="78" t="n">
        <v>3</v>
      </c>
      <c r="B22" s="79" t="inlineStr">
        <is>
          <t>The anchoring effect</t>
        </is>
      </c>
      <c r="C22" s="78" t="inlineStr">
        <is>
          <t>Scheduled</t>
        </is>
      </c>
      <c r="D22" s="78" t="inlineStr">
        <is>
          <t>Study reveal</t>
        </is>
      </c>
      <c r="E22" s="78" t="inlineStr">
        <is>
          <t>II · Confrontation</t>
        </is>
      </c>
      <c r="F22" s="78" t="inlineStr">
        <is>
          <t>Escalation</t>
        </is>
      </c>
      <c r="G22" s="78" t="inlineStr">
        <is>
          <t>15–22s</t>
        </is>
      </c>
      <c r="H22" s="79" t="inlineStr">
        <is>
          <t>People who saw 10 guessed about 25 percent. People who saw 65 guessed about 45.</t>
        </is>
      </c>
      <c r="I22" s="79" t="inlineStr">
        <is>
          <t>SAW 10 → 25% | SAW 65 → 45%</t>
        </is>
      </c>
      <c r="J22" s="79" t="n"/>
    </row>
    <row r="23" ht="15" customHeight="1" s="62">
      <c r="A23" s="78" t="n">
        <v>3</v>
      </c>
      <c r="B23" s="79" t="inlineStr">
        <is>
          <t>The anchoring effect</t>
        </is>
      </c>
      <c r="C23" s="78" t="inlineStr">
        <is>
          <t>Scheduled</t>
        </is>
      </c>
      <c r="D23" s="78" t="inlineStr">
        <is>
          <t>Study reveal</t>
        </is>
      </c>
      <c r="E23" s="78" t="inlineStr">
        <is>
          <t>II · Confrontation</t>
        </is>
      </c>
      <c r="F23" s="78" t="inlineStr">
        <is>
          <t>Turn</t>
        </is>
      </c>
      <c r="G23" s="78" t="inlineStr">
        <is>
          <t>22–26s</t>
        </is>
      </c>
      <c r="H23" s="79" t="inlineStr">
        <is>
          <t>But the wheel was meaningless, and they knew it. The number still stuck.</t>
        </is>
      </c>
      <c r="I23" s="79" t="inlineStr">
        <is>
          <t>THEY KNEW IT WAS RANDOM</t>
        </is>
      </c>
      <c r="J23" s="79" t="n"/>
    </row>
    <row r="24" ht="23.85" customHeight="1" s="62">
      <c r="A24" s="78" t="n">
        <v>3</v>
      </c>
      <c r="B24" s="79" t="inlineStr">
        <is>
          <t>The anchoring effect</t>
        </is>
      </c>
      <c r="C24" s="78" t="inlineStr">
        <is>
          <t>Scheduled</t>
        </is>
      </c>
      <c r="D24" s="78" t="inlineStr">
        <is>
          <t>Study reveal</t>
        </is>
      </c>
      <c r="E24" s="78" t="inlineStr">
        <is>
          <t>III · Resolution</t>
        </is>
      </c>
      <c r="F24" s="78" t="inlineStr">
        <is>
          <t>Payoff</t>
        </is>
      </c>
      <c r="G24" s="78" t="inlineStr">
        <is>
          <t>26–32s</t>
        </is>
      </c>
      <c r="H24" s="79" t="inlineStr">
        <is>
          <t>It's the anchoring effect. The first number you see becomes the ruler for everything after.</t>
        </is>
      </c>
      <c r="I24" s="79" t="inlineStr">
        <is>
          <t>THE ANCHORING EFFECT | $200 crossed out → $89</t>
        </is>
      </c>
      <c r="J24" s="79" t="n"/>
    </row>
    <row r="25" ht="23.85" customHeight="1" s="62">
      <c r="A25" s="81" t="n">
        <v>3</v>
      </c>
      <c r="B25" s="82" t="inlineStr">
        <is>
          <t>The anchoring effect</t>
        </is>
      </c>
      <c r="C25" s="81" t="inlineStr">
        <is>
          <t>Scheduled</t>
        </is>
      </c>
      <c r="D25" s="81" t="inlineStr">
        <is>
          <t>Study reveal</t>
        </is>
      </c>
      <c r="E25" s="81" t="inlineStr">
        <is>
          <t>III · Resolution</t>
        </is>
      </c>
      <c r="F25" s="81" t="inlineStr">
        <is>
          <t>Outro</t>
        </is>
      </c>
      <c r="G25" s="81" t="inlineStr">
        <is>
          <t>32–36s</t>
        </is>
      </c>
      <c r="H25" s="82" t="inlineStr">
        <is>
          <t>Before any negotiation, say your number first. Follow, because tomorrow's trick works on prices too.</t>
        </is>
      </c>
      <c r="I25" s="82" t="inlineStr">
        <is>
          <t>SAY YOUR NUMBER FIRST</t>
        </is>
      </c>
      <c r="J25" s="82" t="n"/>
    </row>
    <row r="26" ht="35.05" customHeight="1" s="62">
      <c r="A26" s="83" t="n">
        <v>4</v>
      </c>
      <c r="B26" s="84" t="inlineStr">
        <is>
          <t>The availability heuristic</t>
        </is>
      </c>
      <c r="C26" s="83" t="inlineStr">
        <is>
          <t>Scheduled</t>
        </is>
      </c>
      <c r="D26" s="83" t="inlineStr">
        <is>
          <t>Curiosity gap</t>
        </is>
      </c>
      <c r="E26" s="83" t="inlineStr">
        <is>
          <t>I · Setup</t>
        </is>
      </c>
      <c r="F26" s="83" t="inlineStr">
        <is>
          <t>Hook</t>
        </is>
      </c>
      <c r="G26" s="83" t="inlineStr">
        <is>
          <t>0–3s</t>
        </is>
      </c>
      <c r="H26" s="85" t="inlineStr">
        <is>
          <t>Which kills more people: sharks, or falling coconuts? Your brain just guessed wrong for a reason.</t>
        </is>
      </c>
      <c r="I26" s="84" t="inlineStr">
        <is>
          <t>SHARK vs ? | dramatic shark fin</t>
        </is>
      </c>
      <c r="J26" s="84" t="inlineStr">
        <is>
          <t>Lichtenstein et al. 1978: dramatic causes of death overestimated, common ones underestimated</t>
        </is>
      </c>
    </row>
    <row r="27" ht="23.85" customHeight="1" s="62">
      <c r="A27" s="83" t="n">
        <v>4</v>
      </c>
      <c r="B27" s="84" t="inlineStr">
        <is>
          <t>The availability heuristic</t>
        </is>
      </c>
      <c r="C27" s="83" t="inlineStr">
        <is>
          <t>Scheduled</t>
        </is>
      </c>
      <c r="D27" s="83" t="inlineStr">
        <is>
          <t>Curiosity gap</t>
        </is>
      </c>
      <c r="E27" s="83" t="inlineStr">
        <is>
          <t>I · Setup</t>
        </is>
      </c>
      <c r="F27" s="83" t="inlineStr">
        <is>
          <t>Setup</t>
        </is>
      </c>
      <c r="G27" s="83" t="inlineStr">
        <is>
          <t>3–8s</t>
        </is>
      </c>
      <c r="H27" s="84" t="inlineStr">
        <is>
          <t>You see one plane crash on the news, and suddenly flying feels dangerous.</t>
        </is>
      </c>
      <c r="I27" s="84" t="inlineStr">
        <is>
          <t>news screen: PLANE CRASH | nervous traveler</t>
        </is>
      </c>
      <c r="J27" s="84" t="n"/>
    </row>
    <row r="28" ht="23.85" customHeight="1" s="62">
      <c r="A28" s="83" t="n">
        <v>4</v>
      </c>
      <c r="B28" s="84" t="inlineStr">
        <is>
          <t>The availability heuristic</t>
        </is>
      </c>
      <c r="C28" s="83" t="inlineStr">
        <is>
          <t>Scheduled</t>
        </is>
      </c>
      <c r="D28" s="83" t="inlineStr">
        <is>
          <t>Curiosity gap</t>
        </is>
      </c>
      <c r="E28" s="83" t="inlineStr">
        <is>
          <t>II · Confrontation</t>
        </is>
      </c>
      <c r="F28" s="83" t="inlineStr">
        <is>
          <t>Evidence</t>
        </is>
      </c>
      <c r="G28" s="83" t="inlineStr">
        <is>
          <t>8–15s</t>
        </is>
      </c>
      <c r="H28" s="84" t="inlineStr">
        <is>
          <t>Tversky and Kahneman found we judge how common something is by how easily examples come to mind.</t>
        </is>
      </c>
      <c r="I28" s="84" t="inlineStr">
        <is>
          <t>TVERSKY &amp; KAHNEMAN, 1973 | memory folder</t>
        </is>
      </c>
      <c r="J28" s="84" t="n"/>
    </row>
    <row r="29" ht="23.85" customHeight="1" s="62">
      <c r="A29" s="83" t="n">
        <v>4</v>
      </c>
      <c r="B29" s="84" t="inlineStr">
        <is>
          <t>The availability heuristic</t>
        </is>
      </c>
      <c r="C29" s="83" t="inlineStr">
        <is>
          <t>Scheduled</t>
        </is>
      </c>
      <c r="D29" s="83" t="inlineStr">
        <is>
          <t>Curiosity gap</t>
        </is>
      </c>
      <c r="E29" s="83" t="inlineStr">
        <is>
          <t>II · Confrontation</t>
        </is>
      </c>
      <c r="F29" s="83" t="inlineStr">
        <is>
          <t>Escalation</t>
        </is>
      </c>
      <c r="G29" s="83" t="inlineStr">
        <is>
          <t>15–22s</t>
        </is>
      </c>
      <c r="H29" s="84" t="inlineStr">
        <is>
          <t>In 1978, people overestimated dramatic deaths like tornadoes and underestimated quiet ones like stroke.</t>
        </is>
      </c>
      <c r="I29" s="84" t="inlineStr">
        <is>
          <t>TORNADO ↑ overestimated | STROKE ↓ underestimated</t>
        </is>
      </c>
      <c r="J29" s="84" t="n"/>
    </row>
    <row r="30" ht="23.85" customHeight="1" s="62">
      <c r="A30" s="83" t="n">
        <v>4</v>
      </c>
      <c r="B30" s="84" t="inlineStr">
        <is>
          <t>The availability heuristic</t>
        </is>
      </c>
      <c r="C30" s="83" t="inlineStr">
        <is>
          <t>Scheduled</t>
        </is>
      </c>
      <c r="D30" s="83" t="inlineStr">
        <is>
          <t>Curiosity gap</t>
        </is>
      </c>
      <c r="E30" s="83" t="inlineStr">
        <is>
          <t>II · Confrontation</t>
        </is>
      </c>
      <c r="F30" s="83" t="inlineStr">
        <is>
          <t>Turn</t>
        </is>
      </c>
      <c r="G30" s="83" t="inlineStr">
        <is>
          <t>22–26s</t>
        </is>
      </c>
      <c r="H30" s="84" t="inlineStr">
        <is>
          <t>But here's the catch: the scariest stories are the ones the news repeats most.</t>
        </is>
      </c>
      <c r="I30" s="84" t="inlineStr">
        <is>
          <t>SCARY = REPEATED = 'COMMON'</t>
        </is>
      </c>
      <c r="J30" s="84" t="n"/>
    </row>
    <row r="31" ht="23.85" customHeight="1" s="62">
      <c r="A31" s="83" t="n">
        <v>4</v>
      </c>
      <c r="B31" s="84" t="inlineStr">
        <is>
          <t>The availability heuristic</t>
        </is>
      </c>
      <c r="C31" s="83" t="inlineStr">
        <is>
          <t>Scheduled</t>
        </is>
      </c>
      <c r="D31" s="83" t="inlineStr">
        <is>
          <t>Curiosity gap</t>
        </is>
      </c>
      <c r="E31" s="83" t="inlineStr">
        <is>
          <t>III · Resolution</t>
        </is>
      </c>
      <c r="F31" s="83" t="inlineStr">
        <is>
          <t>Payoff</t>
        </is>
      </c>
      <c r="G31" s="83" t="inlineStr">
        <is>
          <t>26–32s</t>
        </is>
      </c>
      <c r="H31" s="84" t="inlineStr">
        <is>
          <t>That's the availability heuristic. Memorable feels frequent, even when it isn't.</t>
        </is>
      </c>
      <c r="I31" s="84" t="inlineStr">
        <is>
          <t>THE AVAILABILITY HEURISTIC</t>
        </is>
      </c>
      <c r="J31" s="84" t="n"/>
    </row>
    <row r="32" ht="23.85" customHeight="1" s="62">
      <c r="A32" s="86" t="n">
        <v>4</v>
      </c>
      <c r="B32" s="87" t="inlineStr">
        <is>
          <t>The availability heuristic</t>
        </is>
      </c>
      <c r="C32" s="86" t="inlineStr">
        <is>
          <t>Scheduled</t>
        </is>
      </c>
      <c r="D32" s="86" t="inlineStr">
        <is>
          <t>Curiosity gap</t>
        </is>
      </c>
      <c r="E32" s="86" t="inlineStr">
        <is>
          <t>III · Resolution</t>
        </is>
      </c>
      <c r="F32" s="86" t="inlineStr">
        <is>
          <t>Outro</t>
        </is>
      </c>
      <c r="G32" s="86" t="inlineStr">
        <is>
          <t>32–36s</t>
        </is>
      </c>
      <c r="H32" s="87" t="inlineStr">
        <is>
          <t>When something feels common, ask: is it frequent, or just loud? Save this for the next scary headline.</t>
        </is>
      </c>
      <c r="I32" s="87" t="inlineStr">
        <is>
          <t>FREQUENT, OR JUST LOUD?</t>
        </is>
      </c>
      <c r="J32" s="87" t="n"/>
    </row>
    <row r="33" ht="23.85" customHeight="1" s="62">
      <c r="A33" s="78" t="n">
        <v>5</v>
      </c>
      <c r="B33" s="79" t="inlineStr">
        <is>
          <t>The sunk-cost trap</t>
        </is>
      </c>
      <c r="C33" s="78" t="inlineStr">
        <is>
          <t>Scripted</t>
        </is>
      </c>
      <c r="D33" s="78" t="inlineStr">
        <is>
          <t>Forced choice</t>
        </is>
      </c>
      <c r="E33" s="78" t="inlineStr">
        <is>
          <t>I · Setup</t>
        </is>
      </c>
      <c r="F33" s="78" t="inlineStr">
        <is>
          <t>Hook</t>
        </is>
      </c>
      <c r="G33" s="78" t="inlineStr">
        <is>
          <t>0–3s</t>
        </is>
      </c>
      <c r="H33" s="80" t="inlineStr">
        <is>
          <t>You paid for a terrible movie. Do you stay, or walk out?</t>
        </is>
      </c>
      <c r="I33" s="79" t="inlineStr">
        <is>
          <t>STAY OR LEAVE? | movie ticket + exit sign</t>
        </is>
      </c>
      <c r="J33" s="79" t="inlineStr">
        <is>
          <t>Arkes &amp; Blumer 1985 ski-trip scenario: many picked the $100 trip they'd enjoy less</t>
        </is>
      </c>
    </row>
    <row r="34" ht="15" customHeight="1" s="62">
      <c r="A34" s="78" t="n">
        <v>5</v>
      </c>
      <c r="B34" s="79" t="inlineStr">
        <is>
          <t>The sunk-cost trap</t>
        </is>
      </c>
      <c r="C34" s="78" t="inlineStr">
        <is>
          <t>Scripted</t>
        </is>
      </c>
      <c r="D34" s="78" t="inlineStr">
        <is>
          <t>Forced choice</t>
        </is>
      </c>
      <c r="E34" s="78" t="inlineStr">
        <is>
          <t>I · Setup</t>
        </is>
      </c>
      <c r="F34" s="78" t="inlineStr">
        <is>
          <t>Setup</t>
        </is>
      </c>
      <c r="G34" s="78" t="inlineStr">
        <is>
          <t>3–8s</t>
        </is>
      </c>
      <c r="H34" s="79" t="inlineStr">
        <is>
          <t>Most people stay. After all, they already paid for it.</t>
        </is>
      </c>
      <c r="I34" s="79" t="inlineStr">
        <is>
          <t>'I already paid...' | bored person in cinema</t>
        </is>
      </c>
      <c r="J34" s="79" t="n"/>
    </row>
    <row r="35" ht="23.85" customHeight="1" s="62">
      <c r="A35" s="78" t="n">
        <v>5</v>
      </c>
      <c r="B35" s="79" t="inlineStr">
        <is>
          <t>The sunk-cost trap</t>
        </is>
      </c>
      <c r="C35" s="78" t="inlineStr">
        <is>
          <t>Scripted</t>
        </is>
      </c>
      <c r="D35" s="78" t="inlineStr">
        <is>
          <t>Forced choice</t>
        </is>
      </c>
      <c r="E35" s="78" t="inlineStr">
        <is>
          <t>II · Confrontation</t>
        </is>
      </c>
      <c r="F35" s="78" t="inlineStr">
        <is>
          <t>Evidence</t>
        </is>
      </c>
      <c r="G35" s="78" t="inlineStr">
        <is>
          <t>8–15s</t>
        </is>
      </c>
      <c r="H35" s="79" t="inlineStr">
        <is>
          <t>In 1985, Hal Arkes and Catherine Blumer told people they'd double-booked two ski trips.</t>
        </is>
      </c>
      <c r="I35" s="79" t="inlineStr">
        <is>
          <t>ARKES &amp; BLUMER, 1985 | two ski tickets</t>
        </is>
      </c>
      <c r="J35" s="79" t="n"/>
    </row>
    <row r="36" ht="23.85" customHeight="1" s="62">
      <c r="A36" s="78" t="n">
        <v>5</v>
      </c>
      <c r="B36" s="79" t="inlineStr">
        <is>
          <t>The sunk-cost trap</t>
        </is>
      </c>
      <c r="C36" s="78" t="inlineStr">
        <is>
          <t>Scripted</t>
        </is>
      </c>
      <c r="D36" s="78" t="inlineStr">
        <is>
          <t>Forced choice</t>
        </is>
      </c>
      <c r="E36" s="78" t="inlineStr">
        <is>
          <t>II · Confrontation</t>
        </is>
      </c>
      <c r="F36" s="78" t="inlineStr">
        <is>
          <t>Escalation</t>
        </is>
      </c>
      <c r="G36" s="78" t="inlineStr">
        <is>
          <t>15–22s</t>
        </is>
      </c>
      <c r="H36" s="79" t="inlineStr">
        <is>
          <t>A $100 trip, or a $50 trip they'd enjoy more. Many still chose the expensive one.</t>
        </is>
      </c>
      <c r="I36" s="79" t="inlineStr">
        <is>
          <t>$100 (less fun) vs $50 (more fun) → many chose $100</t>
        </is>
      </c>
      <c r="J36" s="79" t="n"/>
    </row>
    <row r="37" ht="23.85" customHeight="1" s="62">
      <c r="A37" s="78" t="n">
        <v>5</v>
      </c>
      <c r="B37" s="79" t="inlineStr">
        <is>
          <t>The sunk-cost trap</t>
        </is>
      </c>
      <c r="C37" s="78" t="inlineStr">
        <is>
          <t>Scripted</t>
        </is>
      </c>
      <c r="D37" s="78" t="inlineStr">
        <is>
          <t>Forced choice</t>
        </is>
      </c>
      <c r="E37" s="78" t="inlineStr">
        <is>
          <t>II · Confrontation</t>
        </is>
      </c>
      <c r="F37" s="78" t="inlineStr">
        <is>
          <t>Turn</t>
        </is>
      </c>
      <c r="G37" s="78" t="inlineStr">
        <is>
          <t>22–26s</t>
        </is>
      </c>
      <c r="H37" s="79" t="inlineStr">
        <is>
          <t>But the money is gone either way. Staying only adds lost time to lost money.</t>
        </is>
      </c>
      <c r="I37" s="79" t="inlineStr">
        <is>
          <t>MONEY GONE EITHER WAY | + lost time</t>
        </is>
      </c>
      <c r="J37" s="79" t="n"/>
    </row>
    <row r="38" ht="15" customHeight="1" s="62">
      <c r="A38" s="78" t="n">
        <v>5</v>
      </c>
      <c r="B38" s="79" t="inlineStr">
        <is>
          <t>The sunk-cost trap</t>
        </is>
      </c>
      <c r="C38" s="78" t="inlineStr">
        <is>
          <t>Scripted</t>
        </is>
      </c>
      <c r="D38" s="78" t="inlineStr">
        <is>
          <t>Forced choice</t>
        </is>
      </c>
      <c r="E38" s="78" t="inlineStr">
        <is>
          <t>III · Resolution</t>
        </is>
      </c>
      <c r="F38" s="78" t="inlineStr">
        <is>
          <t>Payoff</t>
        </is>
      </c>
      <c r="G38" s="78" t="inlineStr">
        <is>
          <t>26–32s</t>
        </is>
      </c>
      <c r="H38" s="79" t="inlineStr">
        <is>
          <t>That's the sunk-cost trap. Past costs hijacking a future decision.</t>
        </is>
      </c>
      <c r="I38" s="79" t="inlineStr">
        <is>
          <t>THE SUNK-COST TRAP</t>
        </is>
      </c>
      <c r="J38" s="79" t="n"/>
    </row>
    <row r="39" ht="23.85" customHeight="1" s="62">
      <c r="A39" s="81" t="n">
        <v>5</v>
      </c>
      <c r="B39" s="82" t="inlineStr">
        <is>
          <t>The sunk-cost trap</t>
        </is>
      </c>
      <c r="C39" s="81" t="inlineStr">
        <is>
          <t>Scripted</t>
        </is>
      </c>
      <c r="D39" s="81" t="inlineStr">
        <is>
          <t>Forced choice</t>
        </is>
      </c>
      <c r="E39" s="81" t="inlineStr">
        <is>
          <t>III · Resolution</t>
        </is>
      </c>
      <c r="F39" s="81" t="inlineStr">
        <is>
          <t>Outro</t>
        </is>
      </c>
      <c r="G39" s="81" t="inlineStr">
        <is>
          <t>32–36s</t>
        </is>
      </c>
      <c r="H39" s="82" t="inlineStr">
        <is>
          <t>Ask one question: if I hadn't paid, would I start this now? Use it on your next bad investment, and follow for more.</t>
        </is>
      </c>
      <c r="I39" s="82" t="inlineStr">
        <is>
          <t>WOULD I START THIS TODAY?</t>
        </is>
      </c>
      <c r="J39" s="82" t="n"/>
    </row>
    <row r="40" ht="23.85" customHeight="1" s="62">
      <c r="A40" s="83" t="n">
        <v>6</v>
      </c>
      <c r="B40" s="84" t="inlineStr">
        <is>
          <t>The halo effect</t>
        </is>
      </c>
      <c r="C40" s="83" t="inlineStr">
        <is>
          <t>Scripted</t>
        </is>
      </c>
      <c r="D40" s="83" t="inlineStr">
        <is>
          <t>Pattern interrupt</t>
        </is>
      </c>
      <c r="E40" s="83" t="inlineStr">
        <is>
          <t>I · Setup</t>
        </is>
      </c>
      <c r="F40" s="83" t="inlineStr">
        <is>
          <t>Hook</t>
        </is>
      </c>
      <c r="G40" s="83" t="inlineStr">
        <is>
          <t>0–3s</t>
        </is>
      </c>
      <c r="H40" s="85" t="inlineStr">
        <is>
          <t>The same man. Same accent. Same face. Students rated them completely differently.</t>
        </is>
      </c>
      <c r="I40" s="84" t="inlineStr">
        <is>
          <t>SAME MAN, TWO RATINGS | split-screen lecturer</t>
        </is>
      </c>
      <c r="J40" s="84" t="inlineStr">
        <is>
          <t>Nisbett &amp; Wilson 1977: warm vs cold lecturer, same accent judged more appealing</t>
        </is>
      </c>
    </row>
    <row r="41" ht="23.85" customHeight="1" s="62">
      <c r="A41" s="83" t="n">
        <v>6</v>
      </c>
      <c r="B41" s="84" t="inlineStr">
        <is>
          <t>The halo effect</t>
        </is>
      </c>
      <c r="C41" s="83" t="inlineStr">
        <is>
          <t>Scripted</t>
        </is>
      </c>
      <c r="D41" s="83" t="inlineStr">
        <is>
          <t>Pattern interrupt</t>
        </is>
      </c>
      <c r="E41" s="83" t="inlineStr">
        <is>
          <t>I · Setup</t>
        </is>
      </c>
      <c r="F41" s="83" t="inlineStr">
        <is>
          <t>Setup</t>
        </is>
      </c>
      <c r="G41" s="83" t="inlineStr">
        <is>
          <t>3–8s</t>
        </is>
      </c>
      <c r="H41" s="84" t="inlineStr">
        <is>
          <t>In 1977, Richard Nisbett and Timothy Wilson showed students a video of a lecturer.</t>
        </is>
      </c>
      <c r="I41" s="84" t="inlineStr">
        <is>
          <t>NISBETT &amp; WILSON, 1977 | video on a screen</t>
        </is>
      </c>
      <c r="J41" s="84" t="n"/>
    </row>
    <row r="42" ht="15" customHeight="1" s="62">
      <c r="A42" s="83" t="n">
        <v>6</v>
      </c>
      <c r="B42" s="84" t="inlineStr">
        <is>
          <t>The halo effect</t>
        </is>
      </c>
      <c r="C42" s="83" t="inlineStr">
        <is>
          <t>Scripted</t>
        </is>
      </c>
      <c r="D42" s="83" t="inlineStr">
        <is>
          <t>Pattern interrupt</t>
        </is>
      </c>
      <c r="E42" s="83" t="inlineStr">
        <is>
          <t>II · Confrontation</t>
        </is>
      </c>
      <c r="F42" s="83" t="inlineStr">
        <is>
          <t>Evidence</t>
        </is>
      </c>
      <c r="G42" s="83" t="inlineStr">
        <is>
          <t>8–15s</t>
        </is>
      </c>
      <c r="H42" s="84" t="inlineStr">
        <is>
          <t>Half saw him acting warm and friendly. Half saw him cold and strict.</t>
        </is>
      </c>
      <c r="I42" s="84" t="inlineStr">
        <is>
          <t>WARM 🙂 | COLD 😠</t>
        </is>
      </c>
      <c r="J42" s="84" t="n"/>
    </row>
    <row r="43" ht="23.85" customHeight="1" s="62">
      <c r="A43" s="83" t="n">
        <v>6</v>
      </c>
      <c r="B43" s="84" t="inlineStr">
        <is>
          <t>The halo effect</t>
        </is>
      </c>
      <c r="C43" s="83" t="inlineStr">
        <is>
          <t>Scripted</t>
        </is>
      </c>
      <c r="D43" s="83" t="inlineStr">
        <is>
          <t>Pattern interrupt</t>
        </is>
      </c>
      <c r="E43" s="83" t="inlineStr">
        <is>
          <t>II · Confrontation</t>
        </is>
      </c>
      <c r="F43" s="83" t="inlineStr">
        <is>
          <t>Escalation</t>
        </is>
      </c>
      <c r="G43" s="83" t="inlineStr">
        <is>
          <t>15–22s</t>
        </is>
      </c>
      <c r="H43" s="84" t="inlineStr">
        <is>
          <t>Students who saw the warm version even rated his looks and accent as more appealing.</t>
        </is>
      </c>
      <c r="I43" s="84" t="inlineStr">
        <is>
          <t>WARM → looks ↑ accent ↑</t>
        </is>
      </c>
      <c r="J43" s="84" t="n"/>
    </row>
    <row r="44" ht="23.85" customHeight="1" s="62">
      <c r="A44" s="83" t="n">
        <v>6</v>
      </c>
      <c r="B44" s="84" t="inlineStr">
        <is>
          <t>The halo effect</t>
        </is>
      </c>
      <c r="C44" s="83" t="inlineStr">
        <is>
          <t>Scripted</t>
        </is>
      </c>
      <c r="D44" s="83" t="inlineStr">
        <is>
          <t>Pattern interrupt</t>
        </is>
      </c>
      <c r="E44" s="83" t="inlineStr">
        <is>
          <t>II · Confrontation</t>
        </is>
      </c>
      <c r="F44" s="83" t="inlineStr">
        <is>
          <t>Turn</t>
        </is>
      </c>
      <c r="G44" s="83" t="inlineStr">
        <is>
          <t>22–26s</t>
        </is>
      </c>
      <c r="H44" s="84" t="inlineStr">
        <is>
          <t>But here's the scary part: they insisted his warmth had nothing to do with it.</t>
        </is>
      </c>
      <c r="I44" s="84" t="inlineStr">
        <is>
          <t>'IT DIDN'T AFFECT ME'</t>
        </is>
      </c>
      <c r="J44" s="84" t="n"/>
    </row>
    <row r="45" ht="15" customHeight="1" s="62">
      <c r="A45" s="83" t="n">
        <v>6</v>
      </c>
      <c r="B45" s="84" t="inlineStr">
        <is>
          <t>The halo effect</t>
        </is>
      </c>
      <c r="C45" s="83" t="inlineStr">
        <is>
          <t>Scripted</t>
        </is>
      </c>
      <c r="D45" s="83" t="inlineStr">
        <is>
          <t>Pattern interrupt</t>
        </is>
      </c>
      <c r="E45" s="83" t="inlineStr">
        <is>
          <t>III · Resolution</t>
        </is>
      </c>
      <c r="F45" s="83" t="inlineStr">
        <is>
          <t>Payoff</t>
        </is>
      </c>
      <c r="G45" s="83" t="inlineStr">
        <is>
          <t>26–32s</t>
        </is>
      </c>
      <c r="H45" s="84" t="inlineStr">
        <is>
          <t>That's the halo effect. One good trait shines over everything else.</t>
        </is>
      </c>
      <c r="I45" s="84" t="inlineStr">
        <is>
          <t>THE HALO EFFECT | halo over a résumé</t>
        </is>
      </c>
      <c r="J45" s="84" t="n"/>
    </row>
    <row r="46" ht="23.85" customHeight="1" s="62">
      <c r="A46" s="86" t="n">
        <v>6</v>
      </c>
      <c r="B46" s="87" t="inlineStr">
        <is>
          <t>The halo effect</t>
        </is>
      </c>
      <c r="C46" s="86" t="inlineStr">
        <is>
          <t>Scripted</t>
        </is>
      </c>
      <c r="D46" s="86" t="inlineStr">
        <is>
          <t>Pattern interrupt</t>
        </is>
      </c>
      <c r="E46" s="86" t="inlineStr">
        <is>
          <t>III · Resolution</t>
        </is>
      </c>
      <c r="F46" s="86" t="inlineStr">
        <is>
          <t>Outro</t>
        </is>
      </c>
      <c r="G46" s="86" t="inlineStr">
        <is>
          <t>32–36s</t>
        </is>
      </c>
      <c r="H46" s="87" t="inlineStr">
        <is>
          <t>In your next interview, lead with warmth before your skills. Save this, it works on first dates too.</t>
        </is>
      </c>
      <c r="I46" s="87" t="inlineStr">
        <is>
          <t>LEAD WITH WARMTH</t>
        </is>
      </c>
      <c r="J46" s="87" t="n"/>
    </row>
    <row r="47" ht="23.85" customHeight="1" s="62">
      <c r="A47" s="78" t="n">
        <v>7</v>
      </c>
      <c r="B47" s="79" t="inlineStr">
        <is>
          <t>Hindsight bias</t>
        </is>
      </c>
      <c r="C47" s="78" t="inlineStr">
        <is>
          <t>Idea</t>
        </is>
      </c>
      <c r="D47" s="78" t="inlineStr">
        <is>
          <t>You-callout</t>
        </is>
      </c>
      <c r="E47" s="78" t="inlineStr">
        <is>
          <t>I · Setup</t>
        </is>
      </c>
      <c r="F47" s="78" t="inlineStr">
        <is>
          <t>Hook</t>
        </is>
      </c>
      <c r="G47" s="78" t="inlineStr">
        <is>
          <t>0–3s</t>
        </is>
      </c>
      <c r="H47" s="80" t="inlineStr">
        <is>
          <t>You didn't see it coming. You only think you did.</t>
        </is>
      </c>
      <c r="I47" s="79" t="inlineStr">
        <is>
          <t>YOU DIDN'T SEE IT COMING</t>
        </is>
      </c>
      <c r="J47" s="79" t="inlineStr">
        <is>
          <t>Fischhoff &amp; Beyth 1975: people misremembered predictions as closer to outcomes</t>
        </is>
      </c>
    </row>
    <row r="48" ht="15" customHeight="1" s="62">
      <c r="A48" s="78" t="n">
        <v>7</v>
      </c>
      <c r="B48" s="79" t="inlineStr">
        <is>
          <t>Hindsight bias</t>
        </is>
      </c>
      <c r="C48" s="78" t="inlineStr">
        <is>
          <t>Idea</t>
        </is>
      </c>
      <c r="D48" s="78" t="inlineStr">
        <is>
          <t>You-callout</t>
        </is>
      </c>
      <c r="E48" s="78" t="inlineStr">
        <is>
          <t>I · Setup</t>
        </is>
      </c>
      <c r="F48" s="78" t="inlineStr">
        <is>
          <t>Setup</t>
        </is>
      </c>
      <c r="G48" s="78" t="inlineStr">
        <is>
          <t>3–8s</t>
        </is>
      </c>
      <c r="H48" s="79" t="inlineStr">
        <is>
          <t>After the game ends, everyone says the result was obvious.</t>
        </is>
      </c>
      <c r="I48" s="79" t="inlineStr">
        <is>
          <t>scoreboard → crowd: 'Obviously!'</t>
        </is>
      </c>
      <c r="J48" s="79" t="n"/>
    </row>
    <row r="49" ht="23.85" customHeight="1" s="62">
      <c r="A49" s="78" t="n">
        <v>7</v>
      </c>
      <c r="B49" s="79" t="inlineStr">
        <is>
          <t>Hindsight bias</t>
        </is>
      </c>
      <c r="C49" s="78" t="inlineStr">
        <is>
          <t>Idea</t>
        </is>
      </c>
      <c r="D49" s="78" t="inlineStr">
        <is>
          <t>You-callout</t>
        </is>
      </c>
      <c r="E49" s="78" t="inlineStr">
        <is>
          <t>II · Confrontation</t>
        </is>
      </c>
      <c r="F49" s="78" t="inlineStr">
        <is>
          <t>Evidence</t>
        </is>
      </c>
      <c r="G49" s="78" t="inlineStr">
        <is>
          <t>8–15s</t>
        </is>
      </c>
      <c r="H49" s="79" t="inlineStr">
        <is>
          <t>In 1972, Baruch Fischhoff had people predict outcomes of Nixon's trips to China and Russia.</t>
        </is>
      </c>
      <c r="I49" s="79" t="inlineStr">
        <is>
          <t>FISCHHOFF &amp; BEYTH | sealed prediction envelope</t>
        </is>
      </c>
      <c r="J49" s="79" t="n"/>
    </row>
    <row r="50" ht="23.85" customHeight="1" s="62">
      <c r="A50" s="78" t="n">
        <v>7</v>
      </c>
      <c r="B50" s="79" t="inlineStr">
        <is>
          <t>Hindsight bias</t>
        </is>
      </c>
      <c r="C50" s="78" t="inlineStr">
        <is>
          <t>Idea</t>
        </is>
      </c>
      <c r="D50" s="78" t="inlineStr">
        <is>
          <t>You-callout</t>
        </is>
      </c>
      <c r="E50" s="78" t="inlineStr">
        <is>
          <t>II · Confrontation</t>
        </is>
      </c>
      <c r="F50" s="78" t="inlineStr">
        <is>
          <t>Escalation</t>
        </is>
      </c>
      <c r="G50" s="78" t="inlineStr">
        <is>
          <t>15–22s</t>
        </is>
      </c>
      <c r="H50" s="79" t="inlineStr">
        <is>
          <t>Afterwards, people remembered their predictions as closer to what actually happened.</t>
        </is>
      </c>
      <c r="I50" s="79" t="inlineStr">
        <is>
          <t>envelope opens: memory rewritten ✏️</t>
        </is>
      </c>
      <c r="J50" s="79" t="n"/>
    </row>
    <row r="51" ht="15" customHeight="1" s="62">
      <c r="A51" s="78" t="n">
        <v>7</v>
      </c>
      <c r="B51" s="79" t="inlineStr">
        <is>
          <t>Hindsight bias</t>
        </is>
      </c>
      <c r="C51" s="78" t="inlineStr">
        <is>
          <t>Idea</t>
        </is>
      </c>
      <c r="D51" s="78" t="inlineStr">
        <is>
          <t>You-callout</t>
        </is>
      </c>
      <c r="E51" s="78" t="inlineStr">
        <is>
          <t>II · Confrontation</t>
        </is>
      </c>
      <c r="F51" s="78" t="inlineStr">
        <is>
          <t>Turn</t>
        </is>
      </c>
      <c r="G51" s="78" t="inlineStr">
        <is>
          <t>22–26s</t>
        </is>
      </c>
      <c r="H51" s="79" t="inlineStr">
        <is>
          <t>But your memory edits itself so smoothly you never feel it happen.</t>
        </is>
      </c>
      <c r="I51" s="79" t="inlineStr">
        <is>
          <t>MEMORY EDITS ITSELF</t>
        </is>
      </c>
      <c r="J51" s="79" t="n"/>
    </row>
    <row r="52" ht="15" customHeight="1" s="62">
      <c r="A52" s="78" t="n">
        <v>7</v>
      </c>
      <c r="B52" s="79" t="inlineStr">
        <is>
          <t>Hindsight bias</t>
        </is>
      </c>
      <c r="C52" s="78" t="inlineStr">
        <is>
          <t>Idea</t>
        </is>
      </c>
      <c r="D52" s="78" t="inlineStr">
        <is>
          <t>You-callout</t>
        </is>
      </c>
      <c r="E52" s="78" t="inlineStr">
        <is>
          <t>III · Resolution</t>
        </is>
      </c>
      <c r="F52" s="78" t="inlineStr">
        <is>
          <t>Payoff</t>
        </is>
      </c>
      <c r="G52" s="78" t="inlineStr">
        <is>
          <t>26–32s</t>
        </is>
      </c>
      <c r="H52" s="79" t="inlineStr">
        <is>
          <t>It's hindsight bias. The 'I knew it all along' feeling.</t>
        </is>
      </c>
      <c r="I52" s="79" t="inlineStr">
        <is>
          <t>HINDSIGHT BIAS</t>
        </is>
      </c>
      <c r="J52" s="79" t="n"/>
    </row>
    <row r="53" ht="23.85" customHeight="1" s="62">
      <c r="A53" s="81" t="n">
        <v>7</v>
      </c>
      <c r="B53" s="82" t="inlineStr">
        <is>
          <t>Hindsight bias</t>
        </is>
      </c>
      <c r="C53" s="81" t="inlineStr">
        <is>
          <t>Idea</t>
        </is>
      </c>
      <c r="D53" s="81" t="inlineStr">
        <is>
          <t>You-callout</t>
        </is>
      </c>
      <c r="E53" s="81" t="inlineStr">
        <is>
          <t>III · Resolution</t>
        </is>
      </c>
      <c r="F53" s="81" t="inlineStr">
        <is>
          <t>Outro</t>
        </is>
      </c>
      <c r="G53" s="81" t="inlineStr">
        <is>
          <t>32–36s</t>
        </is>
      </c>
      <c r="H53" s="82" t="inlineStr">
        <is>
          <t>Write your predictions down before big events, then check them. You'll be humbled. Follow for more brain glitches.</t>
        </is>
      </c>
      <c r="I53" s="82" t="inlineStr">
        <is>
          <t>WRITE IT DOWN FIRST</t>
        </is>
      </c>
      <c r="J53" s="82" t="n"/>
    </row>
    <row r="54" ht="35.05" customHeight="1" s="62">
      <c r="A54" s="83" t="n">
        <v>8</v>
      </c>
      <c r="B54" s="84" t="inlineStr">
        <is>
          <t>Framing effects</t>
        </is>
      </c>
      <c r="C54" s="83" t="inlineStr">
        <is>
          <t>Idea</t>
        </is>
      </c>
      <c r="D54" s="83" t="inlineStr">
        <is>
          <t>Forced choice</t>
        </is>
      </c>
      <c r="E54" s="83" t="inlineStr">
        <is>
          <t>I · Setup</t>
        </is>
      </c>
      <c r="F54" s="83" t="inlineStr">
        <is>
          <t>Hook</t>
        </is>
      </c>
      <c r="G54" s="83" t="inlineStr">
        <is>
          <t>0–3s</t>
        </is>
      </c>
      <c r="H54" s="85" t="inlineStr">
        <is>
          <t>Save 200 people for sure, or take a gamble? Your answer depends on one word.</t>
        </is>
      </c>
      <c r="I54" s="84" t="inlineStr">
        <is>
          <t>SAVE 200 or GAMBLE? | two buttons</t>
        </is>
      </c>
      <c r="J54" s="84" t="inlineStr">
        <is>
          <t>Tversky &amp; Kahneman 1981 disease problem: 72% chose sure option (gain frame), 78% chose risky (loss frame)</t>
        </is>
      </c>
    </row>
    <row r="55" ht="23.85" customHeight="1" s="62">
      <c r="A55" s="83" t="n">
        <v>8</v>
      </c>
      <c r="B55" s="84" t="inlineStr">
        <is>
          <t>Framing effects</t>
        </is>
      </c>
      <c r="C55" s="83" t="inlineStr">
        <is>
          <t>Idea</t>
        </is>
      </c>
      <c r="D55" s="83" t="inlineStr">
        <is>
          <t>Forced choice</t>
        </is>
      </c>
      <c r="E55" s="83" t="inlineStr">
        <is>
          <t>I · Setup</t>
        </is>
      </c>
      <c r="F55" s="83" t="inlineStr">
        <is>
          <t>Setup</t>
        </is>
      </c>
      <c r="G55" s="83" t="inlineStr">
        <is>
          <t>3–8s</t>
        </is>
      </c>
      <c r="H55" s="84" t="inlineStr">
        <is>
          <t>In 1981, Tversky and Kahneman described a disease expected to kill 600 people.</t>
        </is>
      </c>
      <c r="I55" s="84" t="inlineStr">
        <is>
          <t>TVERSKY &amp; KAHNEMAN, 1981 | 600 dots</t>
        </is>
      </c>
      <c r="J55" s="84" t="n"/>
    </row>
    <row r="56" ht="15" customHeight="1" s="62">
      <c r="A56" s="83" t="n">
        <v>8</v>
      </c>
      <c r="B56" s="84" t="inlineStr">
        <is>
          <t>Framing effects</t>
        </is>
      </c>
      <c r="C56" s="83" t="inlineStr">
        <is>
          <t>Idea</t>
        </is>
      </c>
      <c r="D56" s="83" t="inlineStr">
        <is>
          <t>Forced choice</t>
        </is>
      </c>
      <c r="E56" s="83" t="inlineStr">
        <is>
          <t>II · Confrontation</t>
        </is>
      </c>
      <c r="F56" s="83" t="inlineStr">
        <is>
          <t>Evidence</t>
        </is>
      </c>
      <c r="G56" s="83" t="inlineStr">
        <is>
          <t>8–15s</t>
        </is>
      </c>
      <c r="H56" s="84" t="inlineStr">
        <is>
          <t>Told '200 will be saved', 72 percent picked the safe option.</t>
        </is>
      </c>
      <c r="I56" s="84" t="inlineStr">
        <is>
          <t>'200 SAVED' → 72% play safe</t>
        </is>
      </c>
      <c r="J56" s="84" t="n"/>
    </row>
    <row r="57" ht="15" customHeight="1" s="62">
      <c r="A57" s="83" t="n">
        <v>8</v>
      </c>
      <c r="B57" s="84" t="inlineStr">
        <is>
          <t>Framing effects</t>
        </is>
      </c>
      <c r="C57" s="83" t="inlineStr">
        <is>
          <t>Idea</t>
        </is>
      </c>
      <c r="D57" s="83" t="inlineStr">
        <is>
          <t>Forced choice</t>
        </is>
      </c>
      <c r="E57" s="83" t="inlineStr">
        <is>
          <t>II · Confrontation</t>
        </is>
      </c>
      <c r="F57" s="83" t="inlineStr">
        <is>
          <t>Escalation</t>
        </is>
      </c>
      <c r="G57" s="83" t="inlineStr">
        <is>
          <t>15–22s</t>
        </is>
      </c>
      <c r="H57" s="84" t="inlineStr">
        <is>
          <t>Told '400 will die', 78 percent picked the gamble instead.</t>
        </is>
      </c>
      <c r="I57" s="84" t="inlineStr">
        <is>
          <t>'400 DIE' → 78% gamble</t>
        </is>
      </c>
      <c r="J57" s="84" t="n"/>
    </row>
    <row r="58" ht="15" customHeight="1" s="62">
      <c r="A58" s="83" t="n">
        <v>8</v>
      </c>
      <c r="B58" s="84" t="inlineStr">
        <is>
          <t>Framing effects</t>
        </is>
      </c>
      <c r="C58" s="83" t="inlineStr">
        <is>
          <t>Idea</t>
        </is>
      </c>
      <c r="D58" s="83" t="inlineStr">
        <is>
          <t>Forced choice</t>
        </is>
      </c>
      <c r="E58" s="83" t="inlineStr">
        <is>
          <t>II · Confrontation</t>
        </is>
      </c>
      <c r="F58" s="83" t="inlineStr">
        <is>
          <t>Turn</t>
        </is>
      </c>
      <c r="G58" s="83" t="inlineStr">
        <is>
          <t>22–26s</t>
        </is>
      </c>
      <c r="H58" s="84" t="inlineStr">
        <is>
          <t>But read it again. Both options are the exact same outcome.</t>
        </is>
      </c>
      <c r="I58" s="84" t="inlineStr">
        <is>
          <t>SAME OUTCOME | 200 saved = 400 die</t>
        </is>
      </c>
      <c r="J58" s="84" t="n"/>
    </row>
    <row r="59" ht="15" customHeight="1" s="62">
      <c r="A59" s="83" t="n">
        <v>8</v>
      </c>
      <c r="B59" s="84" t="inlineStr">
        <is>
          <t>Framing effects</t>
        </is>
      </c>
      <c r="C59" s="83" t="inlineStr">
        <is>
          <t>Idea</t>
        </is>
      </c>
      <c r="D59" s="83" t="inlineStr">
        <is>
          <t>Forced choice</t>
        </is>
      </c>
      <c r="E59" s="83" t="inlineStr">
        <is>
          <t>III · Resolution</t>
        </is>
      </c>
      <c r="F59" s="83" t="inlineStr">
        <is>
          <t>Payoff</t>
        </is>
      </c>
      <c r="G59" s="83" t="inlineStr">
        <is>
          <t>26–32s</t>
        </is>
      </c>
      <c r="H59" s="84" t="inlineStr">
        <is>
          <t>That's the framing effect. Gains make us careful. Losses make us gamble.</t>
        </is>
      </c>
      <c r="I59" s="84" t="inlineStr">
        <is>
          <t>THE FRAMING EFFECT</t>
        </is>
      </c>
      <c r="J59" s="84" t="n"/>
    </row>
    <row r="60" ht="23.85" customHeight="1" s="62">
      <c r="A60" s="86" t="n">
        <v>8</v>
      </c>
      <c r="B60" s="87" t="inlineStr">
        <is>
          <t>Framing effects</t>
        </is>
      </c>
      <c r="C60" s="86" t="inlineStr">
        <is>
          <t>Idea</t>
        </is>
      </c>
      <c r="D60" s="86" t="inlineStr">
        <is>
          <t>Forced choice</t>
        </is>
      </c>
      <c r="E60" s="86" t="inlineStr">
        <is>
          <t>III · Resolution</t>
        </is>
      </c>
      <c r="F60" s="86" t="inlineStr">
        <is>
          <t>Outro</t>
        </is>
      </c>
      <c r="G60" s="86" t="inlineStr">
        <is>
          <t>32–36s</t>
        </is>
      </c>
      <c r="H60" s="87" t="inlineStr">
        <is>
          <t>When a choice feels obvious, flip the wording and ask again. Save this before your next big decision.</t>
        </is>
      </c>
      <c r="I60" s="87" t="inlineStr">
        <is>
          <t>FLIP THE WORDING</t>
        </is>
      </c>
      <c r="J60" s="87" t="n"/>
    </row>
    <row r="61" ht="35.05" customHeight="1" s="62">
      <c r="A61" s="78" t="n">
        <v>9</v>
      </c>
      <c r="B61" s="79" t="inlineStr">
        <is>
          <t>The default effect</t>
        </is>
      </c>
      <c r="C61" s="78" t="inlineStr">
        <is>
          <t>Idea</t>
        </is>
      </c>
      <c r="D61" s="78" t="inlineStr">
        <is>
          <t>Study reveal</t>
        </is>
      </c>
      <c r="E61" s="78" t="inlineStr">
        <is>
          <t>I · Setup</t>
        </is>
      </c>
      <c r="F61" s="78" t="inlineStr">
        <is>
          <t>Hook</t>
        </is>
      </c>
      <c r="G61" s="78" t="inlineStr">
        <is>
          <t>0–3s</t>
        </is>
      </c>
      <c r="H61" s="80" t="inlineStr">
        <is>
          <t>Two neighbouring countries. One has almost everyone as an organ donor. The other, about 12 percent.</t>
        </is>
      </c>
      <c r="I61" s="79" t="inlineStr">
        <is>
          <t>99.98% vs 12% | two map shapes</t>
        </is>
      </c>
      <c r="J61" s="79" t="inlineStr">
        <is>
          <t>Johnson &amp; Goldstein 2003: Austria (opt-out) ~99.98% vs Germany (opt-in) ~12% donor consent</t>
        </is>
      </c>
    </row>
    <row r="62" ht="15" customHeight="1" s="62">
      <c r="A62" s="78" t="n">
        <v>9</v>
      </c>
      <c r="B62" s="79" t="inlineStr">
        <is>
          <t>The default effect</t>
        </is>
      </c>
      <c r="C62" s="78" t="inlineStr">
        <is>
          <t>Idea</t>
        </is>
      </c>
      <c r="D62" s="78" t="inlineStr">
        <is>
          <t>Study reveal</t>
        </is>
      </c>
      <c r="E62" s="78" t="inlineStr">
        <is>
          <t>I · Setup</t>
        </is>
      </c>
      <c r="F62" s="78" t="inlineStr">
        <is>
          <t>Setup</t>
        </is>
      </c>
      <c r="G62" s="78" t="inlineStr">
        <is>
          <t>3–8s</t>
        </is>
      </c>
      <c r="H62" s="79" t="inlineStr">
        <is>
          <t>Austria and Germany are similar in culture, wealth and values.</t>
        </is>
      </c>
      <c r="I62" s="79" t="inlineStr">
        <is>
          <t>AUSTRIA 🇦🇹 | GERMANY 🇩🇪</t>
        </is>
      </c>
      <c r="J62" s="79" t="n"/>
    </row>
    <row r="63" ht="23.85" customHeight="1" s="62">
      <c r="A63" s="78" t="n">
        <v>9</v>
      </c>
      <c r="B63" s="79" t="inlineStr">
        <is>
          <t>The default effect</t>
        </is>
      </c>
      <c r="C63" s="78" t="inlineStr">
        <is>
          <t>Idea</t>
        </is>
      </c>
      <c r="D63" s="78" t="inlineStr">
        <is>
          <t>Study reveal</t>
        </is>
      </c>
      <c r="E63" s="78" t="inlineStr">
        <is>
          <t>II · Confrontation</t>
        </is>
      </c>
      <c r="F63" s="78" t="inlineStr">
        <is>
          <t>Evidence</t>
        </is>
      </c>
      <c r="G63" s="78" t="inlineStr">
        <is>
          <t>8–15s</t>
        </is>
      </c>
      <c r="H63" s="79" t="inlineStr">
        <is>
          <t>In 2003, Eric Johnson and Daniel Goldstein found the difference was one checkbox.</t>
        </is>
      </c>
      <c r="I63" s="79" t="inlineStr">
        <is>
          <t>JOHNSON &amp; GOLDSTEIN, 2003 | a single checkbox</t>
        </is>
      </c>
      <c r="J63" s="79" t="n"/>
    </row>
    <row r="64" ht="23.85" customHeight="1" s="62">
      <c r="A64" s="78" t="n">
        <v>9</v>
      </c>
      <c r="B64" s="79" t="inlineStr">
        <is>
          <t>The default effect</t>
        </is>
      </c>
      <c r="C64" s="78" t="inlineStr">
        <is>
          <t>Idea</t>
        </is>
      </c>
      <c r="D64" s="78" t="inlineStr">
        <is>
          <t>Study reveal</t>
        </is>
      </c>
      <c r="E64" s="78" t="inlineStr">
        <is>
          <t>II · Confrontation</t>
        </is>
      </c>
      <c r="F64" s="78" t="inlineStr">
        <is>
          <t>Escalation</t>
        </is>
      </c>
      <c r="G64" s="78" t="inlineStr">
        <is>
          <t>15–22s</t>
        </is>
      </c>
      <c r="H64" s="79" t="inlineStr">
        <is>
          <t>In Austria, you're a donor unless you opt out. In Germany, you have to opt in.</t>
        </is>
      </c>
      <c r="I64" s="79" t="inlineStr">
        <is>
          <t>☑ preselected | ☐ empty</t>
        </is>
      </c>
      <c r="J64" s="79" t="n"/>
    </row>
    <row r="65" ht="15" customHeight="1" s="62">
      <c r="A65" s="78" t="n">
        <v>9</v>
      </c>
      <c r="B65" s="79" t="inlineStr">
        <is>
          <t>The default effect</t>
        </is>
      </c>
      <c r="C65" s="78" t="inlineStr">
        <is>
          <t>Idea</t>
        </is>
      </c>
      <c r="D65" s="78" t="inlineStr">
        <is>
          <t>Study reveal</t>
        </is>
      </c>
      <c r="E65" s="78" t="inlineStr">
        <is>
          <t>II · Confrontation</t>
        </is>
      </c>
      <c r="F65" s="78" t="inlineStr">
        <is>
          <t>Turn</t>
        </is>
      </c>
      <c r="G65" s="78" t="inlineStr">
        <is>
          <t>22–26s</t>
        </is>
      </c>
      <c r="H65" s="79" t="inlineStr">
        <is>
          <t>But nobody was forced. People just kept whatever was already chosen.</t>
        </is>
      </c>
      <c r="I65" s="79" t="inlineStr">
        <is>
          <t>NOBODY WAS FORCED</t>
        </is>
      </c>
      <c r="J65" s="79" t="n"/>
    </row>
    <row r="66" ht="15" customHeight="1" s="62">
      <c r="A66" s="78" t="n">
        <v>9</v>
      </c>
      <c r="B66" s="79" t="inlineStr">
        <is>
          <t>The default effect</t>
        </is>
      </c>
      <c r="C66" s="78" t="inlineStr">
        <is>
          <t>Idea</t>
        </is>
      </c>
      <c r="D66" s="78" t="inlineStr">
        <is>
          <t>Study reveal</t>
        </is>
      </c>
      <c r="E66" s="78" t="inlineStr">
        <is>
          <t>III · Resolution</t>
        </is>
      </c>
      <c r="F66" s="78" t="inlineStr">
        <is>
          <t>Payoff</t>
        </is>
      </c>
      <c r="G66" s="78" t="inlineStr">
        <is>
          <t>26–32s</t>
        </is>
      </c>
      <c r="H66" s="79" t="inlineStr">
        <is>
          <t>That's the default effect. The pre-ticked box makes the decision for you.</t>
        </is>
      </c>
      <c r="I66" s="79" t="inlineStr">
        <is>
          <t>THE DEFAULT EFFECT</t>
        </is>
      </c>
      <c r="J66" s="79" t="n"/>
    </row>
    <row r="67" ht="23.85" customHeight="1" s="62">
      <c r="A67" s="81" t="n">
        <v>9</v>
      </c>
      <c r="B67" s="82" t="inlineStr">
        <is>
          <t>The default effect</t>
        </is>
      </c>
      <c r="C67" s="81" t="inlineStr">
        <is>
          <t>Idea</t>
        </is>
      </c>
      <c r="D67" s="81" t="inlineStr">
        <is>
          <t>Study reveal</t>
        </is>
      </c>
      <c r="E67" s="81" t="inlineStr">
        <is>
          <t>III · Resolution</t>
        </is>
      </c>
      <c r="F67" s="81" t="inlineStr">
        <is>
          <t>Outro</t>
        </is>
      </c>
      <c r="G67" s="81" t="inlineStr">
        <is>
          <t>32–36s</t>
        </is>
      </c>
      <c r="H67" s="82" t="inlineStr">
        <is>
          <t>Check your settings, subscriptions and auto-renewals today. Then follow, tomorrow's trick is about free trials.</t>
        </is>
      </c>
      <c r="I67" s="82" t="inlineStr">
        <is>
          <t>CHECK YOUR DEFAULTS</t>
        </is>
      </c>
      <c r="J67" s="82" t="n"/>
    </row>
    <row r="68" ht="23.85" customHeight="1" s="62">
      <c r="A68" s="83" t="n">
        <v>10</v>
      </c>
      <c r="B68" s="84" t="inlineStr">
        <is>
          <t>The fundamental attribution error</t>
        </is>
      </c>
      <c r="C68" s="83" t="inlineStr">
        <is>
          <t>Idea</t>
        </is>
      </c>
      <c r="D68" s="83" t="inlineStr">
        <is>
          <t>You-callout</t>
        </is>
      </c>
      <c r="E68" s="83" t="inlineStr">
        <is>
          <t>I · Setup</t>
        </is>
      </c>
      <c r="F68" s="83" t="inlineStr">
        <is>
          <t>Hook</t>
        </is>
      </c>
      <c r="G68" s="83" t="inlineStr">
        <is>
          <t>0–3s</t>
        </is>
      </c>
      <c r="H68" s="85" t="inlineStr">
        <is>
          <t>When you're late, it's traffic. When they're late, they're lazy.</t>
        </is>
      </c>
      <c r="I68" s="84" t="inlineStr">
        <is>
          <t>YOU: traffic 🚗 | THEM: lazy 😴</t>
        </is>
      </c>
      <c r="J68" s="84" t="inlineStr">
        <is>
          <t>Jones &amp; Harris 1967: essay writers judged as believing assigned position</t>
        </is>
      </c>
    </row>
    <row r="69" ht="23.85" customHeight="1" s="62">
      <c r="A69" s="83" t="n">
        <v>10</v>
      </c>
      <c r="B69" s="84" t="inlineStr">
        <is>
          <t>The fundamental attribution error</t>
        </is>
      </c>
      <c r="C69" s="83" t="inlineStr">
        <is>
          <t>Idea</t>
        </is>
      </c>
      <c r="D69" s="83" t="inlineStr">
        <is>
          <t>You-callout</t>
        </is>
      </c>
      <c r="E69" s="83" t="inlineStr">
        <is>
          <t>I · Setup</t>
        </is>
      </c>
      <c r="F69" s="83" t="inlineStr">
        <is>
          <t>Setup</t>
        </is>
      </c>
      <c r="G69" s="83" t="inlineStr">
        <is>
          <t>3–8s</t>
        </is>
      </c>
      <c r="H69" s="84" t="inlineStr">
        <is>
          <t>We explain our own mistakes with reasons, and other people's with character.</t>
        </is>
      </c>
      <c r="I69" s="84" t="inlineStr">
        <is>
          <t>your excuse vs their 'flaw'</t>
        </is>
      </c>
      <c r="J69" s="84" t="n"/>
    </row>
    <row r="70" ht="23.85" customHeight="1" s="62">
      <c r="A70" s="83" t="n">
        <v>10</v>
      </c>
      <c r="B70" s="84" t="inlineStr">
        <is>
          <t>The fundamental attribution error</t>
        </is>
      </c>
      <c r="C70" s="83" t="inlineStr">
        <is>
          <t>Idea</t>
        </is>
      </c>
      <c r="D70" s="83" t="inlineStr">
        <is>
          <t>You-callout</t>
        </is>
      </c>
      <c r="E70" s="83" t="inlineStr">
        <is>
          <t>II · Confrontation</t>
        </is>
      </c>
      <c r="F70" s="83" t="inlineStr">
        <is>
          <t>Evidence</t>
        </is>
      </c>
      <c r="G70" s="83" t="inlineStr">
        <is>
          <t>8–15s</t>
        </is>
      </c>
      <c r="H70" s="84" t="inlineStr">
        <is>
          <t>In 1967, Jones and Harris had people read essays praising Fidel Castro.</t>
        </is>
      </c>
      <c r="I70" s="84" t="inlineStr">
        <is>
          <t>JONES &amp; HARRIS, 1967 | essay pages</t>
        </is>
      </c>
      <c r="J70" s="84" t="n"/>
    </row>
    <row r="71" ht="23.85" customHeight="1" s="62">
      <c r="A71" s="83" t="n">
        <v>10</v>
      </c>
      <c r="B71" s="84" t="inlineStr">
        <is>
          <t>The fundamental attribution error</t>
        </is>
      </c>
      <c r="C71" s="83" t="inlineStr">
        <is>
          <t>Idea</t>
        </is>
      </c>
      <c r="D71" s="83" t="inlineStr">
        <is>
          <t>You-callout</t>
        </is>
      </c>
      <c r="E71" s="83" t="inlineStr">
        <is>
          <t>II · Confrontation</t>
        </is>
      </c>
      <c r="F71" s="83" t="inlineStr">
        <is>
          <t>Escalation</t>
        </is>
      </c>
      <c r="G71" s="83" t="inlineStr">
        <is>
          <t>15–22s</t>
        </is>
      </c>
      <c r="H71" s="84" t="inlineStr">
        <is>
          <t>Even when told the writer was assigned that side, readers still thought they believed it.</t>
        </is>
      </c>
      <c r="I71" s="84" t="inlineStr">
        <is>
          <t>'ASSIGNED' → 'THEY MEANT IT'</t>
        </is>
      </c>
      <c r="J71" s="84" t="n"/>
    </row>
    <row r="72" ht="23.85" customHeight="1" s="62">
      <c r="A72" s="83" t="n">
        <v>10</v>
      </c>
      <c r="B72" s="84" t="inlineStr">
        <is>
          <t>The fundamental attribution error</t>
        </is>
      </c>
      <c r="C72" s="83" t="inlineStr">
        <is>
          <t>Idea</t>
        </is>
      </c>
      <c r="D72" s="83" t="inlineStr">
        <is>
          <t>You-callout</t>
        </is>
      </c>
      <c r="E72" s="83" t="inlineStr">
        <is>
          <t>II · Confrontation</t>
        </is>
      </c>
      <c r="F72" s="83" t="inlineStr">
        <is>
          <t>Turn</t>
        </is>
      </c>
      <c r="G72" s="83" t="inlineStr">
        <is>
          <t>22–26s</t>
        </is>
      </c>
      <c r="H72" s="84" t="inlineStr">
        <is>
          <t>But we see the situation for ourselves, and only the person for everyone else.</t>
        </is>
      </c>
      <c r="I72" s="84" t="inlineStr">
        <is>
          <t>YOU SEE THE SITUATION | THEY SEE THE PERSON</t>
        </is>
      </c>
      <c r="J72" s="84" t="n"/>
    </row>
    <row r="73" ht="23.85" customHeight="1" s="62">
      <c r="A73" s="83" t="n">
        <v>10</v>
      </c>
      <c r="B73" s="84" t="inlineStr">
        <is>
          <t>The fundamental attribution error</t>
        </is>
      </c>
      <c r="C73" s="83" t="inlineStr">
        <is>
          <t>Idea</t>
        </is>
      </c>
      <c r="D73" s="83" t="inlineStr">
        <is>
          <t>You-callout</t>
        </is>
      </c>
      <c r="E73" s="83" t="inlineStr">
        <is>
          <t>III · Resolution</t>
        </is>
      </c>
      <c r="F73" s="83" t="inlineStr">
        <is>
          <t>Payoff</t>
        </is>
      </c>
      <c r="G73" s="83" t="inlineStr">
        <is>
          <t>26–32s</t>
        </is>
      </c>
      <c r="H73" s="84" t="inlineStr">
        <is>
          <t>It's the fundamental attribution error.</t>
        </is>
      </c>
      <c r="I73" s="84" t="inlineStr">
        <is>
          <t>THE FUNDAMENTAL ATTRIBUTION ERROR</t>
        </is>
      </c>
      <c r="J73" s="84" t="n"/>
    </row>
    <row r="74" ht="23.85" customHeight="1" s="62">
      <c r="A74" s="86" t="n">
        <v>10</v>
      </c>
      <c r="B74" s="87" t="inlineStr">
        <is>
          <t>The fundamental attribution error</t>
        </is>
      </c>
      <c r="C74" s="86" t="inlineStr">
        <is>
          <t>Idea</t>
        </is>
      </c>
      <c r="D74" s="86" t="inlineStr">
        <is>
          <t>You-callout</t>
        </is>
      </c>
      <c r="E74" s="86" t="inlineStr">
        <is>
          <t>III · Resolution</t>
        </is>
      </c>
      <c r="F74" s="86" t="inlineStr">
        <is>
          <t>Outro</t>
        </is>
      </c>
      <c r="G74" s="86" t="inlineStr">
        <is>
          <t>32–36s</t>
        </is>
      </c>
      <c r="H74" s="87" t="inlineStr">
        <is>
          <t>Next time someone annoys you, invent one situational reason first. Follow, this changes arguments.</t>
        </is>
      </c>
      <c r="I74" s="87" t="inlineStr">
        <is>
          <t>INVENT ONE REASON FIRST</t>
        </is>
      </c>
      <c r="J74" s="87" t="n"/>
    </row>
    <row r="75" ht="23.85" customHeight="1" s="62">
      <c r="A75" s="78" t="n">
        <v>11</v>
      </c>
      <c r="B75" s="79" t="inlineStr">
        <is>
          <t>Recognition versus recall</t>
        </is>
      </c>
      <c r="C75" s="78" t="inlineStr">
        <is>
          <t>Published</t>
        </is>
      </c>
      <c r="D75" s="78" t="inlineStr">
        <is>
          <t>Contrarian</t>
        </is>
      </c>
      <c r="E75" s="78" t="inlineStr">
        <is>
          <t>I · Setup</t>
        </is>
      </c>
      <c r="F75" s="78" t="inlineStr">
        <is>
          <t>Hook</t>
        </is>
      </c>
      <c r="G75" s="78" t="inlineStr">
        <is>
          <t>0–3s</t>
        </is>
      </c>
      <c r="H75" s="80" t="inlineStr">
        <is>
          <t>Rereading your notes makes you feel smart. That's the problem.</t>
        </is>
      </c>
      <c r="I75" s="79" t="inlineStr">
        <is>
          <t>FEELING SMART ≠ KNOWING | highlighted notes</t>
        </is>
      </c>
      <c r="J75" s="79" t="inlineStr">
        <is>
          <t>Recognition easier than recall (well established); Karpicke 2009 students prefer rereading</t>
        </is>
      </c>
    </row>
    <row r="76" ht="15" customHeight="1" s="62">
      <c r="A76" s="78" t="n">
        <v>11</v>
      </c>
      <c r="B76" s="79" t="inlineStr">
        <is>
          <t>Recognition versus recall</t>
        </is>
      </c>
      <c r="C76" s="78" t="inlineStr">
        <is>
          <t>Published</t>
        </is>
      </c>
      <c r="D76" s="78" t="inlineStr">
        <is>
          <t>Contrarian</t>
        </is>
      </c>
      <c r="E76" s="78" t="inlineStr">
        <is>
          <t>I · Setup</t>
        </is>
      </c>
      <c r="F76" s="78" t="inlineStr">
        <is>
          <t>Setup</t>
        </is>
      </c>
      <c r="G76" s="78" t="inlineStr">
        <is>
          <t>3–8s</t>
        </is>
      </c>
      <c r="H76" s="79" t="inlineStr">
        <is>
          <t>You see the answer on a quiz and think, 'Oh yeah, I knew that.'</t>
        </is>
      </c>
      <c r="I76" s="79" t="inlineStr">
        <is>
          <t>multiple choice card: 'I knew that!'</t>
        </is>
      </c>
      <c r="J76" s="79" t="n"/>
    </row>
    <row r="77" ht="15" customHeight="1" s="62">
      <c r="A77" s="78" t="n">
        <v>11</v>
      </c>
      <c r="B77" s="79" t="inlineStr">
        <is>
          <t>Recognition versus recall</t>
        </is>
      </c>
      <c r="C77" s="78" t="inlineStr">
        <is>
          <t>Published</t>
        </is>
      </c>
      <c r="D77" s="78" t="inlineStr">
        <is>
          <t>Contrarian</t>
        </is>
      </c>
      <c r="E77" s="78" t="inlineStr">
        <is>
          <t>II · Confrontation</t>
        </is>
      </c>
      <c r="F77" s="78" t="inlineStr">
        <is>
          <t>Evidence</t>
        </is>
      </c>
      <c r="G77" s="78" t="inlineStr">
        <is>
          <t>8–15s</t>
        </is>
      </c>
      <c r="H77" s="79" t="inlineStr">
        <is>
          <t>That's recognition. Your brain only has to match, not produce.</t>
        </is>
      </c>
      <c r="I77" s="79" t="inlineStr">
        <is>
          <t>RECOGNITION = MATCHING</t>
        </is>
      </c>
      <c r="J77" s="79" t="n"/>
    </row>
    <row r="78" ht="23.85" customHeight="1" s="62">
      <c r="A78" s="78" t="n">
        <v>11</v>
      </c>
      <c r="B78" s="79" t="inlineStr">
        <is>
          <t>Recognition versus recall</t>
        </is>
      </c>
      <c r="C78" s="78" t="inlineStr">
        <is>
          <t>Published</t>
        </is>
      </c>
      <c r="D78" s="78" t="inlineStr">
        <is>
          <t>Contrarian</t>
        </is>
      </c>
      <c r="E78" s="78" t="inlineStr">
        <is>
          <t>II · Confrontation</t>
        </is>
      </c>
      <c r="F78" s="78" t="inlineStr">
        <is>
          <t>Escalation</t>
        </is>
      </c>
      <c r="G78" s="78" t="inlineStr">
        <is>
          <t>15–22s</t>
        </is>
      </c>
      <c r="H78" s="79" t="inlineStr">
        <is>
          <t>Recall means pulling it out of a blank page. That's what exams and real life ask for.</t>
        </is>
      </c>
      <c r="I78" s="79" t="inlineStr">
        <is>
          <t>RECALL = BLANK PAGE</t>
        </is>
      </c>
      <c r="J78" s="79" t="n"/>
    </row>
    <row r="79" ht="15" customHeight="1" s="62">
      <c r="A79" s="78" t="n">
        <v>11</v>
      </c>
      <c r="B79" s="79" t="inlineStr">
        <is>
          <t>Recognition versus recall</t>
        </is>
      </c>
      <c r="C79" s="78" t="inlineStr">
        <is>
          <t>Published</t>
        </is>
      </c>
      <c r="D79" s="78" t="inlineStr">
        <is>
          <t>Contrarian</t>
        </is>
      </c>
      <c r="E79" s="78" t="inlineStr">
        <is>
          <t>II · Confrontation</t>
        </is>
      </c>
      <c r="F79" s="78" t="inlineStr">
        <is>
          <t>Turn</t>
        </is>
      </c>
      <c r="G79" s="78" t="inlineStr">
        <is>
          <t>22–26s</t>
        </is>
      </c>
      <c r="H79" s="79" t="inlineStr">
        <is>
          <t>But here's the trap: familiarity feels exactly like understanding.</t>
        </is>
      </c>
      <c r="I79" s="79" t="inlineStr">
        <is>
          <t>FAMILIAR ≠ UNDERSTOOD</t>
        </is>
      </c>
      <c r="J79" s="79" t="n"/>
    </row>
    <row r="80" ht="15" customHeight="1" s="62">
      <c r="A80" s="78" t="n">
        <v>11</v>
      </c>
      <c r="B80" s="79" t="inlineStr">
        <is>
          <t>Recognition versus recall</t>
        </is>
      </c>
      <c r="C80" s="78" t="inlineStr">
        <is>
          <t>Published</t>
        </is>
      </c>
      <c r="D80" s="78" t="inlineStr">
        <is>
          <t>Contrarian</t>
        </is>
      </c>
      <c r="E80" s="78" t="inlineStr">
        <is>
          <t>III · Resolution</t>
        </is>
      </c>
      <c r="F80" s="78" t="inlineStr">
        <is>
          <t>Payoff</t>
        </is>
      </c>
      <c r="G80" s="78" t="inlineStr">
        <is>
          <t>26–32s</t>
        </is>
      </c>
      <c r="H80" s="79" t="inlineStr">
        <is>
          <t>Recognizing an answer isn't the same as knowing it.</t>
        </is>
      </c>
      <c r="I80" s="79" t="inlineStr">
        <is>
          <t>RECOGNITION ≠ RECALL</t>
        </is>
      </c>
      <c r="J80" s="79" t="n"/>
    </row>
    <row r="81" ht="23.85" customHeight="1" s="62">
      <c r="A81" s="81" t="n">
        <v>11</v>
      </c>
      <c r="B81" s="82" t="inlineStr">
        <is>
          <t>Recognition versus recall</t>
        </is>
      </c>
      <c r="C81" s="81" t="inlineStr">
        <is>
          <t>Published</t>
        </is>
      </c>
      <c r="D81" s="81" t="inlineStr">
        <is>
          <t>Contrarian</t>
        </is>
      </c>
      <c r="E81" s="81" t="inlineStr">
        <is>
          <t>III · Resolution</t>
        </is>
      </c>
      <c r="F81" s="81" t="inlineStr">
        <is>
          <t>Outro</t>
        </is>
      </c>
      <c r="G81" s="81" t="inlineStr">
        <is>
          <t>32–36s</t>
        </is>
      </c>
      <c r="H81" s="82" t="inlineStr">
        <is>
          <t>Close the book and explain it out loud from memory. Save this for exam week, and follow for more study hacks.</t>
        </is>
      </c>
      <c r="I81" s="82" t="inlineStr">
        <is>
          <t>CLOSE THE BOOK. EXPLAIN IT.</t>
        </is>
      </c>
      <c r="J81" s="82" t="n"/>
    </row>
    <row r="82" ht="23.85" customHeight="1" s="62">
      <c r="A82" s="83" t="n">
        <v>12</v>
      </c>
      <c r="B82" s="84" t="inlineStr">
        <is>
          <t>The testing effect</t>
        </is>
      </c>
      <c r="C82" s="83" t="inlineStr">
        <is>
          <t>Vetoed</t>
        </is>
      </c>
      <c r="D82" s="83" t="inlineStr">
        <is>
          <t>Study reveal</t>
        </is>
      </c>
      <c r="E82" s="83" t="inlineStr">
        <is>
          <t>I · Setup</t>
        </is>
      </c>
      <c r="F82" s="83" t="inlineStr">
        <is>
          <t>Hook</t>
        </is>
      </c>
      <c r="G82" s="83" t="inlineStr">
        <is>
          <t>0–3s</t>
        </is>
      </c>
      <c r="H82" s="85" t="inlineStr">
        <is>
          <t>One study habit beat rereading by about 50 percent a week later.</t>
        </is>
      </c>
      <c r="I82" s="84" t="inlineStr">
        <is>
          <t>+50% a week later | stopwatch</t>
        </is>
      </c>
      <c r="J82" s="84" t="inlineStr">
        <is>
          <t>Roediger &amp; Karpicke 2006: one week later ~61% (tested) vs ~40% (restudied)</t>
        </is>
      </c>
    </row>
    <row r="83" ht="23.85" customHeight="1" s="62">
      <c r="A83" s="83" t="n">
        <v>12</v>
      </c>
      <c r="B83" s="84" t="inlineStr">
        <is>
          <t>The testing effect</t>
        </is>
      </c>
      <c r="C83" s="83" t="inlineStr">
        <is>
          <t>Vetoed</t>
        </is>
      </c>
      <c r="D83" s="83" t="inlineStr">
        <is>
          <t>Study reveal</t>
        </is>
      </c>
      <c r="E83" s="83" t="inlineStr">
        <is>
          <t>I · Setup</t>
        </is>
      </c>
      <c r="F83" s="83" t="inlineStr">
        <is>
          <t>Setup</t>
        </is>
      </c>
      <c r="G83" s="83" t="inlineStr">
        <is>
          <t>3–8s</t>
        </is>
      </c>
      <c r="H83" s="84" t="inlineStr">
        <is>
          <t>In 2006, Henry Roediger and Jeffrey Karpicke gave students a passage to learn.</t>
        </is>
      </c>
      <c r="I83" s="84" t="inlineStr">
        <is>
          <t>ROEDIGER &amp; KARPICKE, 2006 | passage on desk</t>
        </is>
      </c>
      <c r="J83" s="84" t="n"/>
    </row>
    <row r="84" ht="15" customHeight="1" s="62">
      <c r="A84" s="83" t="n">
        <v>12</v>
      </c>
      <c r="B84" s="84" t="inlineStr">
        <is>
          <t>The testing effect</t>
        </is>
      </c>
      <c r="C84" s="83" t="inlineStr">
        <is>
          <t>Vetoed</t>
        </is>
      </c>
      <c r="D84" s="83" t="inlineStr">
        <is>
          <t>Study reveal</t>
        </is>
      </c>
      <c r="E84" s="83" t="inlineStr">
        <is>
          <t>II · Confrontation</t>
        </is>
      </c>
      <c r="F84" s="83" t="inlineStr">
        <is>
          <t>Evidence</t>
        </is>
      </c>
      <c r="G84" s="83" t="inlineStr">
        <is>
          <t>8–15s</t>
        </is>
      </c>
      <c r="H84" s="84" t="inlineStr">
        <is>
          <t>One group reread it. The other group closed it and tested themselves.</t>
        </is>
      </c>
      <c r="I84" s="84" t="inlineStr">
        <is>
          <t>REREAD 📖 | SELF-TEST 📝</t>
        </is>
      </c>
      <c r="J84" s="84" t="n"/>
    </row>
    <row r="85" ht="23.85" customHeight="1" s="62">
      <c r="A85" s="83" t="n">
        <v>12</v>
      </c>
      <c r="B85" s="84" t="inlineStr">
        <is>
          <t>The testing effect</t>
        </is>
      </c>
      <c r="C85" s="83" t="inlineStr">
        <is>
          <t>Vetoed</t>
        </is>
      </c>
      <c r="D85" s="83" t="inlineStr">
        <is>
          <t>Study reveal</t>
        </is>
      </c>
      <c r="E85" s="83" t="inlineStr">
        <is>
          <t>II · Confrontation</t>
        </is>
      </c>
      <c r="F85" s="83" t="inlineStr">
        <is>
          <t>Escalation</t>
        </is>
      </c>
      <c r="G85" s="83" t="inlineStr">
        <is>
          <t>15–22s</t>
        </is>
      </c>
      <c r="H85" s="84" t="inlineStr">
        <is>
          <t>Five minutes later, rereaders won. A week later, testers remembered about 61 percent versus 40.</t>
        </is>
      </c>
      <c r="I85" s="84" t="inlineStr">
        <is>
          <t>1 WEEK: 61% vs 40%</t>
        </is>
      </c>
      <c r="J85" s="84" t="n"/>
    </row>
    <row r="86" ht="15" customHeight="1" s="62">
      <c r="A86" s="83" t="n">
        <v>12</v>
      </c>
      <c r="B86" s="84" t="inlineStr">
        <is>
          <t>The testing effect</t>
        </is>
      </c>
      <c r="C86" s="83" t="inlineStr">
        <is>
          <t>Vetoed</t>
        </is>
      </c>
      <c r="D86" s="83" t="inlineStr">
        <is>
          <t>Study reveal</t>
        </is>
      </c>
      <c r="E86" s="83" t="inlineStr">
        <is>
          <t>II · Confrontation</t>
        </is>
      </c>
      <c r="F86" s="83" t="inlineStr">
        <is>
          <t>Turn</t>
        </is>
      </c>
      <c r="G86" s="83" t="inlineStr">
        <is>
          <t>22–26s</t>
        </is>
      </c>
      <c r="H86" s="84" t="inlineStr">
        <is>
          <t>But the testers felt less confident, even though they learned more.</t>
        </is>
      </c>
      <c r="I86" s="84" t="inlineStr">
        <is>
          <t>LESS CONFIDENT, MORE LEARNED</t>
        </is>
      </c>
      <c r="J86" s="84" t="n"/>
    </row>
    <row r="87" ht="15" customHeight="1" s="62">
      <c r="A87" s="83" t="n">
        <v>12</v>
      </c>
      <c r="B87" s="84" t="inlineStr">
        <is>
          <t>The testing effect</t>
        </is>
      </c>
      <c r="C87" s="83" t="inlineStr">
        <is>
          <t>Vetoed</t>
        </is>
      </c>
      <c r="D87" s="83" t="inlineStr">
        <is>
          <t>Study reveal</t>
        </is>
      </c>
      <c r="E87" s="83" t="inlineStr">
        <is>
          <t>III · Resolution</t>
        </is>
      </c>
      <c r="F87" s="83" t="inlineStr">
        <is>
          <t>Payoff</t>
        </is>
      </c>
      <c r="G87" s="83" t="inlineStr">
        <is>
          <t>26–32s</t>
        </is>
      </c>
      <c r="H87" s="84" t="inlineStr">
        <is>
          <t>That's the testing effect. Pulling memories out makes them stronger.</t>
        </is>
      </c>
      <c r="I87" s="84" t="inlineStr">
        <is>
          <t>THE TESTING EFFECT</t>
        </is>
      </c>
      <c r="J87" s="84" t="n"/>
    </row>
    <row r="88" ht="23.85" customHeight="1" s="62">
      <c r="A88" s="86" t="n">
        <v>12</v>
      </c>
      <c r="B88" s="87" t="inlineStr">
        <is>
          <t>The testing effect</t>
        </is>
      </c>
      <c r="C88" s="86" t="inlineStr">
        <is>
          <t>Vetoed</t>
        </is>
      </c>
      <c r="D88" s="86" t="inlineStr">
        <is>
          <t>Study reveal</t>
        </is>
      </c>
      <c r="E88" s="86" t="inlineStr">
        <is>
          <t>III · Resolution</t>
        </is>
      </c>
      <c r="F88" s="86" t="inlineStr">
        <is>
          <t>Outro</t>
        </is>
      </c>
      <c r="G88" s="86" t="inlineStr">
        <is>
          <t>32–36s</t>
        </is>
      </c>
      <c r="H88" s="87" t="inlineStr">
        <is>
          <t>Turn every page into three questions, and quiz yourself tomorrow. Save this, your future grades will thank you.</t>
        </is>
      </c>
      <c r="I88" s="87" t="inlineStr">
        <is>
          <t>3 QUESTIONS PER PAGE</t>
        </is>
      </c>
      <c r="J88" s="87" t="n"/>
    </row>
    <row r="89" ht="23.85" customHeight="1" s="62">
      <c r="A89" s="78" t="n">
        <v>13</v>
      </c>
      <c r="B89" s="79" t="inlineStr">
        <is>
          <t>Spacing your practice</t>
        </is>
      </c>
      <c r="C89" s="78" t="inlineStr">
        <is>
          <t>Scheduled</t>
        </is>
      </c>
      <c r="D89" s="78" t="inlineStr">
        <is>
          <t>Forced choice</t>
        </is>
      </c>
      <c r="E89" s="78" t="inlineStr">
        <is>
          <t>I · Setup</t>
        </is>
      </c>
      <c r="F89" s="78" t="inlineStr">
        <is>
          <t>Hook</t>
        </is>
      </c>
      <c r="G89" s="78" t="inlineStr">
        <is>
          <t>0–3s</t>
        </is>
      </c>
      <c r="H89" s="80" t="inlineStr">
        <is>
          <t>Five hours of studying in one night, or the same five hours spread over a week?</t>
        </is>
      </c>
      <c r="I89" s="79" t="inlineStr">
        <is>
          <t>1 NIGHT vs 1 WEEK | two calendars</t>
        </is>
      </c>
      <c r="J89" s="79" t="inlineStr">
        <is>
          <t>Cepeda et al. 2006 meta-analysis; Ebbinghaus 1885 forgetting curve</t>
        </is>
      </c>
    </row>
    <row r="90" ht="23.85" customHeight="1" s="62">
      <c r="A90" s="78" t="n">
        <v>13</v>
      </c>
      <c r="B90" s="79" t="inlineStr">
        <is>
          <t>Spacing your practice</t>
        </is>
      </c>
      <c r="C90" s="78" t="inlineStr">
        <is>
          <t>Scheduled</t>
        </is>
      </c>
      <c r="D90" s="78" t="inlineStr">
        <is>
          <t>Forced choice</t>
        </is>
      </c>
      <c r="E90" s="78" t="inlineStr">
        <is>
          <t>I · Setup</t>
        </is>
      </c>
      <c r="F90" s="78" t="inlineStr">
        <is>
          <t>Setup</t>
        </is>
      </c>
      <c r="G90" s="78" t="inlineStr">
        <is>
          <t>3–8s</t>
        </is>
      </c>
      <c r="H90" s="79" t="inlineStr">
        <is>
          <t>Cramming feels productive. Everything seems fresh by the end of the night.</t>
        </is>
      </c>
      <c r="I90" s="79" t="inlineStr">
        <is>
          <t>late-night desk, coffee, 'I got this'</t>
        </is>
      </c>
      <c r="J90" s="79" t="n"/>
    </row>
    <row r="91" ht="23.85" customHeight="1" s="62">
      <c r="A91" s="78" t="n">
        <v>13</v>
      </c>
      <c r="B91" s="79" t="inlineStr">
        <is>
          <t>Spacing your practice</t>
        </is>
      </c>
      <c r="C91" s="78" t="inlineStr">
        <is>
          <t>Scheduled</t>
        </is>
      </c>
      <c r="D91" s="78" t="inlineStr">
        <is>
          <t>Forced choice</t>
        </is>
      </c>
      <c r="E91" s="78" t="inlineStr">
        <is>
          <t>II · Confrontation</t>
        </is>
      </c>
      <c r="F91" s="78" t="inlineStr">
        <is>
          <t>Evidence</t>
        </is>
      </c>
      <c r="G91" s="78" t="inlineStr">
        <is>
          <t>8–15s</t>
        </is>
      </c>
      <c r="H91" s="79" t="inlineStr">
        <is>
          <t>In 1885, Hermann Ebbinghaus mapped how fast we forget, and found spacing slows it.</t>
        </is>
      </c>
      <c r="I91" s="79" t="inlineStr">
        <is>
          <t>EBBINGHAUS, 1885 | forgetting curve</t>
        </is>
      </c>
      <c r="J91" s="79" t="n"/>
    </row>
    <row r="92" ht="23.85" customHeight="1" s="62">
      <c r="A92" s="78" t="n">
        <v>13</v>
      </c>
      <c r="B92" s="79" t="inlineStr">
        <is>
          <t>Spacing your practice</t>
        </is>
      </c>
      <c r="C92" s="78" t="inlineStr">
        <is>
          <t>Scheduled</t>
        </is>
      </c>
      <c r="D92" s="78" t="inlineStr">
        <is>
          <t>Forced choice</t>
        </is>
      </c>
      <c r="E92" s="78" t="inlineStr">
        <is>
          <t>II · Confrontation</t>
        </is>
      </c>
      <c r="F92" s="78" t="inlineStr">
        <is>
          <t>Escalation</t>
        </is>
      </c>
      <c r="G92" s="78" t="inlineStr">
        <is>
          <t>15–22s</t>
        </is>
      </c>
      <c r="H92" s="79" t="inlineStr">
        <is>
          <t>A 2006 review of over 300 experiments, by Cepeda and colleagues, confirmed it.</t>
        </is>
      </c>
      <c r="I92" s="79" t="inlineStr">
        <is>
          <t>300+ EXPERIMENTS AGREE</t>
        </is>
      </c>
      <c r="J92" s="79" t="n"/>
    </row>
    <row r="93" ht="23.85" customHeight="1" s="62">
      <c r="A93" s="78" t="n">
        <v>13</v>
      </c>
      <c r="B93" s="79" t="inlineStr">
        <is>
          <t>Spacing your practice</t>
        </is>
      </c>
      <c r="C93" s="78" t="inlineStr">
        <is>
          <t>Scheduled</t>
        </is>
      </c>
      <c r="D93" s="78" t="inlineStr">
        <is>
          <t>Forced choice</t>
        </is>
      </c>
      <c r="E93" s="78" t="inlineStr">
        <is>
          <t>II · Confrontation</t>
        </is>
      </c>
      <c r="F93" s="78" t="inlineStr">
        <is>
          <t>Turn</t>
        </is>
      </c>
      <c r="G93" s="78" t="inlineStr">
        <is>
          <t>22–26s</t>
        </is>
      </c>
      <c r="H93" s="79" t="inlineStr">
        <is>
          <t>But the forgetting between sessions is the point. Struggling to remember builds the memory.</t>
        </is>
      </c>
      <c r="I93" s="79" t="inlineStr">
        <is>
          <t>FORGETTING = TRAINING</t>
        </is>
      </c>
      <c r="J93" s="79" t="n"/>
    </row>
    <row r="94" ht="15" customHeight="1" s="62">
      <c r="A94" s="78" t="n">
        <v>13</v>
      </c>
      <c r="B94" s="79" t="inlineStr">
        <is>
          <t>Spacing your practice</t>
        </is>
      </c>
      <c r="C94" s="78" t="inlineStr">
        <is>
          <t>Scheduled</t>
        </is>
      </c>
      <c r="D94" s="78" t="inlineStr">
        <is>
          <t>Forced choice</t>
        </is>
      </c>
      <c r="E94" s="78" t="inlineStr">
        <is>
          <t>III · Resolution</t>
        </is>
      </c>
      <c r="F94" s="78" t="inlineStr">
        <is>
          <t>Payoff</t>
        </is>
      </c>
      <c r="G94" s="78" t="inlineStr">
        <is>
          <t>26–32s</t>
        </is>
      </c>
      <c r="H94" s="79" t="inlineStr">
        <is>
          <t>It's the spacing effect. Same hours, much longer memory.</t>
        </is>
      </c>
      <c r="I94" s="79" t="inlineStr">
        <is>
          <t>THE SPACING EFFECT</t>
        </is>
      </c>
      <c r="J94" s="79" t="n"/>
    </row>
    <row r="95" ht="23.85" customHeight="1" s="62">
      <c r="A95" s="81" t="n">
        <v>13</v>
      </c>
      <c r="B95" s="82" t="inlineStr">
        <is>
          <t>Spacing your practice</t>
        </is>
      </c>
      <c r="C95" s="81" t="inlineStr">
        <is>
          <t>Scheduled</t>
        </is>
      </c>
      <c r="D95" s="81" t="inlineStr">
        <is>
          <t>Forced choice</t>
        </is>
      </c>
      <c r="E95" s="81" t="inlineStr">
        <is>
          <t>III · Resolution</t>
        </is>
      </c>
      <c r="F95" s="81" t="inlineStr">
        <is>
          <t>Outro</t>
        </is>
      </c>
      <c r="G95" s="81" t="inlineStr">
        <is>
          <t>32–36s</t>
        </is>
      </c>
      <c r="H95" s="82" t="inlineStr">
        <is>
          <t>Split your next study session into three short ones across the week. Follow for tomorrow's study trick.</t>
        </is>
      </c>
      <c r="I95" s="82" t="inlineStr">
        <is>
          <t>SPLIT IT INTO 3</t>
        </is>
      </c>
      <c r="J95" s="82" t="n"/>
    </row>
    <row r="96" ht="23.85" customHeight="1" s="62">
      <c r="A96" s="83" t="n">
        <v>14</v>
      </c>
      <c r="B96" s="84" t="inlineStr">
        <is>
          <t>Interleaving practice</t>
        </is>
      </c>
      <c r="C96" s="83" t="inlineStr">
        <is>
          <t>Scripted</t>
        </is>
      </c>
      <c r="D96" s="83" t="inlineStr">
        <is>
          <t>Study reveal</t>
        </is>
      </c>
      <c r="E96" s="83" t="inlineStr">
        <is>
          <t>I · Setup</t>
        </is>
      </c>
      <c r="F96" s="83" t="inlineStr">
        <is>
          <t>Hook</t>
        </is>
      </c>
      <c r="G96" s="83" t="inlineStr">
        <is>
          <t>0–3s</t>
        </is>
      </c>
      <c r="H96" s="85" t="inlineStr">
        <is>
          <t>Students who practised the 'messy' way scored three times higher.</t>
        </is>
      </c>
      <c r="I96" s="84" t="inlineStr">
        <is>
          <t>3× HIGHER | shuffled cards</t>
        </is>
      </c>
      <c r="J96" s="84" t="inlineStr">
        <is>
          <t>Rohrer &amp; Taylor 2007: interleaved 63% vs blocked 20% on delayed test</t>
        </is>
      </c>
    </row>
    <row r="97" ht="15" customHeight="1" s="62">
      <c r="A97" s="83" t="n">
        <v>14</v>
      </c>
      <c r="B97" s="84" t="inlineStr">
        <is>
          <t>Interleaving practice</t>
        </is>
      </c>
      <c r="C97" s="83" t="inlineStr">
        <is>
          <t>Scripted</t>
        </is>
      </c>
      <c r="D97" s="83" t="inlineStr">
        <is>
          <t>Study reveal</t>
        </is>
      </c>
      <c r="E97" s="83" t="inlineStr">
        <is>
          <t>I · Setup</t>
        </is>
      </c>
      <c r="F97" s="83" t="inlineStr">
        <is>
          <t>Setup</t>
        </is>
      </c>
      <c r="G97" s="83" t="inlineStr">
        <is>
          <t>3–8s</t>
        </is>
      </c>
      <c r="H97" s="84" t="inlineStr">
        <is>
          <t>Most of us practise one type of problem, over and over, until it clicks.</t>
        </is>
      </c>
      <c r="I97" s="84" t="inlineStr">
        <is>
          <t>AAAA BBBB CCCC | neat rows</t>
        </is>
      </c>
      <c r="J97" s="84" t="n"/>
    </row>
    <row r="98" ht="23.85" customHeight="1" s="62">
      <c r="A98" s="83" t="n">
        <v>14</v>
      </c>
      <c r="B98" s="84" t="inlineStr">
        <is>
          <t>Interleaving practice</t>
        </is>
      </c>
      <c r="C98" s="83" t="inlineStr">
        <is>
          <t>Scripted</t>
        </is>
      </c>
      <c r="D98" s="83" t="inlineStr">
        <is>
          <t>Study reveal</t>
        </is>
      </c>
      <c r="E98" s="83" t="inlineStr">
        <is>
          <t>II · Confrontation</t>
        </is>
      </c>
      <c r="F98" s="83" t="inlineStr">
        <is>
          <t>Evidence</t>
        </is>
      </c>
      <c r="G98" s="83" t="inlineStr">
        <is>
          <t>8–15s</t>
        </is>
      </c>
      <c r="H98" s="84" t="inlineStr">
        <is>
          <t>In 2007, Doug Rohrer and Kelli Taylor had students mix problem types instead.</t>
        </is>
      </c>
      <c r="I98" s="84" t="inlineStr">
        <is>
          <t>ROHRER &amp; TAYLOR, 2007 | ABCA BCAB</t>
        </is>
      </c>
      <c r="J98" s="84" t="n"/>
    </row>
    <row r="99" ht="23.85" customHeight="1" s="62">
      <c r="A99" s="83" t="n">
        <v>14</v>
      </c>
      <c r="B99" s="84" t="inlineStr">
        <is>
          <t>Interleaving practice</t>
        </is>
      </c>
      <c r="C99" s="83" t="inlineStr">
        <is>
          <t>Scripted</t>
        </is>
      </c>
      <c r="D99" s="83" t="inlineStr">
        <is>
          <t>Study reveal</t>
        </is>
      </c>
      <c r="E99" s="83" t="inlineStr">
        <is>
          <t>II · Confrontation</t>
        </is>
      </c>
      <c r="F99" s="83" t="inlineStr">
        <is>
          <t>Escalation</t>
        </is>
      </c>
      <c r="G99" s="83" t="inlineStr">
        <is>
          <t>15–22s</t>
        </is>
      </c>
      <c r="H99" s="84" t="inlineStr">
        <is>
          <t>A week later, the mixed group scored 63 percent. The blocked group, just 20.</t>
        </is>
      </c>
      <c r="I99" s="84" t="inlineStr">
        <is>
          <t>MIXED 63% | BLOCKED 20%</t>
        </is>
      </c>
      <c r="J99" s="84" t="n"/>
    </row>
    <row r="100" ht="15" customHeight="1" s="62">
      <c r="A100" s="83" t="n">
        <v>14</v>
      </c>
      <c r="B100" s="84" t="inlineStr">
        <is>
          <t>Interleaving practice</t>
        </is>
      </c>
      <c r="C100" s="83" t="inlineStr">
        <is>
          <t>Scripted</t>
        </is>
      </c>
      <c r="D100" s="83" t="inlineStr">
        <is>
          <t>Study reveal</t>
        </is>
      </c>
      <c r="E100" s="83" t="inlineStr">
        <is>
          <t>II · Confrontation</t>
        </is>
      </c>
      <c r="F100" s="83" t="inlineStr">
        <is>
          <t>Turn</t>
        </is>
      </c>
      <c r="G100" s="83" t="inlineStr">
        <is>
          <t>22–26s</t>
        </is>
      </c>
      <c r="H100" s="84" t="inlineStr">
        <is>
          <t>But during practice, the mixed group did worse and felt confused.</t>
        </is>
      </c>
      <c r="I100" s="84" t="inlineStr">
        <is>
          <t>PRACTICE: messy felt worse</t>
        </is>
      </c>
      <c r="J100" s="84" t="n"/>
    </row>
    <row r="101" ht="15" customHeight="1" s="62">
      <c r="A101" s="83" t="n">
        <v>14</v>
      </c>
      <c r="B101" s="84" t="inlineStr">
        <is>
          <t>Interleaving practice</t>
        </is>
      </c>
      <c r="C101" s="83" t="inlineStr">
        <is>
          <t>Scripted</t>
        </is>
      </c>
      <c r="D101" s="83" t="inlineStr">
        <is>
          <t>Study reveal</t>
        </is>
      </c>
      <c r="E101" s="83" t="inlineStr">
        <is>
          <t>III · Resolution</t>
        </is>
      </c>
      <c r="F101" s="83" t="inlineStr">
        <is>
          <t>Payoff</t>
        </is>
      </c>
      <c r="G101" s="83" t="inlineStr">
        <is>
          <t>26–32s</t>
        </is>
      </c>
      <c r="H101" s="84" t="inlineStr">
        <is>
          <t>That's interleaving. You learn to choose the method, not just repeat it.</t>
        </is>
      </c>
      <c r="I101" s="84" t="inlineStr">
        <is>
          <t>INTERLEAVING</t>
        </is>
      </c>
      <c r="J101" s="84" t="n"/>
    </row>
    <row r="102" ht="23.85" customHeight="1" s="62">
      <c r="A102" s="86" t="n">
        <v>14</v>
      </c>
      <c r="B102" s="87" t="inlineStr">
        <is>
          <t>Interleaving practice</t>
        </is>
      </c>
      <c r="C102" s="86" t="inlineStr">
        <is>
          <t>Scripted</t>
        </is>
      </c>
      <c r="D102" s="86" t="inlineStr">
        <is>
          <t>Study reveal</t>
        </is>
      </c>
      <c r="E102" s="86" t="inlineStr">
        <is>
          <t>III · Resolution</t>
        </is>
      </c>
      <c r="F102" s="86" t="inlineStr">
        <is>
          <t>Outro</t>
        </is>
      </c>
      <c r="G102" s="86" t="inlineStr">
        <is>
          <t>32–36s</t>
        </is>
      </c>
      <c r="H102" s="87" t="inlineStr">
        <is>
          <t>Shuffle your flashcards and mix your problem sets. Save this before your next exam.</t>
        </is>
      </c>
      <c r="I102" s="87" t="inlineStr">
        <is>
          <t>SHUFFLE YOUR PRACTICE</t>
        </is>
      </c>
      <c r="J102" s="87" t="n"/>
    </row>
    <row r="103" ht="23.85" customHeight="1" s="62">
      <c r="A103" s="78" t="n">
        <v>15</v>
      </c>
      <c r="B103" s="79" t="inlineStr">
        <is>
          <t>Memory is reconstructive</t>
        </is>
      </c>
      <c r="C103" s="78" t="inlineStr">
        <is>
          <t>Scripted</t>
        </is>
      </c>
      <c r="D103" s="78" t="inlineStr">
        <is>
          <t>Pattern interrupt</t>
        </is>
      </c>
      <c r="E103" s="78" t="inlineStr">
        <is>
          <t>I · Setup</t>
        </is>
      </c>
      <c r="F103" s="78" t="inlineStr">
        <is>
          <t>Hook</t>
        </is>
      </c>
      <c r="G103" s="78" t="inlineStr">
        <is>
          <t>0–3s</t>
        </is>
      </c>
      <c r="H103" s="80" t="inlineStr">
        <is>
          <t>Your memory isn't a video. It's a remake.</t>
        </is>
      </c>
      <c r="I103" s="79" t="inlineStr">
        <is>
          <t>NOT A VIDEO. A REMAKE. | film reel tearing</t>
        </is>
      </c>
      <c r="J103" s="79" t="inlineStr">
        <is>
          <t>Bartlett 1932 'War of the Ghosts': retellings shifted toward familiar culture</t>
        </is>
      </c>
    </row>
    <row r="104" ht="15" customHeight="1" s="62">
      <c r="A104" s="78" t="n">
        <v>15</v>
      </c>
      <c r="B104" s="79" t="inlineStr">
        <is>
          <t>Memory is reconstructive</t>
        </is>
      </c>
      <c r="C104" s="78" t="inlineStr">
        <is>
          <t>Scripted</t>
        </is>
      </c>
      <c r="D104" s="78" t="inlineStr">
        <is>
          <t>Pattern interrupt</t>
        </is>
      </c>
      <c r="E104" s="78" t="inlineStr">
        <is>
          <t>I · Setup</t>
        </is>
      </c>
      <c r="F104" s="78" t="inlineStr">
        <is>
          <t>Setup</t>
        </is>
      </c>
      <c r="G104" s="78" t="inlineStr">
        <is>
          <t>3–8s</t>
        </is>
      </c>
      <c r="H104" s="79" t="inlineStr">
        <is>
          <t>Two honest friends remember the same night completely differently.</t>
        </is>
      </c>
      <c r="I104" s="79" t="inlineStr">
        <is>
          <t>two drawings of one party, different details</t>
        </is>
      </c>
      <c r="J104" s="79" t="n"/>
    </row>
    <row r="105" ht="23.85" customHeight="1" s="62">
      <c r="A105" s="78" t="n">
        <v>15</v>
      </c>
      <c r="B105" s="79" t="inlineStr">
        <is>
          <t>Memory is reconstructive</t>
        </is>
      </c>
      <c r="C105" s="78" t="inlineStr">
        <is>
          <t>Scripted</t>
        </is>
      </c>
      <c r="D105" s="78" t="inlineStr">
        <is>
          <t>Pattern interrupt</t>
        </is>
      </c>
      <c r="E105" s="78" t="inlineStr">
        <is>
          <t>II · Confrontation</t>
        </is>
      </c>
      <c r="F105" s="78" t="inlineStr">
        <is>
          <t>Evidence</t>
        </is>
      </c>
      <c r="G105" s="78" t="inlineStr">
        <is>
          <t>8–15s</t>
        </is>
      </c>
      <c r="H105" s="79" t="inlineStr">
        <is>
          <t>In 1932, Frederic Bartlett had people read and retell an unfamiliar Native American folk tale.</t>
        </is>
      </c>
      <c r="I105" s="79" t="inlineStr">
        <is>
          <t>BARTLETT, 1932 | old storybook</t>
        </is>
      </c>
      <c r="J105" s="79" t="n"/>
    </row>
    <row r="106" ht="15" customHeight="1" s="62">
      <c r="A106" s="78" t="n">
        <v>15</v>
      </c>
      <c r="B106" s="79" t="inlineStr">
        <is>
          <t>Memory is reconstructive</t>
        </is>
      </c>
      <c r="C106" s="78" t="inlineStr">
        <is>
          <t>Scripted</t>
        </is>
      </c>
      <c r="D106" s="78" t="inlineStr">
        <is>
          <t>Pattern interrupt</t>
        </is>
      </c>
      <c r="E106" s="78" t="inlineStr">
        <is>
          <t>II · Confrontation</t>
        </is>
      </c>
      <c r="F106" s="78" t="inlineStr">
        <is>
          <t>Escalation</t>
        </is>
      </c>
      <c r="G106" s="78" t="inlineStr">
        <is>
          <t>15–22s</t>
        </is>
      </c>
      <c r="H106" s="79" t="inlineStr">
        <is>
          <t>With each retelling, they dropped strange details and added familiar ones.</t>
        </is>
      </c>
      <c r="I106" s="79" t="inlineStr">
        <is>
          <t>strange details fade ✂️ | familiar ones appear ✏️</t>
        </is>
      </c>
      <c r="J106" s="79" t="n"/>
    </row>
    <row r="107" ht="23.85" customHeight="1" s="62">
      <c r="A107" s="78" t="n">
        <v>15</v>
      </c>
      <c r="B107" s="79" t="inlineStr">
        <is>
          <t>Memory is reconstructive</t>
        </is>
      </c>
      <c r="C107" s="78" t="inlineStr">
        <is>
          <t>Scripted</t>
        </is>
      </c>
      <c r="D107" s="78" t="inlineStr">
        <is>
          <t>Pattern interrupt</t>
        </is>
      </c>
      <c r="E107" s="78" t="inlineStr">
        <is>
          <t>II · Confrontation</t>
        </is>
      </c>
      <c r="F107" s="78" t="inlineStr">
        <is>
          <t>Turn</t>
        </is>
      </c>
      <c r="G107" s="78" t="inlineStr">
        <is>
          <t>22–26s</t>
        </is>
      </c>
      <c r="H107" s="79" t="inlineStr">
        <is>
          <t>But nobody was lying. Each time you remember, your brain rebuilds the scene.</t>
        </is>
      </c>
      <c r="I107" s="79" t="inlineStr">
        <is>
          <t>NOBODY WAS LYING</t>
        </is>
      </c>
      <c r="J107" s="79" t="n"/>
    </row>
    <row r="108" ht="15" customHeight="1" s="62">
      <c r="A108" s="78" t="n">
        <v>15</v>
      </c>
      <c r="B108" s="79" t="inlineStr">
        <is>
          <t>Memory is reconstructive</t>
        </is>
      </c>
      <c r="C108" s="78" t="inlineStr">
        <is>
          <t>Scripted</t>
        </is>
      </c>
      <c r="D108" s="78" t="inlineStr">
        <is>
          <t>Pattern interrupt</t>
        </is>
      </c>
      <c r="E108" s="78" t="inlineStr">
        <is>
          <t>III · Resolution</t>
        </is>
      </c>
      <c r="F108" s="78" t="inlineStr">
        <is>
          <t>Payoff</t>
        </is>
      </c>
      <c r="G108" s="78" t="inlineStr">
        <is>
          <t>26–32s</t>
        </is>
      </c>
      <c r="H108" s="79" t="inlineStr">
        <is>
          <t>Memory is reconstructive.</t>
        </is>
      </c>
      <c r="I108" s="79" t="inlineStr">
        <is>
          <t>MEMORY IS RECONSTRUCTIVE</t>
        </is>
      </c>
      <c r="J108" s="79" t="n"/>
    </row>
    <row r="109" ht="23.85" customHeight="1" s="62">
      <c r="A109" s="81" t="n">
        <v>15</v>
      </c>
      <c r="B109" s="82" t="inlineStr">
        <is>
          <t>Memory is reconstructive</t>
        </is>
      </c>
      <c r="C109" s="81" t="inlineStr">
        <is>
          <t>Scripted</t>
        </is>
      </c>
      <c r="D109" s="81" t="inlineStr">
        <is>
          <t>Pattern interrupt</t>
        </is>
      </c>
      <c r="E109" s="81" t="inlineStr">
        <is>
          <t>III · Resolution</t>
        </is>
      </c>
      <c r="F109" s="81" t="inlineStr">
        <is>
          <t>Outro</t>
        </is>
      </c>
      <c r="G109" s="81" t="inlineStr">
        <is>
          <t>32–36s</t>
        </is>
      </c>
      <c r="H109" s="82" t="inlineStr">
        <is>
          <t>Before you argue about 'what really happened', check a photo or message first. Follow, tomorrow it gets weirder.</t>
        </is>
      </c>
      <c r="I109" s="82" t="inlineStr">
        <is>
          <t>CHECK THE RECEIPTS</t>
        </is>
      </c>
      <c r="J109" s="82" t="n"/>
    </row>
    <row r="110" ht="23.85" customHeight="1" s="62">
      <c r="A110" s="83" t="n">
        <v>16</v>
      </c>
      <c r="B110" s="84" t="inlineStr">
        <is>
          <t>The misinformation effect</t>
        </is>
      </c>
      <c r="C110" s="83" t="inlineStr">
        <is>
          <t>Idea</t>
        </is>
      </c>
      <c r="D110" s="83" t="inlineStr">
        <is>
          <t>Curiosity gap</t>
        </is>
      </c>
      <c r="E110" s="83" t="inlineStr">
        <is>
          <t>I · Setup</t>
        </is>
      </c>
      <c r="F110" s="83" t="inlineStr">
        <is>
          <t>Hook</t>
        </is>
      </c>
      <c r="G110" s="83" t="inlineStr">
        <is>
          <t>0–3s</t>
        </is>
      </c>
      <c r="H110" s="85" t="inlineStr">
        <is>
          <t>One word made people remember broken glass that was never there.</t>
        </is>
      </c>
      <c r="I110" s="84" t="inlineStr">
        <is>
          <t>BROKEN GLASS? | glass shatters</t>
        </is>
      </c>
      <c r="J110" s="84" t="inlineStr">
        <is>
          <t>Loftus &amp; Palmer 1974: 'smashed' ~41 mph vs 'hit' ~34 mph; 32% vs 14% recalled broken glass</t>
        </is>
      </c>
    </row>
    <row r="111" ht="23.85" customHeight="1" s="62">
      <c r="A111" s="83" t="n">
        <v>16</v>
      </c>
      <c r="B111" s="84" t="inlineStr">
        <is>
          <t>The misinformation effect</t>
        </is>
      </c>
      <c r="C111" s="83" t="inlineStr">
        <is>
          <t>Idea</t>
        </is>
      </c>
      <c r="D111" s="83" t="inlineStr">
        <is>
          <t>Curiosity gap</t>
        </is>
      </c>
      <c r="E111" s="83" t="inlineStr">
        <is>
          <t>I · Setup</t>
        </is>
      </c>
      <c r="F111" s="83" t="inlineStr">
        <is>
          <t>Setup</t>
        </is>
      </c>
      <c r="G111" s="83" t="inlineStr">
        <is>
          <t>3–8s</t>
        </is>
      </c>
      <c r="H111" s="84" t="inlineStr">
        <is>
          <t>In 1974, Elizabeth Loftus and John Palmer showed students a video of a car crash.</t>
        </is>
      </c>
      <c r="I111" s="84" t="inlineStr">
        <is>
          <t>LOFTUS &amp; PALMER, 1974 | two cars</t>
        </is>
      </c>
      <c r="J111" s="84" t="n"/>
    </row>
    <row r="112" ht="15" customHeight="1" s="62">
      <c r="A112" s="83" t="n">
        <v>16</v>
      </c>
      <c r="B112" s="84" t="inlineStr">
        <is>
          <t>The misinformation effect</t>
        </is>
      </c>
      <c r="C112" s="83" t="inlineStr">
        <is>
          <t>Idea</t>
        </is>
      </c>
      <c r="D112" s="83" t="inlineStr">
        <is>
          <t>Curiosity gap</t>
        </is>
      </c>
      <c r="E112" s="83" t="inlineStr">
        <is>
          <t>II · Confrontation</t>
        </is>
      </c>
      <c r="F112" s="83" t="inlineStr">
        <is>
          <t>Evidence</t>
        </is>
      </c>
      <c r="G112" s="83" t="inlineStr">
        <is>
          <t>8–15s</t>
        </is>
      </c>
      <c r="H112" s="84" t="inlineStr">
        <is>
          <t>Some were asked how fast the cars 'hit'. Others, how fast they 'smashed'.</t>
        </is>
      </c>
      <c r="I112" s="84" t="inlineStr">
        <is>
          <t>'HIT' vs 'SMASHED'</t>
        </is>
      </c>
      <c r="J112" s="84" t="n"/>
    </row>
    <row r="113" ht="15" customHeight="1" s="62">
      <c r="A113" s="83" t="n">
        <v>16</v>
      </c>
      <c r="B113" s="84" t="inlineStr">
        <is>
          <t>The misinformation effect</t>
        </is>
      </c>
      <c r="C113" s="83" t="inlineStr">
        <is>
          <t>Idea</t>
        </is>
      </c>
      <c r="D113" s="83" t="inlineStr">
        <is>
          <t>Curiosity gap</t>
        </is>
      </c>
      <c r="E113" s="83" t="inlineStr">
        <is>
          <t>II · Confrontation</t>
        </is>
      </c>
      <c r="F113" s="83" t="inlineStr">
        <is>
          <t>Escalation</t>
        </is>
      </c>
      <c r="G113" s="83" t="inlineStr">
        <is>
          <t>15–22s</t>
        </is>
      </c>
      <c r="H113" s="84" t="inlineStr">
        <is>
          <t>'Smashed' raised speed estimates, from about 34 to 41 miles an hour.</t>
        </is>
      </c>
      <c r="I113" s="84" t="inlineStr">
        <is>
          <t>34 mph → 41 mph</t>
        </is>
      </c>
      <c r="J113" s="84" t="n"/>
    </row>
    <row r="114" ht="23.85" customHeight="1" s="62">
      <c r="A114" s="83" t="n">
        <v>16</v>
      </c>
      <c r="B114" s="84" t="inlineStr">
        <is>
          <t>The misinformation effect</t>
        </is>
      </c>
      <c r="C114" s="83" t="inlineStr">
        <is>
          <t>Idea</t>
        </is>
      </c>
      <c r="D114" s="83" t="inlineStr">
        <is>
          <t>Curiosity gap</t>
        </is>
      </c>
      <c r="E114" s="83" t="inlineStr">
        <is>
          <t>II · Confrontation</t>
        </is>
      </c>
      <c r="F114" s="83" t="inlineStr">
        <is>
          <t>Turn</t>
        </is>
      </c>
      <c r="G114" s="83" t="inlineStr">
        <is>
          <t>22–26s</t>
        </is>
      </c>
      <c r="H114" s="84" t="inlineStr">
        <is>
          <t>But a week later, 32 percent of the 'smashed' group remembered broken glass. There was none.</t>
        </is>
      </c>
      <c r="I114" s="84" t="inlineStr">
        <is>
          <t>32% SAW GLASS THAT WASN'T THERE</t>
        </is>
      </c>
      <c r="J114" s="84" t="n"/>
    </row>
    <row r="115" ht="15" customHeight="1" s="62">
      <c r="A115" s="83" t="n">
        <v>16</v>
      </c>
      <c r="B115" s="84" t="inlineStr">
        <is>
          <t>The misinformation effect</t>
        </is>
      </c>
      <c r="C115" s="83" t="inlineStr">
        <is>
          <t>Idea</t>
        </is>
      </c>
      <c r="D115" s="83" t="inlineStr">
        <is>
          <t>Curiosity gap</t>
        </is>
      </c>
      <c r="E115" s="83" t="inlineStr">
        <is>
          <t>III · Resolution</t>
        </is>
      </c>
      <c r="F115" s="83" t="inlineStr">
        <is>
          <t>Payoff</t>
        </is>
      </c>
      <c r="G115" s="83" t="inlineStr">
        <is>
          <t>26–32s</t>
        </is>
      </c>
      <c r="H115" s="84" t="inlineStr">
        <is>
          <t>That's the misinformation effect. A question can rewrite a memory.</t>
        </is>
      </c>
      <c r="I115" s="84" t="inlineStr">
        <is>
          <t>THE MISINFORMATION EFFECT</t>
        </is>
      </c>
      <c r="J115" s="84" t="n"/>
    </row>
    <row r="116" ht="23.85" customHeight="1" s="62">
      <c r="A116" s="86" t="n">
        <v>16</v>
      </c>
      <c r="B116" s="87" t="inlineStr">
        <is>
          <t>The misinformation effect</t>
        </is>
      </c>
      <c r="C116" s="86" t="inlineStr">
        <is>
          <t>Idea</t>
        </is>
      </c>
      <c r="D116" s="86" t="inlineStr">
        <is>
          <t>Curiosity gap</t>
        </is>
      </c>
      <c r="E116" s="86" t="inlineStr">
        <is>
          <t>III · Resolution</t>
        </is>
      </c>
      <c r="F116" s="86" t="inlineStr">
        <is>
          <t>Outro</t>
        </is>
      </c>
      <c r="G116" s="86" t="inlineStr">
        <is>
          <t>32–36s</t>
        </is>
      </c>
      <c r="H116" s="87" t="inlineStr">
        <is>
          <t>When you ask someone what happened, keep your questions neutral. Save this, it matters in every argument.</t>
        </is>
      </c>
      <c r="I116" s="87" t="inlineStr">
        <is>
          <t>ASK NEUTRAL QUESTIONS</t>
        </is>
      </c>
      <c r="J116" s="87" t="n"/>
    </row>
    <row r="117" ht="23.85" customHeight="1" s="62">
      <c r="A117" s="78" t="n">
        <v>17</v>
      </c>
      <c r="B117" s="79" t="inlineStr">
        <is>
          <t>Tip-of-the-tongue moments</t>
        </is>
      </c>
      <c r="C117" s="78" t="inlineStr">
        <is>
          <t>Idea</t>
        </is>
      </c>
      <c r="D117" s="78" t="inlineStr">
        <is>
          <t>You-callout</t>
        </is>
      </c>
      <c r="E117" s="78" t="inlineStr">
        <is>
          <t>I · Setup</t>
        </is>
      </c>
      <c r="F117" s="78" t="inlineStr">
        <is>
          <t>Hook</t>
        </is>
      </c>
      <c r="G117" s="78" t="inlineStr">
        <is>
          <t>0–3s</t>
        </is>
      </c>
      <c r="H117" s="80" t="inlineStr">
        <is>
          <t>You know the word. It's right there. Why won't it come out?</t>
        </is>
      </c>
      <c r="I117" s="79" t="inlineStr">
        <is>
          <t>IT'S RIGHT THERE... | empty speech bubble</t>
        </is>
      </c>
      <c r="J117" s="79" t="inlineStr">
        <is>
          <t>Brown &amp; McNeill 1966: people could often recall first letter and syllable count</t>
        </is>
      </c>
    </row>
    <row r="118" ht="15" customHeight="1" s="62">
      <c r="A118" s="78" t="n">
        <v>17</v>
      </c>
      <c r="B118" s="79" t="inlineStr">
        <is>
          <t>Tip-of-the-tongue moments</t>
        </is>
      </c>
      <c r="C118" s="78" t="inlineStr">
        <is>
          <t>Idea</t>
        </is>
      </c>
      <c r="D118" s="78" t="inlineStr">
        <is>
          <t>You-callout</t>
        </is>
      </c>
      <c r="E118" s="78" t="inlineStr">
        <is>
          <t>I · Setup</t>
        </is>
      </c>
      <c r="F118" s="78" t="inlineStr">
        <is>
          <t>Setup</t>
        </is>
      </c>
      <c r="G118" s="78" t="inlineStr">
        <is>
          <t>3–8s</t>
        </is>
      </c>
      <c r="H118" s="79" t="inlineStr">
        <is>
          <t>You can feel the shape of it, the first letter, maybe how long it is.</t>
        </is>
      </c>
      <c r="I118" s="79" t="inlineStr">
        <is>
          <t>S _ _ _ _ _ _ (3 syllables?)</t>
        </is>
      </c>
      <c r="J118" s="79" t="n"/>
    </row>
    <row r="119" ht="23.85" customHeight="1" s="62">
      <c r="A119" s="78" t="n">
        <v>17</v>
      </c>
      <c r="B119" s="79" t="inlineStr">
        <is>
          <t>Tip-of-the-tongue moments</t>
        </is>
      </c>
      <c r="C119" s="78" t="inlineStr">
        <is>
          <t>Idea</t>
        </is>
      </c>
      <c r="D119" s="78" t="inlineStr">
        <is>
          <t>You-callout</t>
        </is>
      </c>
      <c r="E119" s="78" t="inlineStr">
        <is>
          <t>II · Confrontation</t>
        </is>
      </c>
      <c r="F119" s="78" t="inlineStr">
        <is>
          <t>Evidence</t>
        </is>
      </c>
      <c r="G119" s="78" t="inlineStr">
        <is>
          <t>8–15s</t>
        </is>
      </c>
      <c r="H119" s="79" t="inlineStr">
        <is>
          <t>In 1966, Roger Brown and David McNeill read people definitions of rare words.</t>
        </is>
      </c>
      <c r="I119" s="79" t="inlineStr">
        <is>
          <t>BROWN &amp; MCNEILL, 1966 | dictionary</t>
        </is>
      </c>
      <c r="J119" s="79" t="n"/>
    </row>
    <row r="120" ht="15" customHeight="1" s="62">
      <c r="A120" s="78" t="n">
        <v>17</v>
      </c>
      <c r="B120" s="79" t="inlineStr">
        <is>
          <t>Tip-of-the-tongue moments</t>
        </is>
      </c>
      <c r="C120" s="78" t="inlineStr">
        <is>
          <t>Idea</t>
        </is>
      </c>
      <c r="D120" s="78" t="inlineStr">
        <is>
          <t>You-callout</t>
        </is>
      </c>
      <c r="E120" s="78" t="inlineStr">
        <is>
          <t>II · Confrontation</t>
        </is>
      </c>
      <c r="F120" s="78" t="inlineStr">
        <is>
          <t>Escalation</t>
        </is>
      </c>
      <c r="G120" s="78" t="inlineStr">
        <is>
          <t>15–22s</t>
        </is>
      </c>
      <c r="H120" s="79" t="inlineStr">
        <is>
          <t>Stuck people could often guess the first letter and number of syllables.</t>
        </is>
      </c>
      <c r="I120" s="79" t="inlineStr">
        <is>
          <t>first letter ✓ | syllables ✓ | word ✗</t>
        </is>
      </c>
      <c r="J120" s="79" t="n"/>
    </row>
    <row r="121" ht="15" customHeight="1" s="62">
      <c r="A121" s="78" t="n">
        <v>17</v>
      </c>
      <c r="B121" s="79" t="inlineStr">
        <is>
          <t>Tip-of-the-tongue moments</t>
        </is>
      </c>
      <c r="C121" s="78" t="inlineStr">
        <is>
          <t>Idea</t>
        </is>
      </c>
      <c r="D121" s="78" t="inlineStr">
        <is>
          <t>You-callout</t>
        </is>
      </c>
      <c r="E121" s="78" t="inlineStr">
        <is>
          <t>II · Confrontation</t>
        </is>
      </c>
      <c r="F121" s="78" t="inlineStr">
        <is>
          <t>Turn</t>
        </is>
      </c>
      <c r="G121" s="78" t="inlineStr">
        <is>
          <t>22–26s</t>
        </is>
      </c>
      <c r="H121" s="79" t="inlineStr">
        <is>
          <t>But here's the twist: the meaning is stored, the sound link is what's failing.</t>
        </is>
      </c>
      <c r="I121" s="79" t="inlineStr">
        <is>
          <t>MEANING ✓ | SOUND ✗</t>
        </is>
      </c>
      <c r="J121" s="79" t="n"/>
    </row>
    <row r="122" ht="15" customHeight="1" s="62">
      <c r="A122" s="78" t="n">
        <v>17</v>
      </c>
      <c r="B122" s="79" t="inlineStr">
        <is>
          <t>Tip-of-the-tongue moments</t>
        </is>
      </c>
      <c r="C122" s="78" t="inlineStr">
        <is>
          <t>Idea</t>
        </is>
      </c>
      <c r="D122" s="78" t="inlineStr">
        <is>
          <t>You-callout</t>
        </is>
      </c>
      <c r="E122" s="78" t="inlineStr">
        <is>
          <t>III · Resolution</t>
        </is>
      </c>
      <c r="F122" s="78" t="inlineStr">
        <is>
          <t>Payoff</t>
        </is>
      </c>
      <c r="G122" s="78" t="inlineStr">
        <is>
          <t>26–32s</t>
        </is>
      </c>
      <c r="H122" s="79" t="inlineStr">
        <is>
          <t>It's the tip-of-the-tongue state.</t>
        </is>
      </c>
      <c r="I122" s="79" t="inlineStr">
        <is>
          <t>TIP-OF-THE-TONGUE</t>
        </is>
      </c>
      <c r="J122" s="79" t="n"/>
    </row>
    <row r="123" ht="23.85" customHeight="1" s="62">
      <c r="A123" s="81" t="n">
        <v>17</v>
      </c>
      <c r="B123" s="82" t="inlineStr">
        <is>
          <t>Tip-of-the-tongue moments</t>
        </is>
      </c>
      <c r="C123" s="81" t="inlineStr">
        <is>
          <t>Idea</t>
        </is>
      </c>
      <c r="D123" s="81" t="inlineStr">
        <is>
          <t>You-callout</t>
        </is>
      </c>
      <c r="E123" s="81" t="inlineStr">
        <is>
          <t>III · Resolution</t>
        </is>
      </c>
      <c r="F123" s="81" t="inlineStr">
        <is>
          <t>Outro</t>
        </is>
      </c>
      <c r="G123" s="81" t="inlineStr">
        <is>
          <t>32–36s</t>
        </is>
      </c>
      <c r="H123" s="82" t="inlineStr">
        <is>
          <t>Stop forcing it and think of related words or the first sound; it often pops up. Follow for more memory quirks.</t>
        </is>
      </c>
      <c r="I123" s="82" t="inlineStr">
        <is>
          <t>STOP FORCING IT</t>
        </is>
      </c>
      <c r="J123" s="82" t="n"/>
    </row>
    <row r="124" ht="23.85" customHeight="1" s="62">
      <c r="A124" s="83" t="n">
        <v>18</v>
      </c>
      <c r="B124" s="84" t="inlineStr">
        <is>
          <t>The serial-position effect</t>
        </is>
      </c>
      <c r="C124" s="83" t="inlineStr">
        <is>
          <t>Scripted</t>
        </is>
      </c>
      <c r="D124" s="83" t="inlineStr">
        <is>
          <t>Pattern interrupt</t>
        </is>
      </c>
      <c r="E124" s="83" t="inlineStr">
        <is>
          <t>I · Setup</t>
        </is>
      </c>
      <c r="F124" s="83" t="inlineStr">
        <is>
          <t>Hook</t>
        </is>
      </c>
      <c r="G124" s="83" t="inlineStr">
        <is>
          <t>0–3s</t>
        </is>
      </c>
      <c r="H124" s="85" t="inlineStr">
        <is>
          <t>Remember these: apple, chair, river, candle, horse, piano, glove, rocket, lemon, clock.</t>
        </is>
      </c>
      <c r="I124" s="84" t="inlineStr">
        <is>
          <t>10 words flash one by one</t>
        </is>
      </c>
      <c r="J124" s="84" t="inlineStr">
        <is>
          <t>Murdock 1962: recall best for first and last list items</t>
        </is>
      </c>
    </row>
    <row r="125" ht="15" customHeight="1" s="62">
      <c r="A125" s="83" t="n">
        <v>18</v>
      </c>
      <c r="B125" s="84" t="inlineStr">
        <is>
          <t>The serial-position effect</t>
        </is>
      </c>
      <c r="C125" s="83" t="inlineStr">
        <is>
          <t>Scripted</t>
        </is>
      </c>
      <c r="D125" s="83" t="inlineStr">
        <is>
          <t>Pattern interrupt</t>
        </is>
      </c>
      <c r="E125" s="83" t="inlineStr">
        <is>
          <t>I · Setup</t>
        </is>
      </c>
      <c r="F125" s="83" t="inlineStr">
        <is>
          <t>Setup</t>
        </is>
      </c>
      <c r="G125" s="83" t="inlineStr">
        <is>
          <t>3–8s</t>
        </is>
      </c>
      <c r="H125" s="84" t="inlineStr">
        <is>
          <t>Now, without looking, which ones do you still have?</t>
        </is>
      </c>
      <c r="I125" s="84" t="inlineStr">
        <is>
          <t>WHICH DO YOU REMEMBER?</t>
        </is>
      </c>
      <c r="J125" s="84" t="n"/>
    </row>
    <row r="126" ht="15" customHeight="1" s="62">
      <c r="A126" s="83" t="n">
        <v>18</v>
      </c>
      <c r="B126" s="84" t="inlineStr">
        <is>
          <t>The serial-position effect</t>
        </is>
      </c>
      <c r="C126" s="83" t="inlineStr">
        <is>
          <t>Scripted</t>
        </is>
      </c>
      <c r="D126" s="83" t="inlineStr">
        <is>
          <t>Pattern interrupt</t>
        </is>
      </c>
      <c r="E126" s="83" t="inlineStr">
        <is>
          <t>II · Confrontation</t>
        </is>
      </c>
      <c r="F126" s="83" t="inlineStr">
        <is>
          <t>Evidence</t>
        </is>
      </c>
      <c r="G126" s="83" t="inlineStr">
        <is>
          <t>8–15s</t>
        </is>
      </c>
      <c r="H126" s="84" t="inlineStr">
        <is>
          <t>Most people get apple and clock, and lose the middle.</t>
        </is>
      </c>
      <c r="I126" s="84" t="inlineStr">
        <is>
          <t>APPLE ✓ ... (blur) ... CLOCK ✓</t>
        </is>
      </c>
      <c r="J126" s="84" t="n"/>
    </row>
    <row r="127" ht="15" customHeight="1" s="62">
      <c r="A127" s="83" t="n">
        <v>18</v>
      </c>
      <c r="B127" s="84" t="inlineStr">
        <is>
          <t>The serial-position effect</t>
        </is>
      </c>
      <c r="C127" s="83" t="inlineStr">
        <is>
          <t>Scripted</t>
        </is>
      </c>
      <c r="D127" s="83" t="inlineStr">
        <is>
          <t>Pattern interrupt</t>
        </is>
      </c>
      <c r="E127" s="83" t="inlineStr">
        <is>
          <t>II · Confrontation</t>
        </is>
      </c>
      <c r="F127" s="83" t="inlineStr">
        <is>
          <t>Escalation</t>
        </is>
      </c>
      <c r="G127" s="83" t="inlineStr">
        <is>
          <t>15–22s</t>
        </is>
      </c>
      <c r="H127" s="84" t="inlineStr">
        <is>
          <t>In 1962, Bennet Murdock found the same U-shape across lists of words.</t>
        </is>
      </c>
      <c r="I127" s="84" t="inlineStr">
        <is>
          <t>MURDOCK, 1962 | U-shaped curve</t>
        </is>
      </c>
      <c r="J127" s="84" t="n"/>
    </row>
    <row r="128" ht="23.85" customHeight="1" s="62">
      <c r="A128" s="83" t="n">
        <v>18</v>
      </c>
      <c r="B128" s="84" t="inlineStr">
        <is>
          <t>The serial-position effect</t>
        </is>
      </c>
      <c r="C128" s="83" t="inlineStr">
        <is>
          <t>Scripted</t>
        </is>
      </c>
      <c r="D128" s="83" t="inlineStr">
        <is>
          <t>Pattern interrupt</t>
        </is>
      </c>
      <c r="E128" s="83" t="inlineStr">
        <is>
          <t>II · Confrontation</t>
        </is>
      </c>
      <c r="F128" s="83" t="inlineStr">
        <is>
          <t>Turn</t>
        </is>
      </c>
      <c r="G128" s="83" t="inlineStr">
        <is>
          <t>22–26s</t>
        </is>
      </c>
      <c r="H128" s="84" t="inlineStr">
        <is>
          <t>But it's not random: the first items get rehearsed, the last are still in working memory.</t>
        </is>
      </c>
      <c r="I128" s="84" t="inlineStr">
        <is>
          <t>FIRST = rehearsed | LAST = still fresh</t>
        </is>
      </c>
      <c r="J128" s="84" t="n"/>
    </row>
    <row r="129" ht="15" customHeight="1" s="62">
      <c r="A129" s="83" t="n">
        <v>18</v>
      </c>
      <c r="B129" s="84" t="inlineStr">
        <is>
          <t>The serial-position effect</t>
        </is>
      </c>
      <c r="C129" s="83" t="inlineStr">
        <is>
          <t>Scripted</t>
        </is>
      </c>
      <c r="D129" s="83" t="inlineStr">
        <is>
          <t>Pattern interrupt</t>
        </is>
      </c>
      <c r="E129" s="83" t="inlineStr">
        <is>
          <t>III · Resolution</t>
        </is>
      </c>
      <c r="F129" s="83" t="inlineStr">
        <is>
          <t>Payoff</t>
        </is>
      </c>
      <c r="G129" s="83" t="inlineStr">
        <is>
          <t>26–32s</t>
        </is>
      </c>
      <c r="H129" s="84" t="inlineStr">
        <is>
          <t>It's the serial-position effect.</t>
        </is>
      </c>
      <c r="I129" s="84" t="inlineStr">
        <is>
          <t>THE SERIAL-POSITION EFFECT</t>
        </is>
      </c>
      <c r="J129" s="84" t="n"/>
    </row>
    <row r="130" ht="23.85" customHeight="1" s="62">
      <c r="A130" s="86" t="n">
        <v>18</v>
      </c>
      <c r="B130" s="87" t="inlineStr">
        <is>
          <t>The serial-position effect</t>
        </is>
      </c>
      <c r="C130" s="86" t="inlineStr">
        <is>
          <t>Scripted</t>
        </is>
      </c>
      <c r="D130" s="86" t="inlineStr">
        <is>
          <t>Pattern interrupt</t>
        </is>
      </c>
      <c r="E130" s="86" t="inlineStr">
        <is>
          <t>III · Resolution</t>
        </is>
      </c>
      <c r="F130" s="86" t="inlineStr">
        <is>
          <t>Outro</t>
        </is>
      </c>
      <c r="G130" s="86" t="inlineStr">
        <is>
          <t>32–36s</t>
        </is>
      </c>
      <c r="H130" s="87" t="inlineStr">
        <is>
          <t>Put your strongest point first or last in any pitch. Save this for your next presentation.</t>
        </is>
      </c>
      <c r="I130" s="87" t="inlineStr">
        <is>
          <t>BEST POINT: FIRST OR LAST</t>
        </is>
      </c>
      <c r="J130" s="87" t="n"/>
    </row>
    <row r="131" ht="35.05" customHeight="1" s="62">
      <c r="A131" s="78" t="n">
        <v>19</v>
      </c>
      <c r="B131" s="79" t="inlineStr">
        <is>
          <t>Context and recall</t>
        </is>
      </c>
      <c r="C131" s="78" t="inlineStr">
        <is>
          <t>Idea</t>
        </is>
      </c>
      <c r="D131" s="78" t="inlineStr">
        <is>
          <t>Study reveal</t>
        </is>
      </c>
      <c r="E131" s="78" t="inlineStr">
        <is>
          <t>I · Setup</t>
        </is>
      </c>
      <c r="F131" s="78" t="inlineStr">
        <is>
          <t>Hook</t>
        </is>
      </c>
      <c r="G131" s="78" t="inlineStr">
        <is>
          <t>0–3s</t>
        </is>
      </c>
      <c r="H131" s="80" t="inlineStr">
        <is>
          <t>Divers remembered more underwater, if that's where they learned it.</t>
        </is>
      </c>
      <c r="I131" s="79" t="inlineStr">
        <is>
          <t>UNDERWATER MEMORY | diver with word list</t>
        </is>
      </c>
      <c r="J131" s="79" t="inlineStr">
        <is>
          <t>Godden &amp; Baddeley 1975: divers recalled better in learning environment; Radvansky 2011 doorway effect</t>
        </is>
      </c>
    </row>
    <row r="132" ht="23.85" customHeight="1" s="62">
      <c r="A132" s="78" t="n">
        <v>19</v>
      </c>
      <c r="B132" s="79" t="inlineStr">
        <is>
          <t>Context and recall</t>
        </is>
      </c>
      <c r="C132" s="78" t="inlineStr">
        <is>
          <t>Idea</t>
        </is>
      </c>
      <c r="D132" s="78" t="inlineStr">
        <is>
          <t>Study reveal</t>
        </is>
      </c>
      <c r="E132" s="78" t="inlineStr">
        <is>
          <t>I · Setup</t>
        </is>
      </c>
      <c r="F132" s="78" t="inlineStr">
        <is>
          <t>Setup</t>
        </is>
      </c>
      <c r="G132" s="78" t="inlineStr">
        <is>
          <t>3–8s</t>
        </is>
      </c>
      <c r="H132" s="79" t="inlineStr">
        <is>
          <t>In 1975, Duncan Godden and Alan Baddeley had divers learn words on land or underwater.</t>
        </is>
      </c>
      <c r="I132" s="79" t="inlineStr">
        <is>
          <t>GODDEN &amp; BADDELEY, 1975 | beach vs sea</t>
        </is>
      </c>
      <c r="J132" s="79" t="n"/>
    </row>
    <row r="133" ht="15" customHeight="1" s="62">
      <c r="A133" s="78" t="n">
        <v>19</v>
      </c>
      <c r="B133" s="79" t="inlineStr">
        <is>
          <t>Context and recall</t>
        </is>
      </c>
      <c r="C133" s="78" t="inlineStr">
        <is>
          <t>Idea</t>
        </is>
      </c>
      <c r="D133" s="78" t="inlineStr">
        <is>
          <t>Study reveal</t>
        </is>
      </c>
      <c r="E133" s="78" t="inlineStr">
        <is>
          <t>II · Confrontation</t>
        </is>
      </c>
      <c r="F133" s="78" t="inlineStr">
        <is>
          <t>Evidence</t>
        </is>
      </c>
      <c r="G133" s="78" t="inlineStr">
        <is>
          <t>8–15s</t>
        </is>
      </c>
      <c r="H133" s="79" t="inlineStr">
        <is>
          <t>Recall was better when they were tested in the same place they learned.</t>
        </is>
      </c>
      <c r="I133" s="79" t="inlineStr">
        <is>
          <t>SAME PLACE = BETTER RECALL</t>
        </is>
      </c>
      <c r="J133" s="79" t="n"/>
    </row>
    <row r="134" ht="15" customHeight="1" s="62">
      <c r="A134" s="78" t="n">
        <v>19</v>
      </c>
      <c r="B134" s="79" t="inlineStr">
        <is>
          <t>Context and recall</t>
        </is>
      </c>
      <c r="C134" s="78" t="inlineStr">
        <is>
          <t>Idea</t>
        </is>
      </c>
      <c r="D134" s="78" t="inlineStr">
        <is>
          <t>Study reveal</t>
        </is>
      </c>
      <c r="E134" s="78" t="inlineStr">
        <is>
          <t>II · Confrontation</t>
        </is>
      </c>
      <c r="F134" s="78" t="inlineStr">
        <is>
          <t>Escalation</t>
        </is>
      </c>
      <c r="G134" s="78" t="inlineStr">
        <is>
          <t>15–22s</t>
        </is>
      </c>
      <c r="H134" s="79" t="inlineStr">
        <is>
          <t>And walking through a doorway can make you forget why you came in.</t>
        </is>
      </c>
      <c r="I134" s="79" t="inlineStr">
        <is>
          <t>walks through door: '...why am I here?'</t>
        </is>
      </c>
      <c r="J134" s="79" t="n"/>
    </row>
    <row r="135" ht="15" customHeight="1" s="62">
      <c r="A135" s="78" t="n">
        <v>19</v>
      </c>
      <c r="B135" s="79" t="inlineStr">
        <is>
          <t>Context and recall</t>
        </is>
      </c>
      <c r="C135" s="78" t="inlineStr">
        <is>
          <t>Idea</t>
        </is>
      </c>
      <c r="D135" s="78" t="inlineStr">
        <is>
          <t>Study reveal</t>
        </is>
      </c>
      <c r="E135" s="78" t="inlineStr">
        <is>
          <t>II · Confrontation</t>
        </is>
      </c>
      <c r="F135" s="78" t="inlineStr">
        <is>
          <t>Turn</t>
        </is>
      </c>
      <c r="G135" s="78" t="inlineStr">
        <is>
          <t>22–26s</t>
        </is>
      </c>
      <c r="H135" s="79" t="inlineStr">
        <is>
          <t>But go back to where you were, and the memory often comes right back.</t>
        </is>
      </c>
      <c r="I135" s="79" t="inlineStr">
        <is>
          <t>WALK BACK → IT RETURNS</t>
        </is>
      </c>
      <c r="J135" s="79" t="n"/>
    </row>
    <row r="136" ht="15" customHeight="1" s="62">
      <c r="A136" s="78" t="n">
        <v>19</v>
      </c>
      <c r="B136" s="79" t="inlineStr">
        <is>
          <t>Context and recall</t>
        </is>
      </c>
      <c r="C136" s="78" t="inlineStr">
        <is>
          <t>Idea</t>
        </is>
      </c>
      <c r="D136" s="78" t="inlineStr">
        <is>
          <t>Study reveal</t>
        </is>
      </c>
      <c r="E136" s="78" t="inlineStr">
        <is>
          <t>III · Resolution</t>
        </is>
      </c>
      <c r="F136" s="78" t="inlineStr">
        <is>
          <t>Payoff</t>
        </is>
      </c>
      <c r="G136" s="78" t="inlineStr">
        <is>
          <t>26–32s</t>
        </is>
      </c>
      <c r="H136" s="79" t="inlineStr">
        <is>
          <t>Your surroundings are memory cues. That's context-dependent memory.</t>
        </is>
      </c>
      <c r="I136" s="79" t="inlineStr">
        <is>
          <t>CONTEXT-DEPENDENT MEMORY</t>
        </is>
      </c>
      <c r="J136" s="79" t="n"/>
    </row>
    <row r="137" ht="23.85" customHeight="1" s="62">
      <c r="A137" s="81" t="n">
        <v>19</v>
      </c>
      <c r="B137" s="82" t="inlineStr">
        <is>
          <t>Context and recall</t>
        </is>
      </c>
      <c r="C137" s="81" t="inlineStr">
        <is>
          <t>Idea</t>
        </is>
      </c>
      <c r="D137" s="81" t="inlineStr">
        <is>
          <t>Study reveal</t>
        </is>
      </c>
      <c r="E137" s="81" t="inlineStr">
        <is>
          <t>III · Resolution</t>
        </is>
      </c>
      <c r="F137" s="81" t="inlineStr">
        <is>
          <t>Outro</t>
        </is>
      </c>
      <c r="G137" s="81" t="inlineStr">
        <is>
          <t>32–36s</t>
        </is>
      </c>
      <c r="H137" s="82" t="inlineStr">
        <is>
          <t>Forgot something? Retrace your steps physically. Follow, tomorrow's memory trick is even stranger.</t>
        </is>
      </c>
      <c r="I137" s="82" t="inlineStr">
        <is>
          <t>RETRACE YOUR STEPS</t>
        </is>
      </c>
      <c r="J137" s="82" t="n"/>
    </row>
    <row r="138" ht="23.85" customHeight="1" s="62">
      <c r="A138" s="83" t="n">
        <v>20</v>
      </c>
      <c r="B138" s="84" t="inlineStr">
        <is>
          <t>The illusion of understanding</t>
        </is>
      </c>
      <c r="C138" s="83" t="inlineStr">
        <is>
          <t>Idea</t>
        </is>
      </c>
      <c r="D138" s="83" t="inlineStr">
        <is>
          <t>Forced choice</t>
        </is>
      </c>
      <c r="E138" s="83" t="inlineStr">
        <is>
          <t>I · Setup</t>
        </is>
      </c>
      <c r="F138" s="83" t="inlineStr">
        <is>
          <t>Hook</t>
        </is>
      </c>
      <c r="G138" s="83" t="inlineStr">
        <is>
          <t>0–3s</t>
        </is>
      </c>
      <c r="H138" s="85" t="inlineStr">
        <is>
          <t>You use a zipper every day. Can you explain how it works? Right now.</t>
        </is>
      </c>
      <c r="I138" s="84" t="inlineStr">
        <is>
          <t>EXPLAIN A ZIPPER | zipper close-up</t>
        </is>
      </c>
      <c r="J138" s="84" t="inlineStr">
        <is>
          <t>Rozenblit &amp; Keil 2002: ratings of understanding dropped after trying to explain</t>
        </is>
      </c>
    </row>
    <row r="139" ht="15" customHeight="1" s="62">
      <c r="A139" s="83" t="n">
        <v>20</v>
      </c>
      <c r="B139" s="84" t="inlineStr">
        <is>
          <t>The illusion of understanding</t>
        </is>
      </c>
      <c r="C139" s="83" t="inlineStr">
        <is>
          <t>Idea</t>
        </is>
      </c>
      <c r="D139" s="83" t="inlineStr">
        <is>
          <t>Forced choice</t>
        </is>
      </c>
      <c r="E139" s="83" t="inlineStr">
        <is>
          <t>I · Setup</t>
        </is>
      </c>
      <c r="F139" s="83" t="inlineStr">
        <is>
          <t>Setup</t>
        </is>
      </c>
      <c r="G139" s="83" t="inlineStr">
        <is>
          <t>3–8s</t>
        </is>
      </c>
      <c r="H139" s="84" t="inlineStr">
        <is>
          <t>Most people rate their understanding pretty high, maybe a 5 out of 7.</t>
        </is>
      </c>
      <c r="I139" s="84" t="inlineStr">
        <is>
          <t>confidence meter: 5/7</t>
        </is>
      </c>
      <c r="J139" s="84" t="n"/>
    </row>
    <row r="140" ht="23.85" customHeight="1" s="62">
      <c r="A140" s="83" t="n">
        <v>20</v>
      </c>
      <c r="B140" s="84" t="inlineStr">
        <is>
          <t>The illusion of understanding</t>
        </is>
      </c>
      <c r="C140" s="83" t="inlineStr">
        <is>
          <t>Idea</t>
        </is>
      </c>
      <c r="D140" s="83" t="inlineStr">
        <is>
          <t>Forced choice</t>
        </is>
      </c>
      <c r="E140" s="83" t="inlineStr">
        <is>
          <t>II · Confrontation</t>
        </is>
      </c>
      <c r="F140" s="83" t="inlineStr">
        <is>
          <t>Evidence</t>
        </is>
      </c>
      <c r="G140" s="83" t="inlineStr">
        <is>
          <t>8–15s</t>
        </is>
      </c>
      <c r="H140" s="84" t="inlineStr">
        <is>
          <t>In 2002, Leonid Rozenblit and Frank Keil asked people to actually write the explanation.</t>
        </is>
      </c>
      <c r="I140" s="84" t="inlineStr">
        <is>
          <t>ROZENBLIT &amp; KEIL, 2002 | blank page</t>
        </is>
      </c>
      <c r="J140" s="84" t="n"/>
    </row>
    <row r="141" ht="15" customHeight="1" s="62">
      <c r="A141" s="83" t="n">
        <v>20</v>
      </c>
      <c r="B141" s="84" t="inlineStr">
        <is>
          <t>The illusion of understanding</t>
        </is>
      </c>
      <c r="C141" s="83" t="inlineStr">
        <is>
          <t>Idea</t>
        </is>
      </c>
      <c r="D141" s="83" t="inlineStr">
        <is>
          <t>Forced choice</t>
        </is>
      </c>
      <c r="E141" s="83" t="inlineStr">
        <is>
          <t>II · Confrontation</t>
        </is>
      </c>
      <c r="F141" s="83" t="inlineStr">
        <is>
          <t>Escalation</t>
        </is>
      </c>
      <c r="G141" s="83" t="inlineStr">
        <is>
          <t>15–22s</t>
        </is>
      </c>
      <c r="H141" s="84" t="inlineStr">
        <is>
          <t>Ratings dropped sharply once people tried. The gaps became obvious.</t>
        </is>
      </c>
      <c r="I141" s="84" t="inlineStr">
        <is>
          <t>5/7 → 3/7 ⬇</t>
        </is>
      </c>
      <c r="J141" s="84" t="n"/>
    </row>
    <row r="142" ht="15" customHeight="1" s="62">
      <c r="A142" s="83" t="n">
        <v>20</v>
      </c>
      <c r="B142" s="84" t="inlineStr">
        <is>
          <t>The illusion of understanding</t>
        </is>
      </c>
      <c r="C142" s="83" t="inlineStr">
        <is>
          <t>Idea</t>
        </is>
      </c>
      <c r="D142" s="83" t="inlineStr">
        <is>
          <t>Forced choice</t>
        </is>
      </c>
      <c r="E142" s="83" t="inlineStr">
        <is>
          <t>II · Confrontation</t>
        </is>
      </c>
      <c r="F142" s="83" t="inlineStr">
        <is>
          <t>Turn</t>
        </is>
      </c>
      <c r="G142" s="83" t="inlineStr">
        <is>
          <t>22–26s</t>
        </is>
      </c>
      <c r="H142" s="84" t="inlineStr">
        <is>
          <t>But this isn't just zippers. It happens with toilets, laws and politics too.</t>
        </is>
      </c>
      <c r="I142" s="84" t="inlineStr">
        <is>
          <t>TOILETS. LAWS. POLITICS.</t>
        </is>
      </c>
      <c r="J142" s="84" t="n"/>
    </row>
    <row r="143" ht="15" customHeight="1" s="62">
      <c r="A143" s="83" t="n">
        <v>20</v>
      </c>
      <c r="B143" s="84" t="inlineStr">
        <is>
          <t>The illusion of understanding</t>
        </is>
      </c>
      <c r="C143" s="83" t="inlineStr">
        <is>
          <t>Idea</t>
        </is>
      </c>
      <c r="D143" s="83" t="inlineStr">
        <is>
          <t>Forced choice</t>
        </is>
      </c>
      <c r="E143" s="83" t="inlineStr">
        <is>
          <t>III · Resolution</t>
        </is>
      </c>
      <c r="F143" s="83" t="inlineStr">
        <is>
          <t>Payoff</t>
        </is>
      </c>
      <c r="G143" s="83" t="inlineStr">
        <is>
          <t>26–32s</t>
        </is>
      </c>
      <c r="H143" s="84" t="inlineStr">
        <is>
          <t>It's the illusion of explanatory depth.</t>
        </is>
      </c>
      <c r="I143" s="84" t="inlineStr">
        <is>
          <t>THE ILLUSION OF EXPLANATORY DEPTH</t>
        </is>
      </c>
      <c r="J143" s="84" t="n"/>
    </row>
    <row r="144" ht="23.85" customHeight="1" s="62">
      <c r="A144" s="86" t="n">
        <v>20</v>
      </c>
      <c r="B144" s="87" t="inlineStr">
        <is>
          <t>The illusion of understanding</t>
        </is>
      </c>
      <c r="C144" s="86" t="inlineStr">
        <is>
          <t>Idea</t>
        </is>
      </c>
      <c r="D144" s="86" t="inlineStr">
        <is>
          <t>Forced choice</t>
        </is>
      </c>
      <c r="E144" s="86" t="inlineStr">
        <is>
          <t>III · Resolution</t>
        </is>
      </c>
      <c r="F144" s="86" t="inlineStr">
        <is>
          <t>Outro</t>
        </is>
      </c>
      <c r="G144" s="86" t="inlineStr">
        <is>
          <t>32–36s</t>
        </is>
      </c>
      <c r="H144" s="87" t="inlineStr">
        <is>
          <t>Before arguing a strong opinion, try explaining step by step how it works. Save this for your next debate.</t>
        </is>
      </c>
      <c r="I144" s="87" t="inlineStr">
        <is>
          <t>EXPLAIN IT STEP BY STEP</t>
        </is>
      </c>
      <c r="J144" s="87" t="n"/>
    </row>
    <row r="145" ht="23.85" customHeight="1" s="62">
      <c r="A145" s="78" t="n">
        <v>21</v>
      </c>
      <c r="B145" s="79" t="inlineStr">
        <is>
          <t>The Stroop challenge</t>
        </is>
      </c>
      <c r="C145" s="78" t="inlineStr">
        <is>
          <t>Scripted</t>
        </is>
      </c>
      <c r="D145" s="78" t="inlineStr">
        <is>
          <t>Pattern interrupt</t>
        </is>
      </c>
      <c r="E145" s="78" t="inlineStr">
        <is>
          <t>I · Setup</t>
        </is>
      </c>
      <c r="F145" s="78" t="inlineStr">
        <is>
          <t>Hook</t>
        </is>
      </c>
      <c r="G145" s="78" t="inlineStr">
        <is>
          <t>0–3s</t>
        </is>
      </c>
      <c r="H145" s="80" t="inlineStr">
        <is>
          <t>Say the colour of the ink, not the word. Go.</t>
        </is>
      </c>
      <c r="I145" s="79" t="inlineStr">
        <is>
          <t>RED (in blue) | GREEN (in red)</t>
        </is>
      </c>
      <c r="J145" s="79" t="inlineStr">
        <is>
          <t>Stroop 1935: naming ink colour slower when word names a different colour</t>
        </is>
      </c>
    </row>
    <row r="146" ht="15" customHeight="1" s="62">
      <c r="A146" s="78" t="n">
        <v>21</v>
      </c>
      <c r="B146" s="79" t="inlineStr">
        <is>
          <t>The Stroop challenge</t>
        </is>
      </c>
      <c r="C146" s="78" t="inlineStr">
        <is>
          <t>Scripted</t>
        </is>
      </c>
      <c r="D146" s="78" t="inlineStr">
        <is>
          <t>Pattern interrupt</t>
        </is>
      </c>
      <c r="E146" s="78" t="inlineStr">
        <is>
          <t>I · Setup</t>
        </is>
      </c>
      <c r="F146" s="78" t="inlineStr">
        <is>
          <t>Setup</t>
        </is>
      </c>
      <c r="G146" s="78" t="inlineStr">
        <is>
          <t>3–8s</t>
        </is>
      </c>
      <c r="H146" s="79" t="inlineStr">
        <is>
          <t>Harder than it looks, right? You slowed down or slipped.</t>
        </is>
      </c>
      <c r="I146" s="79" t="inlineStr">
        <is>
          <t>slow-motion timer ticking</t>
        </is>
      </c>
      <c r="J146" s="79" t="n"/>
    </row>
    <row r="147" ht="23.85" customHeight="1" s="62">
      <c r="A147" s="78" t="n">
        <v>21</v>
      </c>
      <c r="B147" s="79" t="inlineStr">
        <is>
          <t>The Stroop challenge</t>
        </is>
      </c>
      <c r="C147" s="78" t="inlineStr">
        <is>
          <t>Scripted</t>
        </is>
      </c>
      <c r="D147" s="78" t="inlineStr">
        <is>
          <t>Pattern interrupt</t>
        </is>
      </c>
      <c r="E147" s="78" t="inlineStr">
        <is>
          <t>II · Confrontation</t>
        </is>
      </c>
      <c r="F147" s="78" t="inlineStr">
        <is>
          <t>Evidence</t>
        </is>
      </c>
      <c r="G147" s="78" t="inlineStr">
        <is>
          <t>8–15s</t>
        </is>
      </c>
      <c r="H147" s="79" t="inlineStr">
        <is>
          <t>In 1935, John Ridley Stroop showed people slow down when the word and ink clash.</t>
        </is>
      </c>
      <c r="I147" s="79" t="inlineStr">
        <is>
          <t>STROOP, 1935</t>
        </is>
      </c>
      <c r="J147" s="79" t="n"/>
    </row>
    <row r="148" ht="15" customHeight="1" s="62">
      <c r="A148" s="78" t="n">
        <v>21</v>
      </c>
      <c r="B148" s="79" t="inlineStr">
        <is>
          <t>The Stroop challenge</t>
        </is>
      </c>
      <c r="C148" s="78" t="inlineStr">
        <is>
          <t>Scripted</t>
        </is>
      </c>
      <c r="D148" s="78" t="inlineStr">
        <is>
          <t>Pattern interrupt</t>
        </is>
      </c>
      <c r="E148" s="78" t="inlineStr">
        <is>
          <t>II · Confrontation</t>
        </is>
      </c>
      <c r="F148" s="78" t="inlineStr">
        <is>
          <t>Escalation</t>
        </is>
      </c>
      <c r="G148" s="78" t="inlineStr">
        <is>
          <t>15–22s</t>
        </is>
      </c>
      <c r="H148" s="79" t="inlineStr">
        <is>
          <t>Reading is so automatic, your brain does it before you can stop it.</t>
        </is>
      </c>
      <c r="I148" s="79" t="inlineStr">
        <is>
          <t>READING = AUTOPILOT</t>
        </is>
      </c>
      <c r="J148" s="79" t="n"/>
    </row>
    <row r="149" ht="15" customHeight="1" s="62">
      <c r="A149" s="78" t="n">
        <v>21</v>
      </c>
      <c r="B149" s="79" t="inlineStr">
        <is>
          <t>The Stroop challenge</t>
        </is>
      </c>
      <c r="C149" s="78" t="inlineStr">
        <is>
          <t>Scripted</t>
        </is>
      </c>
      <c r="D149" s="78" t="inlineStr">
        <is>
          <t>Pattern interrupt</t>
        </is>
      </c>
      <c r="E149" s="78" t="inlineStr">
        <is>
          <t>II · Confrontation</t>
        </is>
      </c>
      <c r="F149" s="78" t="inlineStr">
        <is>
          <t>Turn</t>
        </is>
      </c>
      <c r="G149" s="78" t="inlineStr">
        <is>
          <t>22–26s</t>
        </is>
      </c>
      <c r="H149" s="79" t="inlineStr">
        <is>
          <t>But that clash shows two systems fighting: habit versus intention.</t>
        </is>
      </c>
      <c r="I149" s="79" t="inlineStr">
        <is>
          <t>HABIT vs INTENTION | tug of war</t>
        </is>
      </c>
      <c r="J149" s="79" t="n"/>
    </row>
    <row r="150" ht="15" customHeight="1" s="62">
      <c r="A150" s="78" t="n">
        <v>21</v>
      </c>
      <c r="B150" s="79" t="inlineStr">
        <is>
          <t>The Stroop challenge</t>
        </is>
      </c>
      <c r="C150" s="78" t="inlineStr">
        <is>
          <t>Scripted</t>
        </is>
      </c>
      <c r="D150" s="78" t="inlineStr">
        <is>
          <t>Pattern interrupt</t>
        </is>
      </c>
      <c r="E150" s="78" t="inlineStr">
        <is>
          <t>III · Resolution</t>
        </is>
      </c>
      <c r="F150" s="78" t="inlineStr">
        <is>
          <t>Payoff</t>
        </is>
      </c>
      <c r="G150" s="78" t="inlineStr">
        <is>
          <t>26–32s</t>
        </is>
      </c>
      <c r="H150" s="79" t="inlineStr">
        <is>
          <t>It's the Stroop effect.</t>
        </is>
      </c>
      <c r="I150" s="79" t="inlineStr">
        <is>
          <t>THE STROOP EFFECT</t>
        </is>
      </c>
      <c r="J150" s="79" t="n"/>
    </row>
    <row r="151" ht="15" customHeight="1" s="62">
      <c r="A151" s="81" t="n">
        <v>21</v>
      </c>
      <c r="B151" s="82" t="inlineStr">
        <is>
          <t>The Stroop challenge</t>
        </is>
      </c>
      <c r="C151" s="81" t="inlineStr">
        <is>
          <t>Scripted</t>
        </is>
      </c>
      <c r="D151" s="81" t="inlineStr">
        <is>
          <t>Pattern interrupt</t>
        </is>
      </c>
      <c r="E151" s="81" t="inlineStr">
        <is>
          <t>III · Resolution</t>
        </is>
      </c>
      <c r="F151" s="81" t="inlineStr">
        <is>
          <t>Outro</t>
        </is>
      </c>
      <c r="G151" s="81" t="inlineStr">
        <is>
          <t>32–36s</t>
        </is>
      </c>
      <c r="H151" s="82" t="inlineStr">
        <is>
          <t>Send this to a friend and time them. Follow for tomorrow's brain test.</t>
        </is>
      </c>
      <c r="I151" s="82" t="inlineStr">
        <is>
          <t>TIME A FRIEND ⏱</t>
        </is>
      </c>
      <c r="J151" s="82" t="n"/>
    </row>
    <row r="152" ht="23.85" customHeight="1" s="62">
      <c r="A152" s="83" t="n">
        <v>22</v>
      </c>
      <c r="B152" s="84" t="inlineStr">
        <is>
          <t>Inattentional blindness</t>
        </is>
      </c>
      <c r="C152" s="83" t="inlineStr">
        <is>
          <t>Published</t>
        </is>
      </c>
      <c r="D152" s="83" t="inlineStr">
        <is>
          <t>Pattern interrupt</t>
        </is>
      </c>
      <c r="E152" s="83" t="inlineStr">
        <is>
          <t>I · Setup</t>
        </is>
      </c>
      <c r="F152" s="83" t="inlineStr">
        <is>
          <t>Hook</t>
        </is>
      </c>
      <c r="G152" s="83" t="inlineStr">
        <is>
          <t>0–3s</t>
        </is>
      </c>
      <c r="H152" s="85" t="inlineStr">
        <is>
          <t>Count the passes between the white shirts. Don't miss one.</t>
        </is>
      </c>
      <c r="I152" s="84" t="inlineStr">
        <is>
          <t>COUNT THE PASSES | players passing ball</t>
        </is>
      </c>
      <c r="J152" s="84" t="inlineStr">
        <is>
          <t>Simons &amp; Chabris 1999: about half missed the gorilla</t>
        </is>
      </c>
    </row>
    <row r="153" ht="15" customHeight="1" s="62">
      <c r="A153" s="83" t="n">
        <v>22</v>
      </c>
      <c r="B153" s="84" t="inlineStr">
        <is>
          <t>Inattentional blindness</t>
        </is>
      </c>
      <c r="C153" s="83" t="inlineStr">
        <is>
          <t>Published</t>
        </is>
      </c>
      <c r="D153" s="83" t="inlineStr">
        <is>
          <t>Pattern interrupt</t>
        </is>
      </c>
      <c r="E153" s="83" t="inlineStr">
        <is>
          <t>I · Setup</t>
        </is>
      </c>
      <c r="F153" s="83" t="inlineStr">
        <is>
          <t>Setup</t>
        </is>
      </c>
      <c r="G153" s="83" t="inlineStr">
        <is>
          <t>3–8s</t>
        </is>
      </c>
      <c r="H153" s="84" t="inlineStr">
        <is>
          <t>Got your number? Did you see the gorilla?</t>
        </is>
      </c>
      <c r="I153" s="84" t="inlineStr">
        <is>
          <t>🦍 walks through, beats chest</t>
        </is>
      </c>
      <c r="J153" s="84" t="n"/>
    </row>
    <row r="154" ht="15" customHeight="1" s="62">
      <c r="A154" s="83" t="n">
        <v>22</v>
      </c>
      <c r="B154" s="84" t="inlineStr">
        <is>
          <t>Inattentional blindness</t>
        </is>
      </c>
      <c r="C154" s="83" t="inlineStr">
        <is>
          <t>Published</t>
        </is>
      </c>
      <c r="D154" s="83" t="inlineStr">
        <is>
          <t>Pattern interrupt</t>
        </is>
      </c>
      <c r="E154" s="83" t="inlineStr">
        <is>
          <t>II · Confrontation</t>
        </is>
      </c>
      <c r="F154" s="83" t="inlineStr">
        <is>
          <t>Evidence</t>
        </is>
      </c>
      <c r="G154" s="83" t="inlineStr">
        <is>
          <t>8–15s</t>
        </is>
      </c>
      <c r="H154" s="84" t="inlineStr">
        <is>
          <t>In 1999, Daniel Simons and Christopher Chabris ran this exact test.</t>
        </is>
      </c>
      <c r="I154" s="84" t="inlineStr">
        <is>
          <t>SIMONS &amp; CHABRIS, 1999</t>
        </is>
      </c>
      <c r="J154" s="84" t="n"/>
    </row>
    <row r="155" ht="15" customHeight="1" s="62">
      <c r="A155" s="83" t="n">
        <v>22</v>
      </c>
      <c r="B155" s="84" t="inlineStr">
        <is>
          <t>Inattentional blindness</t>
        </is>
      </c>
      <c r="C155" s="83" t="inlineStr">
        <is>
          <t>Published</t>
        </is>
      </c>
      <c r="D155" s="83" t="inlineStr">
        <is>
          <t>Pattern interrupt</t>
        </is>
      </c>
      <c r="E155" s="83" t="inlineStr">
        <is>
          <t>II · Confrontation</t>
        </is>
      </c>
      <c r="F155" s="83" t="inlineStr">
        <is>
          <t>Escalation</t>
        </is>
      </c>
      <c r="G155" s="83" t="inlineStr">
        <is>
          <t>15–22s</t>
        </is>
      </c>
      <c r="H155" s="84" t="inlineStr">
        <is>
          <t>About half the viewers never saw a person in a gorilla suit walk through.</t>
        </is>
      </c>
      <c r="I155" s="84" t="inlineStr">
        <is>
          <t>~50% MISSED THE GORILLA</t>
        </is>
      </c>
      <c r="J155" s="84" t="n"/>
    </row>
    <row r="156" ht="15" customHeight="1" s="62">
      <c r="A156" s="83" t="n">
        <v>22</v>
      </c>
      <c r="B156" s="84" t="inlineStr">
        <is>
          <t>Inattentional blindness</t>
        </is>
      </c>
      <c r="C156" s="83" t="inlineStr">
        <is>
          <t>Published</t>
        </is>
      </c>
      <c r="D156" s="83" t="inlineStr">
        <is>
          <t>Pattern interrupt</t>
        </is>
      </c>
      <c r="E156" s="83" t="inlineStr">
        <is>
          <t>II · Confrontation</t>
        </is>
      </c>
      <c r="F156" s="83" t="inlineStr">
        <is>
          <t>Turn</t>
        </is>
      </c>
      <c r="G156" s="83" t="inlineStr">
        <is>
          <t>22–26s</t>
        </is>
      </c>
      <c r="H156" s="84" t="inlineStr">
        <is>
          <t>But they weren't careless. Focus on one thing blocks out the rest.</t>
        </is>
      </c>
      <c r="I156" s="84" t="inlineStr">
        <is>
          <t>FOCUS = BLINDERS</t>
        </is>
      </c>
      <c r="J156" s="84" t="n"/>
    </row>
    <row r="157" ht="15" customHeight="1" s="62">
      <c r="A157" s="83" t="n">
        <v>22</v>
      </c>
      <c r="B157" s="84" t="inlineStr">
        <is>
          <t>Inattentional blindness</t>
        </is>
      </c>
      <c r="C157" s="83" t="inlineStr">
        <is>
          <t>Published</t>
        </is>
      </c>
      <c r="D157" s="83" t="inlineStr">
        <is>
          <t>Pattern interrupt</t>
        </is>
      </c>
      <c r="E157" s="83" t="inlineStr">
        <is>
          <t>III · Resolution</t>
        </is>
      </c>
      <c r="F157" s="83" t="inlineStr">
        <is>
          <t>Payoff</t>
        </is>
      </c>
      <c r="G157" s="83" t="inlineStr">
        <is>
          <t>26–32s</t>
        </is>
      </c>
      <c r="H157" s="84" t="inlineStr">
        <is>
          <t>It's inattentional blindness.</t>
        </is>
      </c>
      <c r="I157" s="84" t="inlineStr">
        <is>
          <t>INATTENTIONAL BLINDNESS</t>
        </is>
      </c>
      <c r="J157" s="84" t="n"/>
    </row>
    <row r="158" ht="23.85" customHeight="1" s="62">
      <c r="A158" s="86" t="n">
        <v>22</v>
      </c>
      <c r="B158" s="87" t="inlineStr">
        <is>
          <t>Inattentional blindness</t>
        </is>
      </c>
      <c r="C158" s="86" t="inlineStr">
        <is>
          <t>Published</t>
        </is>
      </c>
      <c r="D158" s="86" t="inlineStr">
        <is>
          <t>Pattern interrupt</t>
        </is>
      </c>
      <c r="E158" s="86" t="inlineStr">
        <is>
          <t>III · Resolution</t>
        </is>
      </c>
      <c r="F158" s="86" t="inlineStr">
        <is>
          <t>Outro</t>
        </is>
      </c>
      <c r="G158" s="86" t="inlineStr">
        <is>
          <t>32–36s</t>
        </is>
      </c>
      <c r="H158" s="87" t="inlineStr">
        <is>
          <t>That's why texting while driving is so dangerous. Share this with someone who drives distracted.</t>
        </is>
      </c>
      <c r="I158" s="87" t="inlineStr">
        <is>
          <t>EYES ON THE ROAD</t>
        </is>
      </c>
      <c r="J158" s="87" t="n"/>
    </row>
    <row r="159" ht="23.85" customHeight="1" s="62">
      <c r="A159" s="78" t="n">
        <v>23</v>
      </c>
      <c r="B159" s="79" t="inlineStr">
        <is>
          <t>Change blindness</t>
        </is>
      </c>
      <c r="C159" s="78" t="inlineStr">
        <is>
          <t>Idea</t>
        </is>
      </c>
      <c r="D159" s="78" t="inlineStr">
        <is>
          <t>Study reveal</t>
        </is>
      </c>
      <c r="E159" s="78" t="inlineStr">
        <is>
          <t>I · Setup</t>
        </is>
      </c>
      <c r="F159" s="78" t="inlineStr">
        <is>
          <t>Hook</t>
        </is>
      </c>
      <c r="G159" s="78" t="inlineStr">
        <is>
          <t>0–3s</t>
        </is>
      </c>
      <c r="H159" s="80" t="inlineStr">
        <is>
          <t>Half the people didn't notice they were talking to a different person.</t>
        </is>
      </c>
      <c r="I159" s="79" t="inlineStr">
        <is>
          <t>DIFFERENT PERSON? | face swap</t>
        </is>
      </c>
      <c r="J159" s="79" t="inlineStr">
        <is>
          <t>Simons &amp; Levin 1998: about half didn't notice the person they were talking to was swapped</t>
        </is>
      </c>
    </row>
    <row r="160" ht="15" customHeight="1" s="62">
      <c r="A160" s="78" t="n">
        <v>23</v>
      </c>
      <c r="B160" s="79" t="inlineStr">
        <is>
          <t>Change blindness</t>
        </is>
      </c>
      <c r="C160" s="78" t="inlineStr">
        <is>
          <t>Idea</t>
        </is>
      </c>
      <c r="D160" s="78" t="inlineStr">
        <is>
          <t>Study reveal</t>
        </is>
      </c>
      <c r="E160" s="78" t="inlineStr">
        <is>
          <t>I · Setup</t>
        </is>
      </c>
      <c r="F160" s="78" t="inlineStr">
        <is>
          <t>Setup</t>
        </is>
      </c>
      <c r="G160" s="78" t="inlineStr">
        <is>
          <t>3–8s</t>
        </is>
      </c>
      <c r="H160" s="79" t="inlineStr">
        <is>
          <t>In 1998, a stranger stopped people on campus to ask directions.</t>
        </is>
      </c>
      <c r="I160" s="79" t="inlineStr">
        <is>
          <t>SIMONS &amp; LEVIN, 1998 | campus map</t>
        </is>
      </c>
      <c r="J160" s="79" t="n"/>
    </row>
    <row r="161" ht="23.85" customHeight="1" s="62">
      <c r="A161" s="78" t="n">
        <v>23</v>
      </c>
      <c r="B161" s="79" t="inlineStr">
        <is>
          <t>Change blindness</t>
        </is>
      </c>
      <c r="C161" s="78" t="inlineStr">
        <is>
          <t>Idea</t>
        </is>
      </c>
      <c r="D161" s="78" t="inlineStr">
        <is>
          <t>Study reveal</t>
        </is>
      </c>
      <c r="E161" s="78" t="inlineStr">
        <is>
          <t>II · Confrontation</t>
        </is>
      </c>
      <c r="F161" s="78" t="inlineStr">
        <is>
          <t>Evidence</t>
        </is>
      </c>
      <c r="G161" s="78" t="inlineStr">
        <is>
          <t>8–15s</t>
        </is>
      </c>
      <c r="H161" s="79" t="inlineStr">
        <is>
          <t>Two workers carried a door between them, and the stranger swapped places.</t>
        </is>
      </c>
      <c r="I161" s="79" t="inlineStr">
        <is>
          <t>door passes → stranger replaced</t>
        </is>
      </c>
      <c r="J161" s="79" t="n"/>
    </row>
    <row r="162" ht="15" customHeight="1" s="62">
      <c r="A162" s="78" t="n">
        <v>23</v>
      </c>
      <c r="B162" s="79" t="inlineStr">
        <is>
          <t>Change blindness</t>
        </is>
      </c>
      <c r="C162" s="78" t="inlineStr">
        <is>
          <t>Idea</t>
        </is>
      </c>
      <c r="D162" s="78" t="inlineStr">
        <is>
          <t>Study reveal</t>
        </is>
      </c>
      <c r="E162" s="78" t="inlineStr">
        <is>
          <t>II · Confrontation</t>
        </is>
      </c>
      <c r="F162" s="78" t="inlineStr">
        <is>
          <t>Escalation</t>
        </is>
      </c>
      <c r="G162" s="78" t="inlineStr">
        <is>
          <t>15–22s</t>
        </is>
      </c>
      <c r="H162" s="79" t="inlineStr">
        <is>
          <t>About half kept giving directions to a totally new person.</t>
        </is>
      </c>
      <c r="I162" s="79" t="inlineStr">
        <is>
          <t>~50% DIDN'T NOTICE</t>
        </is>
      </c>
      <c r="J162" s="79" t="n"/>
    </row>
    <row r="163" ht="15" customHeight="1" s="62">
      <c r="A163" s="78" t="n">
        <v>23</v>
      </c>
      <c r="B163" s="79" t="inlineStr">
        <is>
          <t>Change blindness</t>
        </is>
      </c>
      <c r="C163" s="78" t="inlineStr">
        <is>
          <t>Idea</t>
        </is>
      </c>
      <c r="D163" s="78" t="inlineStr">
        <is>
          <t>Study reveal</t>
        </is>
      </c>
      <c r="E163" s="78" t="inlineStr">
        <is>
          <t>II · Confrontation</t>
        </is>
      </c>
      <c r="F163" s="78" t="inlineStr">
        <is>
          <t>Turn</t>
        </is>
      </c>
      <c r="G163" s="78" t="inlineStr">
        <is>
          <t>22–26s</t>
        </is>
      </c>
      <c r="H163" s="79" t="inlineStr">
        <is>
          <t>But your brain doesn't store the whole scene. It stores the gist.</t>
        </is>
      </c>
      <c r="I163" s="79" t="inlineStr">
        <is>
          <t>BRAIN SAVES THE GIST</t>
        </is>
      </c>
      <c r="J163" s="79" t="n"/>
    </row>
    <row r="164" ht="15" customHeight="1" s="62">
      <c r="A164" s="78" t="n">
        <v>23</v>
      </c>
      <c r="B164" s="79" t="inlineStr">
        <is>
          <t>Change blindness</t>
        </is>
      </c>
      <c r="C164" s="78" t="inlineStr">
        <is>
          <t>Idea</t>
        </is>
      </c>
      <c r="D164" s="78" t="inlineStr">
        <is>
          <t>Study reveal</t>
        </is>
      </c>
      <c r="E164" s="78" t="inlineStr">
        <is>
          <t>III · Resolution</t>
        </is>
      </c>
      <c r="F164" s="78" t="inlineStr">
        <is>
          <t>Payoff</t>
        </is>
      </c>
      <c r="G164" s="78" t="inlineStr">
        <is>
          <t>26–32s</t>
        </is>
      </c>
      <c r="H164" s="79" t="inlineStr">
        <is>
          <t>It's change blindness.</t>
        </is>
      </c>
      <c r="I164" s="79" t="inlineStr">
        <is>
          <t>CHANGE BLINDNESS</t>
        </is>
      </c>
      <c r="J164" s="79" t="n"/>
    </row>
    <row r="165" ht="23.85" customHeight="1" s="62">
      <c r="A165" s="81" t="n">
        <v>23</v>
      </c>
      <c r="B165" s="82" t="inlineStr">
        <is>
          <t>Change blindness</t>
        </is>
      </c>
      <c r="C165" s="81" t="inlineStr">
        <is>
          <t>Idea</t>
        </is>
      </c>
      <c r="D165" s="81" t="inlineStr">
        <is>
          <t>Study reveal</t>
        </is>
      </c>
      <c r="E165" s="81" t="inlineStr">
        <is>
          <t>III · Resolution</t>
        </is>
      </c>
      <c r="F165" s="81" t="inlineStr">
        <is>
          <t>Outro</t>
        </is>
      </c>
      <c r="G165" s="81" t="inlineStr">
        <is>
          <t>32–36s</t>
        </is>
      </c>
      <c r="H165" s="82" t="inlineStr">
        <is>
          <t>Before you say 'I'd notice that', watch this video again. Follow for tomorrow's perception test.</t>
        </is>
      </c>
      <c r="I165" s="82" t="inlineStr">
        <is>
          <t>WOULD YOU NOTICE?</t>
        </is>
      </c>
      <c r="J165" s="82" t="n"/>
    </row>
    <row r="166" ht="23.85" customHeight="1" s="62">
      <c r="A166" s="83" t="n">
        <v>24</v>
      </c>
      <c r="B166" s="84" t="inlineStr">
        <is>
          <t>The multitasking myth</t>
        </is>
      </c>
      <c r="C166" s="83" t="inlineStr">
        <is>
          <t>Vetoed</t>
        </is>
      </c>
      <c r="D166" s="83" t="inlineStr">
        <is>
          <t>Pattern interrupt</t>
        </is>
      </c>
      <c r="E166" s="83" t="inlineStr">
        <is>
          <t>I · Setup</t>
        </is>
      </c>
      <c r="F166" s="83" t="inlineStr">
        <is>
          <t>Hook</t>
        </is>
      </c>
      <c r="G166" s="83" t="inlineStr">
        <is>
          <t>0–3s</t>
        </is>
      </c>
      <c r="H166" s="85" t="inlineStr">
        <is>
          <t>Count backwards from 100 by sevens, while reading this sentence.</t>
        </is>
      </c>
      <c r="I166" s="84" t="inlineStr">
        <is>
          <t>100... 93... 86... + scrolling text</t>
        </is>
      </c>
      <c r="J166" s="84" t="inlineStr">
        <is>
          <t>Rubinstein, Meyer &amp; Evans 2001: task-switching costs time</t>
        </is>
      </c>
    </row>
    <row r="167" ht="15" customHeight="1" s="62">
      <c r="A167" s="83" t="n">
        <v>24</v>
      </c>
      <c r="B167" s="84" t="inlineStr">
        <is>
          <t>The multitasking myth</t>
        </is>
      </c>
      <c r="C167" s="83" t="inlineStr">
        <is>
          <t>Vetoed</t>
        </is>
      </c>
      <c r="D167" s="83" t="inlineStr">
        <is>
          <t>Pattern interrupt</t>
        </is>
      </c>
      <c r="E167" s="83" t="inlineStr">
        <is>
          <t>I · Setup</t>
        </is>
      </c>
      <c r="F167" s="83" t="inlineStr">
        <is>
          <t>Setup</t>
        </is>
      </c>
      <c r="G167" s="83" t="inlineStr">
        <is>
          <t>3–8s</t>
        </is>
      </c>
      <c r="H167" s="84" t="inlineStr">
        <is>
          <t>Hard? That's because you weren't multitasking. You were switching.</t>
        </is>
      </c>
      <c r="I167" s="84" t="inlineStr">
        <is>
          <t>NOT MULTITASKING. SWITCHING.</t>
        </is>
      </c>
      <c r="J167" s="84" t="n"/>
    </row>
    <row r="168" ht="23.85" customHeight="1" s="62">
      <c r="A168" s="83" t="n">
        <v>24</v>
      </c>
      <c r="B168" s="84" t="inlineStr">
        <is>
          <t>The multitasking myth</t>
        </is>
      </c>
      <c r="C168" s="83" t="inlineStr">
        <is>
          <t>Vetoed</t>
        </is>
      </c>
      <c r="D168" s="83" t="inlineStr">
        <is>
          <t>Pattern interrupt</t>
        </is>
      </c>
      <c r="E168" s="83" t="inlineStr">
        <is>
          <t>II · Confrontation</t>
        </is>
      </c>
      <c r="F168" s="83" t="inlineStr">
        <is>
          <t>Evidence</t>
        </is>
      </c>
      <c r="G168" s="83" t="inlineStr">
        <is>
          <t>8–15s</t>
        </is>
      </c>
      <c r="H168" s="84" t="inlineStr">
        <is>
          <t>In 2001, Joshua Rubinstein and colleagues measured the cost of switching tasks.</t>
        </is>
      </c>
      <c r="I168" s="84" t="inlineStr">
        <is>
          <t>RUBINSTEIN ET AL., 2001 | stopwatch</t>
        </is>
      </c>
      <c r="J168" s="84" t="n"/>
    </row>
    <row r="169" ht="15" customHeight="1" s="62">
      <c r="A169" s="83" t="n">
        <v>24</v>
      </c>
      <c r="B169" s="84" t="inlineStr">
        <is>
          <t>The multitasking myth</t>
        </is>
      </c>
      <c r="C169" s="83" t="inlineStr">
        <is>
          <t>Vetoed</t>
        </is>
      </c>
      <c r="D169" s="83" t="inlineStr">
        <is>
          <t>Pattern interrupt</t>
        </is>
      </c>
      <c r="E169" s="83" t="inlineStr">
        <is>
          <t>II · Confrontation</t>
        </is>
      </c>
      <c r="F169" s="83" t="inlineStr">
        <is>
          <t>Escalation</t>
        </is>
      </c>
      <c r="G169" s="83" t="inlineStr">
        <is>
          <t>15–22s</t>
        </is>
      </c>
      <c r="H169" s="84" t="inlineStr">
        <is>
          <t>Every switch cost time, and the cost grew with complex tasks.</t>
        </is>
      </c>
      <c r="I169" s="84" t="inlineStr">
        <is>
          <t>SWITCH → ⏱ LOST</t>
        </is>
      </c>
      <c r="J169" s="84" t="n"/>
    </row>
    <row r="170" ht="15" customHeight="1" s="62">
      <c r="A170" s="83" t="n">
        <v>24</v>
      </c>
      <c r="B170" s="84" t="inlineStr">
        <is>
          <t>The multitasking myth</t>
        </is>
      </c>
      <c r="C170" s="83" t="inlineStr">
        <is>
          <t>Vetoed</t>
        </is>
      </c>
      <c r="D170" s="83" t="inlineStr">
        <is>
          <t>Pattern interrupt</t>
        </is>
      </c>
      <c r="E170" s="83" t="inlineStr">
        <is>
          <t>II · Confrontation</t>
        </is>
      </c>
      <c r="F170" s="83" t="inlineStr">
        <is>
          <t>Turn</t>
        </is>
      </c>
      <c r="G170" s="83" t="inlineStr">
        <is>
          <t>22–26s</t>
        </is>
      </c>
      <c r="H170" s="84" t="inlineStr">
        <is>
          <t>But it feels productive because you're always busy.</t>
        </is>
      </c>
      <c r="I170" s="84" t="inlineStr">
        <is>
          <t>BUSY ≠ PRODUCTIVE</t>
        </is>
      </c>
      <c r="J170" s="84" t="n"/>
    </row>
    <row r="171" ht="15" customHeight="1" s="62">
      <c r="A171" s="83" t="n">
        <v>24</v>
      </c>
      <c r="B171" s="84" t="inlineStr">
        <is>
          <t>The multitasking myth</t>
        </is>
      </c>
      <c r="C171" s="83" t="inlineStr">
        <is>
          <t>Vetoed</t>
        </is>
      </c>
      <c r="D171" s="83" t="inlineStr">
        <is>
          <t>Pattern interrupt</t>
        </is>
      </c>
      <c r="E171" s="83" t="inlineStr">
        <is>
          <t>III · Resolution</t>
        </is>
      </c>
      <c r="F171" s="83" t="inlineStr">
        <is>
          <t>Payoff</t>
        </is>
      </c>
      <c r="G171" s="83" t="inlineStr">
        <is>
          <t>26–32s</t>
        </is>
      </c>
      <c r="H171" s="84" t="inlineStr">
        <is>
          <t>That's the multitasking myth.</t>
        </is>
      </c>
      <c r="I171" s="84" t="inlineStr">
        <is>
          <t>THE MULTITASKING MYTH</t>
        </is>
      </c>
      <c r="J171" s="84" t="n"/>
    </row>
    <row r="172" ht="23.85" customHeight="1" s="62">
      <c r="A172" s="86" t="n">
        <v>24</v>
      </c>
      <c r="B172" s="87" t="inlineStr">
        <is>
          <t>The multitasking myth</t>
        </is>
      </c>
      <c r="C172" s="86" t="inlineStr">
        <is>
          <t>Vetoed</t>
        </is>
      </c>
      <c r="D172" s="86" t="inlineStr">
        <is>
          <t>Pattern interrupt</t>
        </is>
      </c>
      <c r="E172" s="86" t="inlineStr">
        <is>
          <t>III · Resolution</t>
        </is>
      </c>
      <c r="F172" s="86" t="inlineStr">
        <is>
          <t>Outro</t>
        </is>
      </c>
      <c r="G172" s="86" t="inlineStr">
        <is>
          <t>32–36s</t>
        </is>
      </c>
      <c r="H172" s="87" t="inlineStr">
        <is>
          <t>Batch your messages into two check-ins a day. Save this, and follow for tomorrow's focus trick.</t>
        </is>
      </c>
      <c r="I172" s="87" t="inlineStr">
        <is>
          <t>BATCH YOUR MESSAGES</t>
        </is>
      </c>
      <c r="J172" s="87" t="n"/>
    </row>
    <row r="173" ht="23.85" customHeight="1" s="62">
      <c r="A173" s="78" t="n">
        <v>25</v>
      </c>
      <c r="B173" s="79" t="inlineStr">
        <is>
          <t>Selective attention</t>
        </is>
      </c>
      <c r="C173" s="78" t="inlineStr">
        <is>
          <t>Scheduled</t>
        </is>
      </c>
      <c r="D173" s="78" t="inlineStr">
        <is>
          <t>You-callout</t>
        </is>
      </c>
      <c r="E173" s="78" t="inlineStr">
        <is>
          <t>I · Setup</t>
        </is>
      </c>
      <c r="F173" s="78" t="inlineStr">
        <is>
          <t>Hook</t>
        </is>
      </c>
      <c r="G173" s="78" t="inlineStr">
        <is>
          <t>0–3s</t>
        </is>
      </c>
      <c r="H173" s="80" t="inlineStr">
        <is>
          <t>You can ignore a whole party, until someone says your name.</t>
        </is>
      </c>
      <c r="I173" s="79" t="inlineStr">
        <is>
          <t>noisy party → '...YOUR NAME' bubble</t>
        </is>
      </c>
      <c r="J173" s="79" t="inlineStr">
        <is>
          <t>Cherry 1953; Moray 1959: about a third heard own name in unattended ear</t>
        </is>
      </c>
    </row>
    <row r="174" ht="15" customHeight="1" s="62">
      <c r="A174" s="78" t="n">
        <v>25</v>
      </c>
      <c r="B174" s="79" t="inlineStr">
        <is>
          <t>Selective attention</t>
        </is>
      </c>
      <c r="C174" s="78" t="inlineStr">
        <is>
          <t>Scheduled</t>
        </is>
      </c>
      <c r="D174" s="78" t="inlineStr">
        <is>
          <t>You-callout</t>
        </is>
      </c>
      <c r="E174" s="78" t="inlineStr">
        <is>
          <t>I · Setup</t>
        </is>
      </c>
      <c r="F174" s="78" t="inlineStr">
        <is>
          <t>Setup</t>
        </is>
      </c>
      <c r="G174" s="78" t="inlineStr">
        <is>
          <t>3–8s</t>
        </is>
      </c>
      <c r="H174" s="79" t="inlineStr">
        <is>
          <t>In 1953, Colin Cherry played two messages at once, one in each ear.</t>
        </is>
      </c>
      <c r="I174" s="79" t="inlineStr">
        <is>
          <t>CHERRY, 1953 | headphones</t>
        </is>
      </c>
      <c r="J174" s="79" t="n"/>
    </row>
    <row r="175" ht="15" customHeight="1" s="62">
      <c r="A175" s="78" t="n">
        <v>25</v>
      </c>
      <c r="B175" s="79" t="inlineStr">
        <is>
          <t>Selective attention</t>
        </is>
      </c>
      <c r="C175" s="78" t="inlineStr">
        <is>
          <t>Scheduled</t>
        </is>
      </c>
      <c r="D175" s="78" t="inlineStr">
        <is>
          <t>You-callout</t>
        </is>
      </c>
      <c r="E175" s="78" t="inlineStr">
        <is>
          <t>II · Confrontation</t>
        </is>
      </c>
      <c r="F175" s="78" t="inlineStr">
        <is>
          <t>Evidence</t>
        </is>
      </c>
      <c r="G175" s="78" t="inlineStr">
        <is>
          <t>8–15s</t>
        </is>
      </c>
      <c r="H175" s="79" t="inlineStr">
        <is>
          <t>People could follow one and tuned out the other almost completely.</t>
        </is>
      </c>
      <c r="I175" s="79" t="inlineStr">
        <is>
          <t>LEFT ✓ | RIGHT (ignored)</t>
        </is>
      </c>
      <c r="J175" s="79" t="n"/>
    </row>
    <row r="176" ht="23.85" customHeight="1" s="62">
      <c r="A176" s="78" t="n">
        <v>25</v>
      </c>
      <c r="B176" s="79" t="inlineStr">
        <is>
          <t>Selective attention</t>
        </is>
      </c>
      <c r="C176" s="78" t="inlineStr">
        <is>
          <t>Scheduled</t>
        </is>
      </c>
      <c r="D176" s="78" t="inlineStr">
        <is>
          <t>You-callout</t>
        </is>
      </c>
      <c r="E176" s="78" t="inlineStr">
        <is>
          <t>II · Confrontation</t>
        </is>
      </c>
      <c r="F176" s="78" t="inlineStr">
        <is>
          <t>Escalation</t>
        </is>
      </c>
      <c r="G176" s="78" t="inlineStr">
        <is>
          <t>15–22s</t>
        </is>
      </c>
      <c r="H176" s="79" t="inlineStr">
        <is>
          <t>In 1959, Neville Moray found about a third of people still caught their own name.</t>
        </is>
      </c>
      <c r="I176" s="79" t="inlineStr">
        <is>
          <t>MORAY, 1959 | ~1 in 3 heard their name</t>
        </is>
      </c>
      <c r="J176" s="79" t="n"/>
    </row>
    <row r="177" ht="23.85" customHeight="1" s="62">
      <c r="A177" s="78" t="n">
        <v>25</v>
      </c>
      <c r="B177" s="79" t="inlineStr">
        <is>
          <t>Selective attention</t>
        </is>
      </c>
      <c r="C177" s="78" t="inlineStr">
        <is>
          <t>Scheduled</t>
        </is>
      </c>
      <c r="D177" s="78" t="inlineStr">
        <is>
          <t>You-callout</t>
        </is>
      </c>
      <c r="E177" s="78" t="inlineStr">
        <is>
          <t>II · Confrontation</t>
        </is>
      </c>
      <c r="F177" s="78" t="inlineStr">
        <is>
          <t>Turn</t>
        </is>
      </c>
      <c r="G177" s="78" t="inlineStr">
        <is>
          <t>22–26s</t>
        </is>
      </c>
      <c r="H177" s="79" t="inlineStr">
        <is>
          <t>But that means your brain is quietly scanning the noise you think you ignore.</t>
        </is>
      </c>
      <c r="I177" s="79" t="inlineStr">
        <is>
          <t>BACKGROUND SCANNER ON</t>
        </is>
      </c>
      <c r="J177" s="79" t="n"/>
    </row>
    <row r="178" ht="15" customHeight="1" s="62">
      <c r="A178" s="78" t="n">
        <v>25</v>
      </c>
      <c r="B178" s="79" t="inlineStr">
        <is>
          <t>Selective attention</t>
        </is>
      </c>
      <c r="C178" s="78" t="inlineStr">
        <is>
          <t>Scheduled</t>
        </is>
      </c>
      <c r="D178" s="78" t="inlineStr">
        <is>
          <t>You-callout</t>
        </is>
      </c>
      <c r="E178" s="78" t="inlineStr">
        <is>
          <t>III · Resolution</t>
        </is>
      </c>
      <c r="F178" s="78" t="inlineStr">
        <is>
          <t>Payoff</t>
        </is>
      </c>
      <c r="G178" s="78" t="inlineStr">
        <is>
          <t>26–32s</t>
        </is>
      </c>
      <c r="H178" s="79" t="inlineStr">
        <is>
          <t>It's the cocktail party effect.</t>
        </is>
      </c>
      <c r="I178" s="79" t="inlineStr">
        <is>
          <t>THE COCKTAIL PARTY EFFECT</t>
        </is>
      </c>
      <c r="J178" s="79" t="n"/>
    </row>
    <row r="179" ht="23.85" customHeight="1" s="62">
      <c r="A179" s="81" t="n">
        <v>25</v>
      </c>
      <c r="B179" s="82" t="inlineStr">
        <is>
          <t>Selective attention</t>
        </is>
      </c>
      <c r="C179" s="81" t="inlineStr">
        <is>
          <t>Scheduled</t>
        </is>
      </c>
      <c r="D179" s="81" t="inlineStr">
        <is>
          <t>You-callout</t>
        </is>
      </c>
      <c r="E179" s="81" t="inlineStr">
        <is>
          <t>III · Resolution</t>
        </is>
      </c>
      <c r="F179" s="81" t="inlineStr">
        <is>
          <t>Outro</t>
        </is>
      </c>
      <c r="G179" s="81" t="inlineStr">
        <is>
          <t>32–36s</t>
        </is>
      </c>
      <c r="H179" s="82" t="inlineStr">
        <is>
          <t>Want someone's attention in a crowd? Start with their name. Follow for tomorrow's social trick.</t>
        </is>
      </c>
      <c r="I179" s="82" t="inlineStr">
        <is>
          <t>START WITH THEIR NAME</t>
        </is>
      </c>
      <c r="J179" s="82" t="n"/>
    </row>
    <row r="180" ht="35.05" customHeight="1" s="62">
      <c r="A180" s="83" t="n">
        <v>26</v>
      </c>
      <c r="B180" s="84" t="inlineStr">
        <is>
          <t>Expectation shapes perception</t>
        </is>
      </c>
      <c r="C180" s="83" t="inlineStr">
        <is>
          <t>Idea</t>
        </is>
      </c>
      <c r="D180" s="83" t="inlineStr">
        <is>
          <t>Pattern interrupt</t>
        </is>
      </c>
      <c r="E180" s="83" t="inlineStr">
        <is>
          <t>I · Setup</t>
        </is>
      </c>
      <c r="F180" s="83" t="inlineStr">
        <is>
          <t>Hook</t>
        </is>
      </c>
      <c r="G180" s="83" t="inlineStr">
        <is>
          <t>0–3s</t>
        </is>
      </c>
      <c r="H180" s="85" t="inlineStr">
        <is>
          <t>What do you see? A man's face, or a rat?</t>
        </is>
      </c>
      <c r="I180" s="84" t="inlineStr">
        <is>
          <t>ambiguous rat/man drawing</t>
        </is>
      </c>
      <c r="J180" s="84" t="inlineStr">
        <is>
          <t>Bugelski &amp; Alampay 1961: animal pictures beforehand → more saw a rat in ambiguous figure</t>
        </is>
      </c>
    </row>
    <row r="181" ht="15" customHeight="1" s="62">
      <c r="A181" s="83" t="n">
        <v>26</v>
      </c>
      <c r="B181" s="84" t="inlineStr">
        <is>
          <t>Expectation shapes perception</t>
        </is>
      </c>
      <c r="C181" s="83" t="inlineStr">
        <is>
          <t>Idea</t>
        </is>
      </c>
      <c r="D181" s="83" t="inlineStr">
        <is>
          <t>Pattern interrupt</t>
        </is>
      </c>
      <c r="E181" s="83" t="inlineStr">
        <is>
          <t>I · Setup</t>
        </is>
      </c>
      <c r="F181" s="83" t="inlineStr">
        <is>
          <t>Setup</t>
        </is>
      </c>
      <c r="G181" s="83" t="inlineStr">
        <is>
          <t>3–8s</t>
        </is>
      </c>
      <c r="H181" s="84" t="inlineStr">
        <is>
          <t>Your answer depends on what you saw right before this.</t>
        </is>
      </c>
      <c r="I181" s="84" t="inlineStr">
        <is>
          <t>WHAT CAME BEFORE?</t>
        </is>
      </c>
      <c r="J181" s="84" t="n"/>
    </row>
    <row r="182" ht="23.85" customHeight="1" s="62">
      <c r="A182" s="83" t="n">
        <v>26</v>
      </c>
      <c r="B182" s="84" t="inlineStr">
        <is>
          <t>Expectation shapes perception</t>
        </is>
      </c>
      <c r="C182" s="83" t="inlineStr">
        <is>
          <t>Idea</t>
        </is>
      </c>
      <c r="D182" s="83" t="inlineStr">
        <is>
          <t>Pattern interrupt</t>
        </is>
      </c>
      <c r="E182" s="83" t="inlineStr">
        <is>
          <t>II · Confrontation</t>
        </is>
      </c>
      <c r="F182" s="83" t="inlineStr">
        <is>
          <t>Evidence</t>
        </is>
      </c>
      <c r="G182" s="83" t="inlineStr">
        <is>
          <t>8–15s</t>
        </is>
      </c>
      <c r="H182" s="84" t="inlineStr">
        <is>
          <t>In 1961, Bugelski and Alampay showed people pictures of animals or of faces first.</t>
        </is>
      </c>
      <c r="I182" s="84" t="inlineStr">
        <is>
          <t>BUGELSKI &amp; ALAMPAY, 1961 | animal cards vs face cards</t>
        </is>
      </c>
      <c r="J182" s="84" t="n"/>
    </row>
    <row r="183" ht="15" customHeight="1" s="62">
      <c r="A183" s="83" t="n">
        <v>26</v>
      </c>
      <c r="B183" s="84" t="inlineStr">
        <is>
          <t>Expectation shapes perception</t>
        </is>
      </c>
      <c r="C183" s="83" t="inlineStr">
        <is>
          <t>Idea</t>
        </is>
      </c>
      <c r="D183" s="83" t="inlineStr">
        <is>
          <t>Pattern interrupt</t>
        </is>
      </c>
      <c r="E183" s="83" t="inlineStr">
        <is>
          <t>II · Confrontation</t>
        </is>
      </c>
      <c r="F183" s="83" t="inlineStr">
        <is>
          <t>Escalation</t>
        </is>
      </c>
      <c r="G183" s="83" t="inlineStr">
        <is>
          <t>15–22s</t>
        </is>
      </c>
      <c r="H183" s="84" t="inlineStr">
        <is>
          <t>After animals, far more people saw the same drawing as a rat.</t>
        </is>
      </c>
      <c r="I183" s="84" t="inlineStr">
        <is>
          <t>ANIMALS FIRST → 🐀</t>
        </is>
      </c>
      <c r="J183" s="84" t="n"/>
    </row>
    <row r="184" ht="15" customHeight="1" s="62">
      <c r="A184" s="83" t="n">
        <v>26</v>
      </c>
      <c r="B184" s="84" t="inlineStr">
        <is>
          <t>Expectation shapes perception</t>
        </is>
      </c>
      <c r="C184" s="83" t="inlineStr">
        <is>
          <t>Idea</t>
        </is>
      </c>
      <c r="D184" s="83" t="inlineStr">
        <is>
          <t>Pattern interrupt</t>
        </is>
      </c>
      <c r="E184" s="83" t="inlineStr">
        <is>
          <t>II · Confrontation</t>
        </is>
      </c>
      <c r="F184" s="83" t="inlineStr">
        <is>
          <t>Turn</t>
        </is>
      </c>
      <c r="G184" s="83" t="inlineStr">
        <is>
          <t>22–26s</t>
        </is>
      </c>
      <c r="H184" s="84" t="inlineStr">
        <is>
          <t>But the drawing never changed. Only the expectation did.</t>
        </is>
      </c>
      <c r="I184" s="84" t="inlineStr">
        <is>
          <t>SAME DRAWING</t>
        </is>
      </c>
      <c r="J184" s="84" t="n"/>
    </row>
    <row r="185" ht="15" customHeight="1" s="62">
      <c r="A185" s="83" t="n">
        <v>26</v>
      </c>
      <c r="B185" s="84" t="inlineStr">
        <is>
          <t>Expectation shapes perception</t>
        </is>
      </c>
      <c r="C185" s="83" t="inlineStr">
        <is>
          <t>Idea</t>
        </is>
      </c>
      <c r="D185" s="83" t="inlineStr">
        <is>
          <t>Pattern interrupt</t>
        </is>
      </c>
      <c r="E185" s="83" t="inlineStr">
        <is>
          <t>III · Resolution</t>
        </is>
      </c>
      <c r="F185" s="83" t="inlineStr">
        <is>
          <t>Payoff</t>
        </is>
      </c>
      <c r="G185" s="83" t="inlineStr">
        <is>
          <t>26–32s</t>
        </is>
      </c>
      <c r="H185" s="84" t="inlineStr">
        <is>
          <t>That's perceptual set. Expectation shapes what you see.</t>
        </is>
      </c>
      <c r="I185" s="84" t="inlineStr">
        <is>
          <t>EXPECTATION SHAPES PERCEPTION</t>
        </is>
      </c>
      <c r="J185" s="84" t="n"/>
    </row>
    <row r="186" ht="23.85" customHeight="1" s="62">
      <c r="A186" s="86" t="n">
        <v>26</v>
      </c>
      <c r="B186" s="87" t="inlineStr">
        <is>
          <t>Expectation shapes perception</t>
        </is>
      </c>
      <c r="C186" s="86" t="inlineStr">
        <is>
          <t>Idea</t>
        </is>
      </c>
      <c r="D186" s="86" t="inlineStr">
        <is>
          <t>Pattern interrupt</t>
        </is>
      </c>
      <c r="E186" s="86" t="inlineStr">
        <is>
          <t>III · Resolution</t>
        </is>
      </c>
      <c r="F186" s="86" t="inlineStr">
        <is>
          <t>Outro</t>
        </is>
      </c>
      <c r="G186" s="86" t="inlineStr">
        <is>
          <t>32–36s</t>
        </is>
      </c>
      <c r="H186" s="87" t="inlineStr">
        <is>
          <t>When you're sure what you saw, ask what you were expecting. Follow for tomorrow's illusion.</t>
        </is>
      </c>
      <c r="I186" s="87" t="inlineStr">
        <is>
          <t>WHAT WERE YOU EXPECTING?</t>
        </is>
      </c>
      <c r="J186" s="87" t="n"/>
    </row>
    <row r="187" ht="35.05" customHeight="1" s="62">
      <c r="A187" s="78" t="n">
        <v>27</v>
      </c>
      <c r="B187" s="79" t="inlineStr">
        <is>
          <t>Top-down processing</t>
        </is>
      </c>
      <c r="C187" s="78" t="inlineStr">
        <is>
          <t>Idea</t>
        </is>
      </c>
      <c r="D187" s="78" t="inlineStr">
        <is>
          <t>Contrarian</t>
        </is>
      </c>
      <c r="E187" s="78" t="inlineStr">
        <is>
          <t>I · Setup</t>
        </is>
      </c>
      <c r="F187" s="78" t="inlineStr">
        <is>
          <t>Hook</t>
        </is>
      </c>
      <c r="G187" s="78" t="inlineStr">
        <is>
          <t>0–3s</t>
        </is>
      </c>
      <c r="H187" s="80" t="inlineStr">
        <is>
          <t>Yuo cna raed tihs. But the famous study behind it doesn't exist.</t>
        </is>
      </c>
      <c r="I187" s="79" t="inlineStr">
        <is>
          <t>Yuo cna raed tihs.</t>
        </is>
      </c>
      <c r="J187" s="79" t="inlineStr">
        <is>
          <t>Viral 'Cambridge' scrambled-letters text was not a Cambridge study; context aids reading (Rayner et al. 2006)</t>
        </is>
      </c>
    </row>
    <row r="188" ht="15" customHeight="1" s="62">
      <c r="A188" s="78" t="n">
        <v>27</v>
      </c>
      <c r="B188" s="79" t="inlineStr">
        <is>
          <t>Top-down processing</t>
        </is>
      </c>
      <c r="C188" s="78" t="inlineStr">
        <is>
          <t>Idea</t>
        </is>
      </c>
      <c r="D188" s="78" t="inlineStr">
        <is>
          <t>Contrarian</t>
        </is>
      </c>
      <c r="E188" s="78" t="inlineStr">
        <is>
          <t>I · Setup</t>
        </is>
      </c>
      <c r="F188" s="78" t="inlineStr">
        <is>
          <t>Setup</t>
        </is>
      </c>
      <c r="G188" s="78" t="inlineStr">
        <is>
          <t>3–8s</t>
        </is>
      </c>
      <c r="H188" s="79" t="inlineStr">
        <is>
          <t>That viral text says Cambridge proved only the first and last letters matter.</t>
        </is>
      </c>
      <c r="I188" s="79" t="inlineStr">
        <is>
          <t>'CAMBRIDGE STUDY' ❌</t>
        </is>
      </c>
      <c r="J188" s="79" t="n"/>
    </row>
    <row r="189" ht="23.85" customHeight="1" s="62">
      <c r="A189" s="78" t="n">
        <v>27</v>
      </c>
      <c r="B189" s="79" t="inlineStr">
        <is>
          <t>Top-down processing</t>
        </is>
      </c>
      <c r="C189" s="78" t="inlineStr">
        <is>
          <t>Idea</t>
        </is>
      </c>
      <c r="D189" s="78" t="inlineStr">
        <is>
          <t>Contrarian</t>
        </is>
      </c>
      <c r="E189" s="78" t="inlineStr">
        <is>
          <t>II · Confrontation</t>
        </is>
      </c>
      <c r="F189" s="78" t="inlineStr">
        <is>
          <t>Evidence</t>
        </is>
      </c>
      <c r="G189" s="78" t="inlineStr">
        <is>
          <t>8–15s</t>
        </is>
      </c>
      <c r="H189" s="79" t="inlineStr">
        <is>
          <t>There was no Cambridge study. A Cambridge researcher even debunked it.</t>
        </is>
      </c>
      <c r="I189" s="79" t="inlineStr">
        <is>
          <t>NO SUCH STUDY</t>
        </is>
      </c>
      <c r="J189" s="79" t="n"/>
    </row>
    <row r="190" ht="23.85" customHeight="1" s="62">
      <c r="A190" s="78" t="n">
        <v>27</v>
      </c>
      <c r="B190" s="79" t="inlineStr">
        <is>
          <t>Top-down processing</t>
        </is>
      </c>
      <c r="C190" s="78" t="inlineStr">
        <is>
          <t>Idea</t>
        </is>
      </c>
      <c r="D190" s="78" t="inlineStr">
        <is>
          <t>Contrarian</t>
        </is>
      </c>
      <c r="E190" s="78" t="inlineStr">
        <is>
          <t>II · Confrontation</t>
        </is>
      </c>
      <c r="F190" s="78" t="inlineStr">
        <is>
          <t>Escalation</t>
        </is>
      </c>
      <c r="G190" s="78" t="inlineStr">
        <is>
          <t>15–22s</t>
        </is>
      </c>
      <c r="H190" s="79" t="inlineStr">
        <is>
          <t>In 2006, Keith Rayner found jumbled words do slow reading, just less than you'd think.</t>
        </is>
      </c>
      <c r="I190" s="79" t="inlineStr">
        <is>
          <t>RAYNER ET AL., 2006 | slower, not stopped</t>
        </is>
      </c>
      <c r="J190" s="79" t="n"/>
    </row>
    <row r="191" ht="15" customHeight="1" s="62">
      <c r="A191" s="78" t="n">
        <v>27</v>
      </c>
      <c r="B191" s="79" t="inlineStr">
        <is>
          <t>Top-down processing</t>
        </is>
      </c>
      <c r="C191" s="78" t="inlineStr">
        <is>
          <t>Idea</t>
        </is>
      </c>
      <c r="D191" s="78" t="inlineStr">
        <is>
          <t>Contrarian</t>
        </is>
      </c>
      <c r="E191" s="78" t="inlineStr">
        <is>
          <t>II · Confrontation</t>
        </is>
      </c>
      <c r="F191" s="78" t="inlineStr">
        <is>
          <t>Turn</t>
        </is>
      </c>
      <c r="G191" s="78" t="inlineStr">
        <is>
          <t>22–26s</t>
        </is>
      </c>
      <c r="H191" s="79" t="inlineStr">
        <is>
          <t>But you still read it, because your brain predicts words from context.</t>
        </is>
      </c>
      <c r="I191" s="79" t="inlineStr">
        <is>
          <t>BRAIN = PREDICTION MACHINE</t>
        </is>
      </c>
      <c r="J191" s="79" t="n"/>
    </row>
    <row r="192" ht="15" customHeight="1" s="62">
      <c r="A192" s="78" t="n">
        <v>27</v>
      </c>
      <c r="B192" s="79" t="inlineStr">
        <is>
          <t>Top-down processing</t>
        </is>
      </c>
      <c r="C192" s="78" t="inlineStr">
        <is>
          <t>Idea</t>
        </is>
      </c>
      <c r="D192" s="78" t="inlineStr">
        <is>
          <t>Contrarian</t>
        </is>
      </c>
      <c r="E192" s="78" t="inlineStr">
        <is>
          <t>III · Resolution</t>
        </is>
      </c>
      <c r="F192" s="78" t="inlineStr">
        <is>
          <t>Payoff</t>
        </is>
      </c>
      <c r="G192" s="78" t="inlineStr">
        <is>
          <t>26–32s</t>
        </is>
      </c>
      <c r="H192" s="79" t="inlineStr">
        <is>
          <t>It's top-down processing. You read what you expect.</t>
        </is>
      </c>
      <c r="I192" s="79" t="inlineStr">
        <is>
          <t>TOP-DOWN PROCESSING</t>
        </is>
      </c>
      <c r="J192" s="79" t="n"/>
    </row>
    <row r="193" ht="23.85" customHeight="1" s="62">
      <c r="A193" s="81" t="n">
        <v>27</v>
      </c>
      <c r="B193" s="82" t="inlineStr">
        <is>
          <t>Top-down processing</t>
        </is>
      </c>
      <c r="C193" s="81" t="inlineStr">
        <is>
          <t>Idea</t>
        </is>
      </c>
      <c r="D193" s="81" t="inlineStr">
        <is>
          <t>Contrarian</t>
        </is>
      </c>
      <c r="E193" s="81" t="inlineStr">
        <is>
          <t>III · Resolution</t>
        </is>
      </c>
      <c r="F193" s="81" t="inlineStr">
        <is>
          <t>Outro</t>
        </is>
      </c>
      <c r="G193" s="81" t="inlineStr">
        <is>
          <t>32–36s</t>
        </is>
      </c>
      <c r="H193" s="82" t="inlineStr">
        <is>
          <t>That's also why you miss typos in your own writing. Read it backwards before sending. Follow for more.</t>
        </is>
      </c>
      <c r="I193" s="82" t="inlineStr">
        <is>
          <t>PROOFREAD BACKWARDS</t>
        </is>
      </c>
      <c r="J193" s="82" t="n"/>
    </row>
    <row r="194" ht="23.85" customHeight="1" s="62">
      <c r="A194" s="83" t="n">
        <v>28</v>
      </c>
      <c r="B194" s="84" t="inlineStr">
        <is>
          <t>The frequency illusion</t>
        </is>
      </c>
      <c r="C194" s="83" t="inlineStr">
        <is>
          <t>Idea</t>
        </is>
      </c>
      <c r="D194" s="83" t="inlineStr">
        <is>
          <t>You-callout</t>
        </is>
      </c>
      <c r="E194" s="83" t="inlineStr">
        <is>
          <t>I · Setup</t>
        </is>
      </c>
      <c r="F194" s="83" t="inlineStr">
        <is>
          <t>Hook</t>
        </is>
      </c>
      <c r="G194" s="83" t="inlineStr">
        <is>
          <t>0–3s</t>
        </is>
      </c>
      <c r="H194" s="85" t="inlineStr">
        <is>
          <t>You learn a new word, and suddenly it's everywhere. It's not a conspiracy.</t>
        </is>
      </c>
      <c r="I194" s="84" t="inlineStr">
        <is>
          <t>NEW WORD → EVERYWHERE 👀</t>
        </is>
      </c>
      <c r="J194" s="84" t="inlineStr">
        <is>
          <t>Term 'frequency illusion' coined by linguist Arnold Zwicky (2005)</t>
        </is>
      </c>
    </row>
    <row r="195" ht="15" customHeight="1" s="62">
      <c r="A195" s="83" t="n">
        <v>28</v>
      </c>
      <c r="B195" s="84" t="inlineStr">
        <is>
          <t>The frequency illusion</t>
        </is>
      </c>
      <c r="C195" s="83" t="inlineStr">
        <is>
          <t>Idea</t>
        </is>
      </c>
      <c r="D195" s="83" t="inlineStr">
        <is>
          <t>You-callout</t>
        </is>
      </c>
      <c r="E195" s="83" t="inlineStr">
        <is>
          <t>I · Setup</t>
        </is>
      </c>
      <c r="F195" s="83" t="inlineStr">
        <is>
          <t>Setup</t>
        </is>
      </c>
      <c r="G195" s="83" t="inlineStr">
        <is>
          <t>3–8s</t>
        </is>
      </c>
      <c r="H195" s="84" t="inlineStr">
        <is>
          <t>You buy a red car, and now every second car on the road is red.</t>
        </is>
      </c>
      <c r="I195" s="84" t="inlineStr">
        <is>
          <t>street full of highlighted red cars</t>
        </is>
      </c>
      <c r="J195" s="84" t="n"/>
    </row>
    <row r="196" ht="15" customHeight="1" s="62">
      <c r="A196" s="83" t="n">
        <v>28</v>
      </c>
      <c r="B196" s="84" t="inlineStr">
        <is>
          <t>The frequency illusion</t>
        </is>
      </c>
      <c r="C196" s="83" t="inlineStr">
        <is>
          <t>Idea</t>
        </is>
      </c>
      <c r="D196" s="83" t="inlineStr">
        <is>
          <t>You-callout</t>
        </is>
      </c>
      <c r="E196" s="83" t="inlineStr">
        <is>
          <t>II · Confrontation</t>
        </is>
      </c>
      <c r="F196" s="83" t="inlineStr">
        <is>
          <t>Evidence</t>
        </is>
      </c>
      <c r="G196" s="83" t="inlineStr">
        <is>
          <t>8–15s</t>
        </is>
      </c>
      <c r="H196" s="84" t="inlineStr">
        <is>
          <t>Linguist Arnold Zwicky named this the frequency illusion in 2005.</t>
        </is>
      </c>
      <c r="I196" s="84" t="inlineStr">
        <is>
          <t>ARNOLD ZWICKY, 2005</t>
        </is>
      </c>
      <c r="J196" s="84" t="n"/>
    </row>
    <row r="197" ht="15" customHeight="1" s="62">
      <c r="A197" s="83" t="n">
        <v>28</v>
      </c>
      <c r="B197" s="84" t="inlineStr">
        <is>
          <t>The frequency illusion</t>
        </is>
      </c>
      <c r="C197" s="83" t="inlineStr">
        <is>
          <t>Idea</t>
        </is>
      </c>
      <c r="D197" s="83" t="inlineStr">
        <is>
          <t>You-callout</t>
        </is>
      </c>
      <c r="E197" s="83" t="inlineStr">
        <is>
          <t>II · Confrontation</t>
        </is>
      </c>
      <c r="F197" s="83" t="inlineStr">
        <is>
          <t>Escalation</t>
        </is>
      </c>
      <c r="G197" s="83" t="inlineStr">
        <is>
          <t>15–22s</t>
        </is>
      </c>
      <c r="H197" s="84" t="inlineStr">
        <is>
          <t>It's two biases teaming up: selective attention, then confirmation bias.</t>
        </is>
      </c>
      <c r="I197" s="84" t="inlineStr">
        <is>
          <t>ATTENTION + CONFIRMATION</t>
        </is>
      </c>
      <c r="J197" s="84" t="n"/>
    </row>
    <row r="198" ht="15" customHeight="1" s="62">
      <c r="A198" s="83" t="n">
        <v>28</v>
      </c>
      <c r="B198" s="84" t="inlineStr">
        <is>
          <t>The frequency illusion</t>
        </is>
      </c>
      <c r="C198" s="83" t="inlineStr">
        <is>
          <t>Idea</t>
        </is>
      </c>
      <c r="D198" s="83" t="inlineStr">
        <is>
          <t>You-callout</t>
        </is>
      </c>
      <c r="E198" s="83" t="inlineStr">
        <is>
          <t>II · Confrontation</t>
        </is>
      </c>
      <c r="F198" s="83" t="inlineStr">
        <is>
          <t>Turn</t>
        </is>
      </c>
      <c r="G198" s="83" t="inlineStr">
        <is>
          <t>22–26s</t>
        </is>
      </c>
      <c r="H198" s="84" t="inlineStr">
        <is>
          <t>But nothing increased. It was always there; you just started noticing.</t>
        </is>
      </c>
      <c r="I198" s="84" t="inlineStr">
        <is>
          <t>IT WAS ALWAYS THERE</t>
        </is>
      </c>
      <c r="J198" s="84" t="n"/>
    </row>
    <row r="199" ht="15" customHeight="1" s="62">
      <c r="A199" s="83" t="n">
        <v>28</v>
      </c>
      <c r="B199" s="84" t="inlineStr">
        <is>
          <t>The frequency illusion</t>
        </is>
      </c>
      <c r="C199" s="83" t="inlineStr">
        <is>
          <t>Idea</t>
        </is>
      </c>
      <c r="D199" s="83" t="inlineStr">
        <is>
          <t>You-callout</t>
        </is>
      </c>
      <c r="E199" s="83" t="inlineStr">
        <is>
          <t>III · Resolution</t>
        </is>
      </c>
      <c r="F199" s="83" t="inlineStr">
        <is>
          <t>Payoff</t>
        </is>
      </c>
      <c r="G199" s="83" t="inlineStr">
        <is>
          <t>26–32s</t>
        </is>
      </c>
      <c r="H199" s="84" t="inlineStr">
        <is>
          <t>Also called the Baader-Meinhof phenomenon.</t>
        </is>
      </c>
      <c r="I199" s="84" t="inlineStr">
        <is>
          <t>THE FREQUENCY ILLUSION</t>
        </is>
      </c>
      <c r="J199" s="84" t="n"/>
    </row>
    <row r="200" ht="23.85" customHeight="1" s="62">
      <c r="A200" s="86" t="n">
        <v>28</v>
      </c>
      <c r="B200" s="87" t="inlineStr">
        <is>
          <t>The frequency illusion</t>
        </is>
      </c>
      <c r="C200" s="86" t="inlineStr">
        <is>
          <t>Idea</t>
        </is>
      </c>
      <c r="D200" s="86" t="inlineStr">
        <is>
          <t>You-callout</t>
        </is>
      </c>
      <c r="E200" s="86" t="inlineStr">
        <is>
          <t>III · Resolution</t>
        </is>
      </c>
      <c r="F200" s="86" t="inlineStr">
        <is>
          <t>Outro</t>
        </is>
      </c>
      <c r="G200" s="86" t="inlineStr">
        <is>
          <t>32–36s</t>
        </is>
      </c>
      <c r="H200" s="87" t="inlineStr">
        <is>
          <t>Watch, you'll see this effect everywhere now. Comment when it happens, and follow for more.</t>
        </is>
      </c>
      <c r="I200" s="87" t="inlineStr">
        <is>
          <t>COMMENT WHEN YOU SEE IT</t>
        </is>
      </c>
      <c r="J200" s="87" t="n"/>
    </row>
    <row r="201" ht="23.85" customHeight="1" s="62">
      <c r="A201" s="78" t="n">
        <v>29</v>
      </c>
      <c r="B201" s="79" t="inlineStr">
        <is>
          <t>Time perception</t>
        </is>
      </c>
      <c r="C201" s="78" t="inlineStr">
        <is>
          <t>Idea</t>
        </is>
      </c>
      <c r="D201" s="78" t="inlineStr">
        <is>
          <t>Study reveal</t>
        </is>
      </c>
      <c r="E201" s="78" t="inlineStr">
        <is>
          <t>I · Setup</t>
        </is>
      </c>
      <c r="F201" s="78" t="inlineStr">
        <is>
          <t>Hook</t>
        </is>
      </c>
      <c r="G201" s="78" t="inlineStr">
        <is>
          <t>0–3s</t>
        </is>
      </c>
      <c r="H201" s="80" t="inlineStr">
        <is>
          <t>An airport cut complaints by making passengers walk longer.</t>
        </is>
      </c>
      <c r="I201" s="79" t="inlineStr">
        <is>
          <t>LONGER WALK = HAPPIER?</t>
        </is>
      </c>
      <c r="J201" s="79" t="inlineStr">
        <is>
          <t>Houston airport baggage case (reported NYT 2012); Maister 1985 queue psychology</t>
        </is>
      </c>
    </row>
    <row r="202" ht="15" customHeight="1" s="62">
      <c r="A202" s="78" t="n">
        <v>29</v>
      </c>
      <c r="B202" s="79" t="inlineStr">
        <is>
          <t>Time perception</t>
        </is>
      </c>
      <c r="C202" s="78" t="inlineStr">
        <is>
          <t>Idea</t>
        </is>
      </c>
      <c r="D202" s="78" t="inlineStr">
        <is>
          <t>Study reveal</t>
        </is>
      </c>
      <c r="E202" s="78" t="inlineStr">
        <is>
          <t>I · Setup</t>
        </is>
      </c>
      <c r="F202" s="78" t="inlineStr">
        <is>
          <t>Setup</t>
        </is>
      </c>
      <c r="G202" s="78" t="inlineStr">
        <is>
          <t>3–8s</t>
        </is>
      </c>
      <c r="H202" s="79" t="inlineStr">
        <is>
          <t>Houston airport passengers kept complaining about waiting for bags.</t>
        </is>
      </c>
      <c r="I202" s="79" t="inlineStr">
        <is>
          <t>angry crowd at baggage belt</t>
        </is>
      </c>
      <c r="J202" s="79" t="n"/>
    </row>
    <row r="203" ht="23.85" customHeight="1" s="62">
      <c r="A203" s="78" t="n">
        <v>29</v>
      </c>
      <c r="B203" s="79" t="inlineStr">
        <is>
          <t>Time perception</t>
        </is>
      </c>
      <c r="C203" s="78" t="inlineStr">
        <is>
          <t>Idea</t>
        </is>
      </c>
      <c r="D203" s="78" t="inlineStr">
        <is>
          <t>Study reveal</t>
        </is>
      </c>
      <c r="E203" s="78" t="inlineStr">
        <is>
          <t>II · Confrontation</t>
        </is>
      </c>
      <c r="F203" s="78" t="inlineStr">
        <is>
          <t>Evidence</t>
        </is>
      </c>
      <c r="G203" s="78" t="inlineStr">
        <is>
          <t>8–15s</t>
        </is>
      </c>
      <c r="H203" s="79" t="inlineStr">
        <is>
          <t>So the airport moved arrival gates farther away. Same total time, more walking.</t>
        </is>
      </c>
      <c r="I203" s="79" t="inlineStr">
        <is>
          <t>6x longer walk | 1 min wait</t>
        </is>
      </c>
      <c r="J203" s="79" t="n"/>
    </row>
    <row r="204" ht="15" customHeight="1" s="62">
      <c r="A204" s="78" t="n">
        <v>29</v>
      </c>
      <c r="B204" s="79" t="inlineStr">
        <is>
          <t>Time perception</t>
        </is>
      </c>
      <c r="C204" s="78" t="inlineStr">
        <is>
          <t>Idea</t>
        </is>
      </c>
      <c r="D204" s="78" t="inlineStr">
        <is>
          <t>Study reveal</t>
        </is>
      </c>
      <c r="E204" s="78" t="inlineStr">
        <is>
          <t>II · Confrontation</t>
        </is>
      </c>
      <c r="F204" s="78" t="inlineStr">
        <is>
          <t>Escalation</t>
        </is>
      </c>
      <c r="G204" s="78" t="inlineStr">
        <is>
          <t>15–22s</t>
        </is>
      </c>
      <c r="H204" s="79" t="inlineStr">
        <is>
          <t>Complaints reportedly dropped to almost nothing.</t>
        </is>
      </c>
      <c r="I204" s="79" t="inlineStr">
        <is>
          <t>COMPLAINTS ⬇</t>
        </is>
      </c>
      <c r="J204" s="79" t="n"/>
    </row>
    <row r="205" ht="15" customHeight="1" s="62">
      <c r="A205" s="78" t="n">
        <v>29</v>
      </c>
      <c r="B205" s="79" t="inlineStr">
        <is>
          <t>Time perception</t>
        </is>
      </c>
      <c r="C205" s="78" t="inlineStr">
        <is>
          <t>Idea</t>
        </is>
      </c>
      <c r="D205" s="78" t="inlineStr">
        <is>
          <t>Study reveal</t>
        </is>
      </c>
      <c r="E205" s="78" t="inlineStr">
        <is>
          <t>II · Confrontation</t>
        </is>
      </c>
      <c r="F205" s="78" t="inlineStr">
        <is>
          <t>Turn</t>
        </is>
      </c>
      <c r="G205" s="78" t="inlineStr">
        <is>
          <t>22–26s</t>
        </is>
      </c>
      <c r="H205" s="79" t="inlineStr">
        <is>
          <t>But nothing got faster. Busy time just feels shorter than empty time.</t>
        </is>
      </c>
      <c r="I205" s="79" t="inlineStr">
        <is>
          <t>OCCUPIED TIME FEELS SHORTER</t>
        </is>
      </c>
      <c r="J205" s="79" t="n"/>
    </row>
    <row r="206" ht="15" customHeight="1" s="62">
      <c r="A206" s="78" t="n">
        <v>29</v>
      </c>
      <c r="B206" s="79" t="inlineStr">
        <is>
          <t>Time perception</t>
        </is>
      </c>
      <c r="C206" s="78" t="inlineStr">
        <is>
          <t>Idea</t>
        </is>
      </c>
      <c r="D206" s="78" t="inlineStr">
        <is>
          <t>Study reveal</t>
        </is>
      </c>
      <c r="E206" s="78" t="inlineStr">
        <is>
          <t>III · Resolution</t>
        </is>
      </c>
      <c r="F206" s="78" t="inlineStr">
        <is>
          <t>Payoff</t>
        </is>
      </c>
      <c r="G206" s="78" t="inlineStr">
        <is>
          <t>26–32s</t>
        </is>
      </c>
      <c r="H206" s="79" t="inlineStr">
        <is>
          <t>David Maister wrote about this in his 1985 'Psychology of Waiting Lines'.</t>
        </is>
      </c>
      <c r="I206" s="79" t="inlineStr">
        <is>
          <t>TIME PERCEPTION | MAISTER, 1985</t>
        </is>
      </c>
      <c r="J206" s="79" t="n"/>
    </row>
    <row r="207" ht="23.85" customHeight="1" s="62">
      <c r="A207" s="81" t="n">
        <v>29</v>
      </c>
      <c r="B207" s="82" t="inlineStr">
        <is>
          <t>Time perception</t>
        </is>
      </c>
      <c r="C207" s="81" t="inlineStr">
        <is>
          <t>Idea</t>
        </is>
      </c>
      <c r="D207" s="81" t="inlineStr">
        <is>
          <t>Study reveal</t>
        </is>
      </c>
      <c r="E207" s="81" t="inlineStr">
        <is>
          <t>III · Resolution</t>
        </is>
      </c>
      <c r="F207" s="81" t="inlineStr">
        <is>
          <t>Outro</t>
        </is>
      </c>
      <c r="G207" s="81" t="inlineStr">
        <is>
          <t>32–36s</t>
        </is>
      </c>
      <c r="H207" s="82" t="inlineStr">
        <is>
          <t>Stuck waiting? Give your brain a small task and time shrinks. Save this for your next queue.</t>
        </is>
      </c>
      <c r="I207" s="82" t="inlineStr">
        <is>
          <t>GIVE YOUR BRAIN A TASK</t>
        </is>
      </c>
      <c r="J207" s="82" t="n"/>
    </row>
    <row r="208" ht="23.85" customHeight="1" s="62">
      <c r="A208" s="83" t="n">
        <v>30</v>
      </c>
      <c r="B208" s="84" t="inlineStr">
        <is>
          <t>Notification interruptions</t>
        </is>
      </c>
      <c r="C208" s="83" t="inlineStr">
        <is>
          <t>Idea</t>
        </is>
      </c>
      <c r="D208" s="83" t="inlineStr">
        <is>
          <t>Study reveal</t>
        </is>
      </c>
      <c r="E208" s="83" t="inlineStr">
        <is>
          <t>I · Setup</t>
        </is>
      </c>
      <c r="F208" s="83" t="inlineStr">
        <is>
          <t>Hook</t>
        </is>
      </c>
      <c r="G208" s="83" t="inlineStr">
        <is>
          <t>0–3s</t>
        </is>
      </c>
      <c r="H208" s="85" t="inlineStr">
        <is>
          <t>You don't even have to check the notification for it to wreck your focus.</t>
        </is>
      </c>
      <c r="I208" s="84" t="inlineStr">
        <is>
          <t>📱 buzz → focus shatters</t>
        </is>
      </c>
      <c r="J208" s="84" t="inlineStr">
        <is>
          <t>Stothart, Mitchum &amp; Yehnert 2015: receiving notification disrupted attention task</t>
        </is>
      </c>
    </row>
    <row r="209" ht="15" customHeight="1" s="62">
      <c r="A209" s="83" t="n">
        <v>30</v>
      </c>
      <c r="B209" s="84" t="inlineStr">
        <is>
          <t>Notification interruptions</t>
        </is>
      </c>
      <c r="C209" s="83" t="inlineStr">
        <is>
          <t>Idea</t>
        </is>
      </c>
      <c r="D209" s="83" t="inlineStr">
        <is>
          <t>Study reveal</t>
        </is>
      </c>
      <c r="E209" s="83" t="inlineStr">
        <is>
          <t>I · Setup</t>
        </is>
      </c>
      <c r="F209" s="83" t="inlineStr">
        <is>
          <t>Setup</t>
        </is>
      </c>
      <c r="G209" s="83" t="inlineStr">
        <is>
          <t>3–8s</t>
        </is>
      </c>
      <c r="H209" s="84" t="inlineStr">
        <is>
          <t>You're working, your phone buzzes, and you tell yourself you'll ignore it.</t>
        </is>
      </c>
      <c r="I209" s="84" t="inlineStr">
        <is>
          <t>phone face-down, buzzing</t>
        </is>
      </c>
      <c r="J209" s="84" t="n"/>
    </row>
    <row r="210" ht="23.85" customHeight="1" s="62">
      <c r="A210" s="83" t="n">
        <v>30</v>
      </c>
      <c r="B210" s="84" t="inlineStr">
        <is>
          <t>Notification interruptions</t>
        </is>
      </c>
      <c r="C210" s="83" t="inlineStr">
        <is>
          <t>Idea</t>
        </is>
      </c>
      <c r="D210" s="83" t="inlineStr">
        <is>
          <t>Study reveal</t>
        </is>
      </c>
      <c r="E210" s="83" t="inlineStr">
        <is>
          <t>II · Confrontation</t>
        </is>
      </c>
      <c r="F210" s="83" t="inlineStr">
        <is>
          <t>Evidence</t>
        </is>
      </c>
      <c r="G210" s="83" t="inlineStr">
        <is>
          <t>8–15s</t>
        </is>
      </c>
      <c r="H210" s="84" t="inlineStr">
        <is>
          <t>In 2015, Cary Stothart's team gave people an attention task and sent them notifications.</t>
        </is>
      </c>
      <c r="I210" s="84" t="inlineStr">
        <is>
          <t>STOTHART ET AL., 2015</t>
        </is>
      </c>
      <c r="J210" s="84" t="n"/>
    </row>
    <row r="211" ht="23.85" customHeight="1" s="62">
      <c r="A211" s="83" t="n">
        <v>30</v>
      </c>
      <c r="B211" s="84" t="inlineStr">
        <is>
          <t>Notification interruptions</t>
        </is>
      </c>
      <c r="C211" s="83" t="inlineStr">
        <is>
          <t>Idea</t>
        </is>
      </c>
      <c r="D211" s="83" t="inlineStr">
        <is>
          <t>Study reveal</t>
        </is>
      </c>
      <c r="E211" s="83" t="inlineStr">
        <is>
          <t>II · Confrontation</t>
        </is>
      </c>
      <c r="F211" s="83" t="inlineStr">
        <is>
          <t>Escalation</t>
        </is>
      </c>
      <c r="G211" s="83" t="inlineStr">
        <is>
          <t>15–22s</t>
        </is>
      </c>
      <c r="H211" s="84" t="inlineStr">
        <is>
          <t>Just receiving a notification caused more mistakes, even without picking up the phone.</t>
        </is>
      </c>
      <c r="I211" s="84" t="inlineStr">
        <is>
          <t>MORE ERRORS — PHONE UNTOUCHED</t>
        </is>
      </c>
      <c r="J211" s="84" t="n"/>
    </row>
    <row r="212" ht="15" customHeight="1" s="62">
      <c r="A212" s="83" t="n">
        <v>30</v>
      </c>
      <c r="B212" s="84" t="inlineStr">
        <is>
          <t>Notification interruptions</t>
        </is>
      </c>
      <c r="C212" s="83" t="inlineStr">
        <is>
          <t>Idea</t>
        </is>
      </c>
      <c r="D212" s="83" t="inlineStr">
        <is>
          <t>Study reveal</t>
        </is>
      </c>
      <c r="E212" s="83" t="inlineStr">
        <is>
          <t>II · Confrontation</t>
        </is>
      </c>
      <c r="F212" s="83" t="inlineStr">
        <is>
          <t>Turn</t>
        </is>
      </c>
      <c r="G212" s="83" t="inlineStr">
        <is>
          <t>22–26s</t>
        </is>
      </c>
      <c r="H212" s="84" t="inlineStr">
        <is>
          <t>But each buzz restarts the thought you were holding.</t>
        </is>
      </c>
      <c r="I212" s="84" t="inlineStr">
        <is>
          <t>EVERY BUZZ = RESTART</t>
        </is>
      </c>
      <c r="J212" s="84" t="n"/>
    </row>
    <row r="213" ht="15" customHeight="1" s="62">
      <c r="A213" s="83" t="n">
        <v>30</v>
      </c>
      <c r="B213" s="84" t="inlineStr">
        <is>
          <t>Notification interruptions</t>
        </is>
      </c>
      <c r="C213" s="83" t="inlineStr">
        <is>
          <t>Idea</t>
        </is>
      </c>
      <c r="D213" s="83" t="inlineStr">
        <is>
          <t>Study reveal</t>
        </is>
      </c>
      <c r="E213" s="83" t="inlineStr">
        <is>
          <t>III · Resolution</t>
        </is>
      </c>
      <c r="F213" s="83" t="inlineStr">
        <is>
          <t>Payoff</t>
        </is>
      </c>
      <c r="G213" s="83" t="inlineStr">
        <is>
          <t>26–32s</t>
        </is>
      </c>
      <c r="H213" s="84" t="inlineStr">
        <is>
          <t>That's the cost of notification interruptions.</t>
        </is>
      </c>
      <c r="I213" s="84" t="inlineStr">
        <is>
          <t>NOTIFICATION INTERRUPTIONS</t>
        </is>
      </c>
      <c r="J213" s="84" t="n"/>
    </row>
    <row r="214" ht="23.85" customHeight="1" s="62">
      <c r="A214" s="86" t="n">
        <v>30</v>
      </c>
      <c r="B214" s="87" t="inlineStr">
        <is>
          <t>Notification interruptions</t>
        </is>
      </c>
      <c r="C214" s="86" t="inlineStr">
        <is>
          <t>Idea</t>
        </is>
      </c>
      <c r="D214" s="86" t="inlineStr">
        <is>
          <t>Study reveal</t>
        </is>
      </c>
      <c r="E214" s="86" t="inlineStr">
        <is>
          <t>III · Resolution</t>
        </is>
      </c>
      <c r="F214" s="86" t="inlineStr">
        <is>
          <t>Outro</t>
        </is>
      </c>
      <c r="G214" s="86" t="inlineStr">
        <is>
          <t>32–36s</t>
        </is>
      </c>
      <c r="H214" s="87" t="inlineStr">
        <is>
          <t>Turn off every notification that isn't from a human. Do it now, then follow for tomorrow's focus fix.</t>
        </is>
      </c>
      <c r="I214" s="87" t="inlineStr">
        <is>
          <t>HUMANS ONLY</t>
        </is>
      </c>
      <c r="J214" s="87" t="n"/>
    </row>
    <row r="215" ht="23.85" customHeight="1" s="62">
      <c r="A215" s="78" t="n">
        <v>31</v>
      </c>
      <c r="B215" s="79" t="inlineStr">
        <is>
          <t>The habit cue</t>
        </is>
      </c>
      <c r="C215" s="78" t="inlineStr">
        <is>
          <t>Idea</t>
        </is>
      </c>
      <c r="D215" s="78" t="inlineStr">
        <is>
          <t>Study reveal</t>
        </is>
      </c>
      <c r="E215" s="78" t="inlineStr">
        <is>
          <t>I · Setup</t>
        </is>
      </c>
      <c r="F215" s="78" t="inlineStr">
        <is>
          <t>Hook</t>
        </is>
      </c>
      <c r="G215" s="78" t="inlineStr">
        <is>
          <t>0–3s</t>
        </is>
      </c>
      <c r="H215" s="80" t="inlineStr">
        <is>
          <t>Almost half of what you do today, you won't actually decide.</t>
        </is>
      </c>
      <c r="I215" s="79" t="inlineStr">
        <is>
          <t>~43% AUTOPILOT</t>
        </is>
      </c>
      <c r="J215" s="79" t="inlineStr">
        <is>
          <t>Wood, Quinn &amp; Kashy 2002: ~43% of daily behaviours performed habitually</t>
        </is>
      </c>
    </row>
    <row r="216" ht="15" customHeight="1" s="62">
      <c r="A216" s="78" t="n">
        <v>31</v>
      </c>
      <c r="B216" s="79" t="inlineStr">
        <is>
          <t>The habit cue</t>
        </is>
      </c>
      <c r="C216" s="78" t="inlineStr">
        <is>
          <t>Idea</t>
        </is>
      </c>
      <c r="D216" s="78" t="inlineStr">
        <is>
          <t>Study reveal</t>
        </is>
      </c>
      <c r="E216" s="78" t="inlineStr">
        <is>
          <t>I · Setup</t>
        </is>
      </c>
      <c r="F216" s="78" t="inlineStr">
        <is>
          <t>Setup</t>
        </is>
      </c>
      <c r="G216" s="78" t="inlineStr">
        <is>
          <t>3–8s</t>
        </is>
      </c>
      <c r="H216" s="79" t="inlineStr">
        <is>
          <t>You wake up, and your hand is on your phone before you're even awake.</t>
        </is>
      </c>
      <c r="I216" s="79" t="inlineStr">
        <is>
          <t>hand reaches phone in the dark</t>
        </is>
      </c>
      <c r="J216" s="79" t="n"/>
    </row>
    <row r="217" ht="23.85" customHeight="1" s="62">
      <c r="A217" s="78" t="n">
        <v>31</v>
      </c>
      <c r="B217" s="79" t="inlineStr">
        <is>
          <t>The habit cue</t>
        </is>
      </c>
      <c r="C217" s="78" t="inlineStr">
        <is>
          <t>Idea</t>
        </is>
      </c>
      <c r="D217" s="78" t="inlineStr">
        <is>
          <t>Study reveal</t>
        </is>
      </c>
      <c r="E217" s="78" t="inlineStr">
        <is>
          <t>II · Confrontation</t>
        </is>
      </c>
      <c r="F217" s="78" t="inlineStr">
        <is>
          <t>Evidence</t>
        </is>
      </c>
      <c r="G217" s="78" t="inlineStr">
        <is>
          <t>8–15s</t>
        </is>
      </c>
      <c r="H217" s="79" t="inlineStr">
        <is>
          <t>In 2002, Wendy Wood's team had people log their actions throughout the day.</t>
        </is>
      </c>
      <c r="I217" s="79" t="inlineStr">
        <is>
          <t>WOOD ET AL., 2002 | diary</t>
        </is>
      </c>
      <c r="J217" s="79" t="n"/>
    </row>
    <row r="218" ht="23.85" customHeight="1" s="62">
      <c r="A218" s="78" t="n">
        <v>31</v>
      </c>
      <c r="B218" s="79" t="inlineStr">
        <is>
          <t>The habit cue</t>
        </is>
      </c>
      <c r="C218" s="78" t="inlineStr">
        <is>
          <t>Idea</t>
        </is>
      </c>
      <c r="D218" s="78" t="inlineStr">
        <is>
          <t>Study reveal</t>
        </is>
      </c>
      <c r="E218" s="78" t="inlineStr">
        <is>
          <t>II · Confrontation</t>
        </is>
      </c>
      <c r="F218" s="78" t="inlineStr">
        <is>
          <t>Escalation</t>
        </is>
      </c>
      <c r="G218" s="78" t="inlineStr">
        <is>
          <t>15–22s</t>
        </is>
      </c>
      <c r="H218" s="79" t="inlineStr">
        <is>
          <t>About 43 percent were done habitually, usually in the same place each day.</t>
        </is>
      </c>
      <c r="I218" s="79" t="inlineStr">
        <is>
          <t>43% HABITS</t>
        </is>
      </c>
      <c r="J218" s="79" t="n"/>
    </row>
    <row r="219" ht="15" customHeight="1" s="62">
      <c r="A219" s="78" t="n">
        <v>31</v>
      </c>
      <c r="B219" s="79" t="inlineStr">
        <is>
          <t>The habit cue</t>
        </is>
      </c>
      <c r="C219" s="78" t="inlineStr">
        <is>
          <t>Idea</t>
        </is>
      </c>
      <c r="D219" s="78" t="inlineStr">
        <is>
          <t>Study reveal</t>
        </is>
      </c>
      <c r="E219" s="78" t="inlineStr">
        <is>
          <t>II · Confrontation</t>
        </is>
      </c>
      <c r="F219" s="78" t="inlineStr">
        <is>
          <t>Turn</t>
        </is>
      </c>
      <c r="G219" s="78" t="inlineStr">
        <is>
          <t>22–26s</t>
        </is>
      </c>
      <c r="H219" s="79" t="inlineStr">
        <is>
          <t>But every habit starts with a cue: a place, a time, a feeling.</t>
        </is>
      </c>
      <c r="I219" s="79" t="inlineStr">
        <is>
          <t>CUE → ACTION → REWARD</t>
        </is>
      </c>
      <c r="J219" s="79" t="n"/>
    </row>
    <row r="220" ht="15" customHeight="1" s="62">
      <c r="A220" s="78" t="n">
        <v>31</v>
      </c>
      <c r="B220" s="79" t="inlineStr">
        <is>
          <t>The habit cue</t>
        </is>
      </c>
      <c r="C220" s="78" t="inlineStr">
        <is>
          <t>Idea</t>
        </is>
      </c>
      <c r="D220" s="78" t="inlineStr">
        <is>
          <t>Study reveal</t>
        </is>
      </c>
      <c r="E220" s="78" t="inlineStr">
        <is>
          <t>III · Resolution</t>
        </is>
      </c>
      <c r="F220" s="78" t="inlineStr">
        <is>
          <t>Payoff</t>
        </is>
      </c>
      <c r="G220" s="78" t="inlineStr">
        <is>
          <t>26–32s</t>
        </is>
      </c>
      <c r="H220" s="79" t="inlineStr">
        <is>
          <t>Change the cue, and you change the habit.</t>
        </is>
      </c>
      <c r="I220" s="79" t="inlineStr">
        <is>
          <t>THE HABIT CUE</t>
        </is>
      </c>
      <c r="J220" s="79" t="n"/>
    </row>
    <row r="221" ht="23.85" customHeight="1" s="62">
      <c r="A221" s="81" t="n">
        <v>31</v>
      </c>
      <c r="B221" s="82" t="inlineStr">
        <is>
          <t>The habit cue</t>
        </is>
      </c>
      <c r="C221" s="81" t="inlineStr">
        <is>
          <t>Idea</t>
        </is>
      </c>
      <c r="D221" s="81" t="inlineStr">
        <is>
          <t>Study reveal</t>
        </is>
      </c>
      <c r="E221" s="81" t="inlineStr">
        <is>
          <t>III · Resolution</t>
        </is>
      </c>
      <c r="F221" s="81" t="inlineStr">
        <is>
          <t>Outro</t>
        </is>
      </c>
      <c r="G221" s="81" t="inlineStr">
        <is>
          <t>32–36s</t>
        </is>
      </c>
      <c r="H221" s="82" t="inlineStr">
        <is>
          <t>Tonight, charge your phone outside the bedroom. Tell me how tomorrow morning goes, and follow for more.</t>
        </is>
      </c>
      <c r="I221" s="82" t="inlineStr">
        <is>
          <t>PHONE OUT OF THE BEDROOM</t>
        </is>
      </c>
      <c r="J221" s="82" t="n"/>
    </row>
    <row r="222" ht="35.05" customHeight="1" s="62">
      <c r="A222" s="83" t="n">
        <v>32</v>
      </c>
      <c r="B222" s="84" t="inlineStr">
        <is>
          <t>If-then plans</t>
        </is>
      </c>
      <c r="C222" s="83" t="inlineStr">
        <is>
          <t>Scheduled</t>
        </is>
      </c>
      <c r="D222" s="83" t="inlineStr">
        <is>
          <t>List</t>
        </is>
      </c>
      <c r="E222" s="83" t="inlineStr">
        <is>
          <t>I · Setup</t>
        </is>
      </c>
      <c r="F222" s="83" t="inlineStr">
        <is>
          <t>Hook</t>
        </is>
      </c>
      <c r="G222" s="83" t="inlineStr">
        <is>
          <t>0–3s</t>
        </is>
      </c>
      <c r="H222" s="85" t="inlineStr">
        <is>
          <t>One sentence structure helped people reach goals in dozens of studies.</t>
        </is>
      </c>
      <c r="I222" s="84" t="inlineStr">
        <is>
          <t>ONE SENTENCE</t>
        </is>
      </c>
      <c r="J222" s="84" t="inlineStr">
        <is>
          <t>Gollwitzer &amp; Sheeran 2006 meta-analysis (94 studies): medium-to-large effect on goal attainment</t>
        </is>
      </c>
    </row>
    <row r="223" ht="15" customHeight="1" s="62">
      <c r="A223" s="83" t="n">
        <v>32</v>
      </c>
      <c r="B223" s="84" t="inlineStr">
        <is>
          <t>If-then plans</t>
        </is>
      </c>
      <c r="C223" s="83" t="inlineStr">
        <is>
          <t>Scheduled</t>
        </is>
      </c>
      <c r="D223" s="83" t="inlineStr">
        <is>
          <t>List</t>
        </is>
      </c>
      <c r="E223" s="83" t="inlineStr">
        <is>
          <t>I · Setup</t>
        </is>
      </c>
      <c r="F223" s="83" t="inlineStr">
        <is>
          <t>Setup</t>
        </is>
      </c>
      <c r="G223" s="83" t="inlineStr">
        <is>
          <t>3–8s</t>
        </is>
      </c>
      <c r="H223" s="84" t="inlineStr">
        <is>
          <t>You say 'I'll exercise more.' Then the excuse shows up and wins.</t>
        </is>
      </c>
      <c r="I223" s="84" t="inlineStr">
        <is>
          <t>'I'll do it later...'</t>
        </is>
      </c>
      <c r="J223" s="84" t="n"/>
    </row>
    <row r="224" ht="15" customHeight="1" s="62">
      <c r="A224" s="83" t="n">
        <v>32</v>
      </c>
      <c r="B224" s="84" t="inlineStr">
        <is>
          <t>If-then plans</t>
        </is>
      </c>
      <c r="C224" s="83" t="inlineStr">
        <is>
          <t>Scheduled</t>
        </is>
      </c>
      <c r="D224" s="83" t="inlineStr">
        <is>
          <t>List</t>
        </is>
      </c>
      <c r="E224" s="83" t="inlineStr">
        <is>
          <t>II · Confrontation</t>
        </is>
      </c>
      <c r="F224" s="83" t="inlineStr">
        <is>
          <t>Evidence</t>
        </is>
      </c>
      <c r="G224" s="83" t="inlineStr">
        <is>
          <t>8–15s</t>
        </is>
      </c>
      <c r="H224" s="84" t="inlineStr">
        <is>
          <t>Psychologist Peter Gollwitzer tested plans in an 'if X, then Y' form.</t>
        </is>
      </c>
      <c r="I224" s="84" t="inlineStr">
        <is>
          <t>GOLLWITZER | IF ___, THEN ___</t>
        </is>
      </c>
      <c r="J224" s="84" t="n"/>
    </row>
    <row r="225" ht="23.85" customHeight="1" s="62">
      <c r="A225" s="83" t="n">
        <v>32</v>
      </c>
      <c r="B225" s="84" t="inlineStr">
        <is>
          <t>If-then plans</t>
        </is>
      </c>
      <c r="C225" s="83" t="inlineStr">
        <is>
          <t>Scheduled</t>
        </is>
      </c>
      <c r="D225" s="83" t="inlineStr">
        <is>
          <t>List</t>
        </is>
      </c>
      <c r="E225" s="83" t="inlineStr">
        <is>
          <t>II · Confrontation</t>
        </is>
      </c>
      <c r="F225" s="83" t="inlineStr">
        <is>
          <t>Escalation</t>
        </is>
      </c>
      <c r="G225" s="83" t="inlineStr">
        <is>
          <t>15–22s</t>
        </is>
      </c>
      <c r="H225" s="84" t="inlineStr">
        <is>
          <t>A 2006 review of 94 studies found these plans made people noticeably more likely to follow through.</t>
        </is>
      </c>
      <c r="I225" s="84" t="inlineStr">
        <is>
          <t>94 STUDIES ✓</t>
        </is>
      </c>
      <c r="J225" s="84" t="n"/>
    </row>
    <row r="226" ht="15" customHeight="1" s="62">
      <c r="A226" s="83" t="n">
        <v>32</v>
      </c>
      <c r="B226" s="84" t="inlineStr">
        <is>
          <t>If-then plans</t>
        </is>
      </c>
      <c r="C226" s="83" t="inlineStr">
        <is>
          <t>Scheduled</t>
        </is>
      </c>
      <c r="D226" s="83" t="inlineStr">
        <is>
          <t>List</t>
        </is>
      </c>
      <c r="E226" s="83" t="inlineStr">
        <is>
          <t>II · Confrontation</t>
        </is>
      </c>
      <c r="F226" s="83" t="inlineStr">
        <is>
          <t>Turn</t>
        </is>
      </c>
      <c r="G226" s="83" t="inlineStr">
        <is>
          <t>22–26s</t>
        </is>
      </c>
      <c r="H226" s="84" t="inlineStr">
        <is>
          <t>But the trick is making the excuse itself the trigger.</t>
        </is>
      </c>
      <c r="I226" s="84" t="inlineStr">
        <is>
          <t>THE EXCUSE = THE TRIGGER</t>
        </is>
      </c>
      <c r="J226" s="84" t="n"/>
    </row>
    <row r="227" ht="15" customHeight="1" s="62">
      <c r="A227" s="83" t="n">
        <v>32</v>
      </c>
      <c r="B227" s="84" t="inlineStr">
        <is>
          <t>If-then plans</t>
        </is>
      </c>
      <c r="C227" s="83" t="inlineStr">
        <is>
          <t>Scheduled</t>
        </is>
      </c>
      <c r="D227" s="83" t="inlineStr">
        <is>
          <t>List</t>
        </is>
      </c>
      <c r="E227" s="83" t="inlineStr">
        <is>
          <t>III · Resolution</t>
        </is>
      </c>
      <c r="F227" s="83" t="inlineStr">
        <is>
          <t>Payoff</t>
        </is>
      </c>
      <c r="G227" s="83" t="inlineStr">
        <is>
          <t>26–32s</t>
        </is>
      </c>
      <c r="H227" s="84" t="inlineStr">
        <is>
          <t>'If I think I'm too tired, then I'll do just five minutes.'</t>
        </is>
      </c>
      <c r="I227" s="84" t="inlineStr">
        <is>
          <t>IF-THEN PLANS</t>
        </is>
      </c>
      <c r="J227" s="84" t="n"/>
    </row>
    <row r="228" ht="23.85" customHeight="1" s="62">
      <c r="A228" s="86" t="n">
        <v>32</v>
      </c>
      <c r="B228" s="87" t="inlineStr">
        <is>
          <t>If-then plans</t>
        </is>
      </c>
      <c r="C228" s="86" t="inlineStr">
        <is>
          <t>Scheduled</t>
        </is>
      </c>
      <c r="D228" s="86" t="inlineStr">
        <is>
          <t>List</t>
        </is>
      </c>
      <c r="E228" s="86" t="inlineStr">
        <is>
          <t>III · Resolution</t>
        </is>
      </c>
      <c r="F228" s="86" t="inlineStr">
        <is>
          <t>Outro</t>
        </is>
      </c>
      <c r="G228" s="86" t="inlineStr">
        <is>
          <t>32–36s</t>
        </is>
      </c>
      <c r="H228" s="87" t="inlineStr">
        <is>
          <t>Write one if-then plan on a sticky note right now. Save this and check back in a week.</t>
        </is>
      </c>
      <c r="I228" s="87" t="inlineStr">
        <is>
          <t>WRITE ONE NOW 📝</t>
        </is>
      </c>
      <c r="J228" s="87" t="n"/>
    </row>
    <row r="229" ht="23.85" customHeight="1" s="62">
      <c r="A229" s="78" t="n">
        <v>33</v>
      </c>
      <c r="B229" s="79" t="inlineStr">
        <is>
          <t>Reducing friction</t>
        </is>
      </c>
      <c r="C229" s="78" t="inlineStr">
        <is>
          <t>Idea</t>
        </is>
      </c>
      <c r="D229" s="78" t="inlineStr">
        <is>
          <t>Study reveal</t>
        </is>
      </c>
      <c r="E229" s="78" t="inlineStr">
        <is>
          <t>I · Setup</t>
        </is>
      </c>
      <c r="F229" s="78" t="inlineStr">
        <is>
          <t>Hook</t>
        </is>
      </c>
      <c r="G229" s="78" t="inlineStr">
        <is>
          <t>0–3s</t>
        </is>
      </c>
      <c r="H229" s="80" t="inlineStr">
        <is>
          <t>Moving food just ten inches changed how much people ate.</t>
        </is>
      </c>
      <c r="I229" s="79" t="inlineStr">
        <is>
          <t>10 INCHES | ruler + salad bar</t>
        </is>
      </c>
      <c r="J229" s="79" t="inlineStr">
        <is>
          <t>Rozin et al. 2011: making food slightly harder to reach reduced intake (~8–16%)</t>
        </is>
      </c>
    </row>
    <row r="230" ht="15" customHeight="1" s="62">
      <c r="A230" s="78" t="n">
        <v>33</v>
      </c>
      <c r="B230" s="79" t="inlineStr">
        <is>
          <t>Reducing friction</t>
        </is>
      </c>
      <c r="C230" s="78" t="inlineStr">
        <is>
          <t>Idea</t>
        </is>
      </c>
      <c r="D230" s="78" t="inlineStr">
        <is>
          <t>Study reveal</t>
        </is>
      </c>
      <c r="E230" s="78" t="inlineStr">
        <is>
          <t>I · Setup</t>
        </is>
      </c>
      <c r="F230" s="78" t="inlineStr">
        <is>
          <t>Setup</t>
        </is>
      </c>
      <c r="G230" s="78" t="inlineStr">
        <is>
          <t>3–8s</t>
        </is>
      </c>
      <c r="H230" s="79" t="inlineStr">
        <is>
          <t>In 2011, Paul Rozin's team adjusted a cafeteria salad bar.</t>
        </is>
      </c>
      <c r="I230" s="79" t="inlineStr">
        <is>
          <t>ROZIN ET AL., 2011</t>
        </is>
      </c>
      <c r="J230" s="79" t="n"/>
    </row>
    <row r="231" ht="15" customHeight="1" s="62">
      <c r="A231" s="78" t="n">
        <v>33</v>
      </c>
      <c r="B231" s="79" t="inlineStr">
        <is>
          <t>Reducing friction</t>
        </is>
      </c>
      <c r="C231" s="78" t="inlineStr">
        <is>
          <t>Idea</t>
        </is>
      </c>
      <c r="D231" s="78" t="inlineStr">
        <is>
          <t>Study reveal</t>
        </is>
      </c>
      <c r="E231" s="78" t="inlineStr">
        <is>
          <t>II · Confrontation</t>
        </is>
      </c>
      <c r="F231" s="78" t="inlineStr">
        <is>
          <t>Evidence</t>
        </is>
      </c>
      <c r="G231" s="78" t="inlineStr">
        <is>
          <t>8–15s</t>
        </is>
      </c>
      <c r="H231" s="79" t="inlineStr">
        <is>
          <t>They moved items slightly out of reach, or swapped spoons for tongs.</t>
        </is>
      </c>
      <c r="I231" s="79" t="inlineStr">
        <is>
          <t>spoon → tongs | moved back</t>
        </is>
      </c>
      <c r="J231" s="79" t="n"/>
    </row>
    <row r="232" ht="15" customHeight="1" s="62">
      <c r="A232" s="78" t="n">
        <v>33</v>
      </c>
      <c r="B232" s="79" t="inlineStr">
        <is>
          <t>Reducing friction</t>
        </is>
      </c>
      <c r="C232" s="78" t="inlineStr">
        <is>
          <t>Idea</t>
        </is>
      </c>
      <c r="D232" s="78" t="inlineStr">
        <is>
          <t>Study reveal</t>
        </is>
      </c>
      <c r="E232" s="78" t="inlineStr">
        <is>
          <t>II · Confrontation</t>
        </is>
      </c>
      <c r="F232" s="78" t="inlineStr">
        <is>
          <t>Escalation</t>
        </is>
      </c>
      <c r="G232" s="78" t="inlineStr">
        <is>
          <t>15–22s</t>
        </is>
      </c>
      <c r="H232" s="79" t="inlineStr">
        <is>
          <t>People took noticeably less of those foods. Small friction, real change.</t>
        </is>
      </c>
      <c r="I232" s="79" t="inlineStr">
        <is>
          <t>INTAKE ⬇</t>
        </is>
      </c>
      <c r="J232" s="79" t="n"/>
    </row>
    <row r="233" ht="15" customHeight="1" s="62">
      <c r="A233" s="78" t="n">
        <v>33</v>
      </c>
      <c r="B233" s="79" t="inlineStr">
        <is>
          <t>Reducing friction</t>
        </is>
      </c>
      <c r="C233" s="78" t="inlineStr">
        <is>
          <t>Idea</t>
        </is>
      </c>
      <c r="D233" s="78" t="inlineStr">
        <is>
          <t>Study reveal</t>
        </is>
      </c>
      <c r="E233" s="78" t="inlineStr">
        <is>
          <t>II · Confrontation</t>
        </is>
      </c>
      <c r="F233" s="78" t="inlineStr">
        <is>
          <t>Turn</t>
        </is>
      </c>
      <c r="G233" s="78" t="inlineStr">
        <is>
          <t>22–26s</t>
        </is>
      </c>
      <c r="H233" s="79" t="inlineStr">
        <is>
          <t>But it works both ways. Make good habits the easiest thing in reach.</t>
        </is>
      </c>
      <c r="I233" s="79" t="inlineStr">
        <is>
          <t>EASY = DONE</t>
        </is>
      </c>
      <c r="J233" s="79" t="n"/>
    </row>
    <row r="234" ht="15" customHeight="1" s="62">
      <c r="A234" s="78" t="n">
        <v>33</v>
      </c>
      <c r="B234" s="79" t="inlineStr">
        <is>
          <t>Reducing friction</t>
        </is>
      </c>
      <c r="C234" s="78" t="inlineStr">
        <is>
          <t>Idea</t>
        </is>
      </c>
      <c r="D234" s="78" t="inlineStr">
        <is>
          <t>Study reveal</t>
        </is>
      </c>
      <c r="E234" s="78" t="inlineStr">
        <is>
          <t>III · Resolution</t>
        </is>
      </c>
      <c r="F234" s="78" t="inlineStr">
        <is>
          <t>Payoff</t>
        </is>
      </c>
      <c r="G234" s="78" t="inlineStr">
        <is>
          <t>26–32s</t>
        </is>
      </c>
      <c r="H234" s="79" t="inlineStr">
        <is>
          <t>That's reducing friction.</t>
        </is>
      </c>
      <c r="I234" s="79" t="inlineStr">
        <is>
          <t>REDUCE FRICTION</t>
        </is>
      </c>
      <c r="J234" s="79" t="n"/>
    </row>
    <row r="235" ht="23.85" customHeight="1" s="62">
      <c r="A235" s="81" t="n">
        <v>33</v>
      </c>
      <c r="B235" s="82" t="inlineStr">
        <is>
          <t>Reducing friction</t>
        </is>
      </c>
      <c r="C235" s="81" t="inlineStr">
        <is>
          <t>Idea</t>
        </is>
      </c>
      <c r="D235" s="81" t="inlineStr">
        <is>
          <t>Study reveal</t>
        </is>
      </c>
      <c r="E235" s="81" t="inlineStr">
        <is>
          <t>III · Resolution</t>
        </is>
      </c>
      <c r="F235" s="81" t="inlineStr">
        <is>
          <t>Outro</t>
        </is>
      </c>
      <c r="G235" s="81" t="inlineStr">
        <is>
          <t>32–36s</t>
        </is>
      </c>
      <c r="H235" s="82" t="inlineStr">
        <is>
          <t>Put your running shoes by the door tonight. Follow, tomorrow's trick works on bad habits.</t>
        </is>
      </c>
      <c r="I235" s="82" t="inlineStr">
        <is>
          <t>SHOES BY THE DOOR</t>
        </is>
      </c>
      <c r="J235" s="82" t="n"/>
    </row>
    <row r="236" ht="23.85" customHeight="1" s="62">
      <c r="A236" s="83" t="n">
        <v>34</v>
      </c>
      <c r="B236" s="84" t="inlineStr">
        <is>
          <t>Increasing friction</t>
        </is>
      </c>
      <c r="C236" s="83" t="inlineStr">
        <is>
          <t>Idea</t>
        </is>
      </c>
      <c r="D236" s="83" t="inlineStr">
        <is>
          <t>Study reveal</t>
        </is>
      </c>
      <c r="E236" s="83" t="inlineStr">
        <is>
          <t>I · Setup</t>
        </is>
      </c>
      <c r="F236" s="83" t="inlineStr">
        <is>
          <t>Hook</t>
        </is>
      </c>
      <c r="G236" s="83" t="inlineStr">
        <is>
          <t>0–3s</t>
        </is>
      </c>
      <c r="H236" s="85" t="inlineStr">
        <is>
          <t>Your phone makes you less smart, even when it's switched off.</t>
        </is>
      </c>
      <c r="I236" s="84" t="inlineStr">
        <is>
          <t>PHONE OFF. STILL DRAINING.</t>
        </is>
      </c>
      <c r="J236" s="84" t="inlineStr">
        <is>
          <t>Ward et al. 2017 'brain drain': phone in another room → better cognitive scores than on desk</t>
        </is>
      </c>
    </row>
    <row r="237" ht="15" customHeight="1" s="62">
      <c r="A237" s="83" t="n">
        <v>34</v>
      </c>
      <c r="B237" s="84" t="inlineStr">
        <is>
          <t>Increasing friction</t>
        </is>
      </c>
      <c r="C237" s="83" t="inlineStr">
        <is>
          <t>Idea</t>
        </is>
      </c>
      <c r="D237" s="83" t="inlineStr">
        <is>
          <t>Study reveal</t>
        </is>
      </c>
      <c r="E237" s="83" t="inlineStr">
        <is>
          <t>I · Setup</t>
        </is>
      </c>
      <c r="F237" s="83" t="inlineStr">
        <is>
          <t>Setup</t>
        </is>
      </c>
      <c r="G237" s="83" t="inlineStr">
        <is>
          <t>3–8s</t>
        </is>
      </c>
      <c r="H237" s="84" t="inlineStr">
        <is>
          <t>In 2017, Adrian Ward's team tested students' working memory.</t>
        </is>
      </c>
      <c r="I237" s="84" t="inlineStr">
        <is>
          <t>WARD ET AL., 2017</t>
        </is>
      </c>
      <c r="J237" s="84" t="n"/>
    </row>
    <row r="238" ht="23.85" customHeight="1" s="62">
      <c r="A238" s="83" t="n">
        <v>34</v>
      </c>
      <c r="B238" s="84" t="inlineStr">
        <is>
          <t>Increasing friction</t>
        </is>
      </c>
      <c r="C238" s="83" t="inlineStr">
        <is>
          <t>Idea</t>
        </is>
      </c>
      <c r="D238" s="83" t="inlineStr">
        <is>
          <t>Study reveal</t>
        </is>
      </c>
      <c r="E238" s="83" t="inlineStr">
        <is>
          <t>II · Confrontation</t>
        </is>
      </c>
      <c r="F238" s="83" t="inlineStr">
        <is>
          <t>Evidence</t>
        </is>
      </c>
      <c r="G238" s="83" t="inlineStr">
        <is>
          <t>8–15s</t>
        </is>
      </c>
      <c r="H238" s="84" t="inlineStr">
        <is>
          <t>Some kept their phones on the desk, some in a pocket, some in another room.</t>
        </is>
      </c>
      <c r="I238" s="84" t="inlineStr">
        <is>
          <t>DESK | POCKET | OTHER ROOM</t>
        </is>
      </c>
      <c r="J238" s="84" t="n"/>
    </row>
    <row r="239" ht="23.85" customHeight="1" s="62">
      <c r="A239" s="83" t="n">
        <v>34</v>
      </c>
      <c r="B239" s="84" t="inlineStr">
        <is>
          <t>Increasing friction</t>
        </is>
      </c>
      <c r="C239" s="83" t="inlineStr">
        <is>
          <t>Idea</t>
        </is>
      </c>
      <c r="D239" s="83" t="inlineStr">
        <is>
          <t>Study reveal</t>
        </is>
      </c>
      <c r="E239" s="83" t="inlineStr">
        <is>
          <t>II · Confrontation</t>
        </is>
      </c>
      <c r="F239" s="83" t="inlineStr">
        <is>
          <t>Escalation</t>
        </is>
      </c>
      <c r="G239" s="83" t="inlineStr">
        <is>
          <t>15–22s</t>
        </is>
      </c>
      <c r="H239" s="84" t="inlineStr">
        <is>
          <t>The other-room group did best. The desk group did worst, even with phones silent.</t>
        </is>
      </c>
      <c r="I239" s="84" t="inlineStr">
        <is>
          <t>OTHER ROOM 🏆 | DESK ⬇</t>
        </is>
      </c>
      <c r="J239" s="84" t="n"/>
    </row>
    <row r="240" ht="15" customHeight="1" s="62">
      <c r="A240" s="83" t="n">
        <v>34</v>
      </c>
      <c r="B240" s="84" t="inlineStr">
        <is>
          <t>Increasing friction</t>
        </is>
      </c>
      <c r="C240" s="83" t="inlineStr">
        <is>
          <t>Idea</t>
        </is>
      </c>
      <c r="D240" s="83" t="inlineStr">
        <is>
          <t>Study reveal</t>
        </is>
      </c>
      <c r="E240" s="83" t="inlineStr">
        <is>
          <t>II · Confrontation</t>
        </is>
      </c>
      <c r="F240" s="83" t="inlineStr">
        <is>
          <t>Turn</t>
        </is>
      </c>
      <c r="G240" s="83" t="inlineStr">
        <is>
          <t>22–26s</t>
        </is>
      </c>
      <c r="H240" s="84" t="inlineStr">
        <is>
          <t>But just resisting it uses up attention.</t>
        </is>
      </c>
      <c r="I240" s="84" t="inlineStr">
        <is>
          <t>RESISTING COSTS FOCUS</t>
        </is>
      </c>
      <c r="J240" s="84" t="n"/>
    </row>
    <row r="241" ht="15" customHeight="1" s="62">
      <c r="A241" s="83" t="n">
        <v>34</v>
      </c>
      <c r="B241" s="84" t="inlineStr">
        <is>
          <t>Increasing friction</t>
        </is>
      </c>
      <c r="C241" s="83" t="inlineStr">
        <is>
          <t>Idea</t>
        </is>
      </c>
      <c r="D241" s="83" t="inlineStr">
        <is>
          <t>Study reveal</t>
        </is>
      </c>
      <c r="E241" s="83" t="inlineStr">
        <is>
          <t>III · Resolution</t>
        </is>
      </c>
      <c r="F241" s="83" t="inlineStr">
        <is>
          <t>Payoff</t>
        </is>
      </c>
      <c r="G241" s="83" t="inlineStr">
        <is>
          <t>26–32s</t>
        </is>
      </c>
      <c r="H241" s="84" t="inlineStr">
        <is>
          <t>That's why adding friction works.</t>
        </is>
      </c>
      <c r="I241" s="84" t="inlineStr">
        <is>
          <t>ADD FRICTION</t>
        </is>
      </c>
      <c r="J241" s="84" t="n"/>
    </row>
    <row r="242" ht="23.85" customHeight="1" s="62">
      <c r="A242" s="86" t="n">
        <v>34</v>
      </c>
      <c r="B242" s="87" t="inlineStr">
        <is>
          <t>Increasing friction</t>
        </is>
      </c>
      <c r="C242" s="86" t="inlineStr">
        <is>
          <t>Idea</t>
        </is>
      </c>
      <c r="D242" s="86" t="inlineStr">
        <is>
          <t>Study reveal</t>
        </is>
      </c>
      <c r="E242" s="86" t="inlineStr">
        <is>
          <t>III · Resolution</t>
        </is>
      </c>
      <c r="F242" s="86" t="inlineStr">
        <is>
          <t>Outro</t>
        </is>
      </c>
      <c r="G242" s="86" t="inlineStr">
        <is>
          <t>32–36s</t>
        </is>
      </c>
      <c r="H242" s="87" t="inlineStr">
        <is>
          <t>Next focus session, put your phone in another room. One step out of reach. Follow for more.</t>
        </is>
      </c>
      <c r="I242" s="87" t="inlineStr">
        <is>
          <t>PHONE IN ANOTHER ROOM</t>
        </is>
      </c>
      <c r="J242" s="87" t="n"/>
    </row>
    <row r="243" ht="23.85" customHeight="1" s="62">
      <c r="A243" s="78" t="n">
        <v>35</v>
      </c>
      <c r="B243" s="79" t="inlineStr">
        <is>
          <t>Present bias</t>
        </is>
      </c>
      <c r="C243" s="78" t="inlineStr">
        <is>
          <t>Scheduled</t>
        </is>
      </c>
      <c r="D243" s="78" t="inlineStr">
        <is>
          <t>Forced choice</t>
        </is>
      </c>
      <c r="E243" s="78" t="inlineStr">
        <is>
          <t>I · Setup</t>
        </is>
      </c>
      <c r="F243" s="78" t="inlineStr">
        <is>
          <t>Hook</t>
        </is>
      </c>
      <c r="G243" s="78" t="inlineStr">
        <is>
          <t>0–3s</t>
        </is>
      </c>
      <c r="H243" s="80" t="inlineStr">
        <is>
          <t>Fruit or chocolate? Your answer changes depending on when you get it.</t>
        </is>
      </c>
      <c r="I243" s="79" t="inlineStr">
        <is>
          <t>🍎 or 🍫?</t>
        </is>
      </c>
      <c r="J243" s="79" t="inlineStr">
        <is>
          <t>Read &amp; van Leeuwen 1998: most chose fruit for next week, chocolate for now</t>
        </is>
      </c>
    </row>
    <row r="244" ht="23.85" customHeight="1" s="62">
      <c r="A244" s="78" t="n">
        <v>35</v>
      </c>
      <c r="B244" s="79" t="inlineStr">
        <is>
          <t>Present bias</t>
        </is>
      </c>
      <c r="C244" s="78" t="inlineStr">
        <is>
          <t>Scheduled</t>
        </is>
      </c>
      <c r="D244" s="78" t="inlineStr">
        <is>
          <t>Forced choice</t>
        </is>
      </c>
      <c r="E244" s="78" t="inlineStr">
        <is>
          <t>I · Setup</t>
        </is>
      </c>
      <c r="F244" s="78" t="inlineStr">
        <is>
          <t>Setup</t>
        </is>
      </c>
      <c r="G244" s="78" t="inlineStr">
        <is>
          <t>3–8s</t>
        </is>
      </c>
      <c r="H244" s="79" t="inlineStr">
        <is>
          <t>In 1998, Daniel Read and Barbara van Leeuwen asked office workers to pick a snack for next week.</t>
        </is>
      </c>
      <c r="I244" s="79" t="inlineStr">
        <is>
          <t>READ &amp; VAN LEEUWEN, 1998</t>
        </is>
      </c>
      <c r="J244" s="79" t="n"/>
    </row>
    <row r="245" ht="15" customHeight="1" s="62">
      <c r="A245" s="78" t="n">
        <v>35</v>
      </c>
      <c r="B245" s="79" t="inlineStr">
        <is>
          <t>Present bias</t>
        </is>
      </c>
      <c r="C245" s="78" t="inlineStr">
        <is>
          <t>Scheduled</t>
        </is>
      </c>
      <c r="D245" s="78" t="inlineStr">
        <is>
          <t>Forced choice</t>
        </is>
      </c>
      <c r="E245" s="78" t="inlineStr">
        <is>
          <t>II · Confrontation</t>
        </is>
      </c>
      <c r="F245" s="78" t="inlineStr">
        <is>
          <t>Evidence</t>
        </is>
      </c>
      <c r="G245" s="78" t="inlineStr">
        <is>
          <t>8–15s</t>
        </is>
      </c>
      <c r="H245" s="79" t="inlineStr">
        <is>
          <t>Most chose fruit. The healthy choice.</t>
        </is>
      </c>
      <c r="I245" s="79" t="inlineStr">
        <is>
          <t>NEXT WEEK → 🍎</t>
        </is>
      </c>
      <c r="J245" s="79" t="n"/>
    </row>
    <row r="246" ht="23.85" customHeight="1" s="62">
      <c r="A246" s="78" t="n">
        <v>35</v>
      </c>
      <c r="B246" s="79" t="inlineStr">
        <is>
          <t>Present bias</t>
        </is>
      </c>
      <c r="C246" s="78" t="inlineStr">
        <is>
          <t>Scheduled</t>
        </is>
      </c>
      <c r="D246" s="78" t="inlineStr">
        <is>
          <t>Forced choice</t>
        </is>
      </c>
      <c r="E246" s="78" t="inlineStr">
        <is>
          <t>II · Confrontation</t>
        </is>
      </c>
      <c r="F246" s="78" t="inlineStr">
        <is>
          <t>Escalation</t>
        </is>
      </c>
      <c r="G246" s="78" t="inlineStr">
        <is>
          <t>15–22s</t>
        </is>
      </c>
      <c r="H246" s="79" t="inlineStr">
        <is>
          <t>But when the day came and they could choose again, most switched to chocolate.</t>
        </is>
      </c>
      <c r="I246" s="79" t="inlineStr">
        <is>
          <t>TODAY → 🍫</t>
        </is>
      </c>
      <c r="J246" s="79" t="n"/>
    </row>
    <row r="247" ht="15" customHeight="1" s="62">
      <c r="A247" s="78" t="n">
        <v>35</v>
      </c>
      <c r="B247" s="79" t="inlineStr">
        <is>
          <t>Present bias</t>
        </is>
      </c>
      <c r="C247" s="78" t="inlineStr">
        <is>
          <t>Scheduled</t>
        </is>
      </c>
      <c r="D247" s="78" t="inlineStr">
        <is>
          <t>Forced choice</t>
        </is>
      </c>
      <c r="E247" s="78" t="inlineStr">
        <is>
          <t>II · Confrontation</t>
        </is>
      </c>
      <c r="F247" s="78" t="inlineStr">
        <is>
          <t>Turn</t>
        </is>
      </c>
      <c r="G247" s="78" t="inlineStr">
        <is>
          <t>22–26s</t>
        </is>
      </c>
      <c r="H247" s="79" t="inlineStr">
        <is>
          <t>Future you is a saint. Present you wants the reward now.</t>
        </is>
      </c>
      <c r="I247" s="79" t="inlineStr">
        <is>
          <t>FUTURE YOU 😇 | PRESENT YOU 😈</t>
        </is>
      </c>
      <c r="J247" s="79" t="n"/>
    </row>
    <row r="248" ht="15" customHeight="1" s="62">
      <c r="A248" s="78" t="n">
        <v>35</v>
      </c>
      <c r="B248" s="79" t="inlineStr">
        <is>
          <t>Present bias</t>
        </is>
      </c>
      <c r="C248" s="78" t="inlineStr">
        <is>
          <t>Scheduled</t>
        </is>
      </c>
      <c r="D248" s="78" t="inlineStr">
        <is>
          <t>Forced choice</t>
        </is>
      </c>
      <c r="E248" s="78" t="inlineStr">
        <is>
          <t>III · Resolution</t>
        </is>
      </c>
      <c r="F248" s="78" t="inlineStr">
        <is>
          <t>Payoff</t>
        </is>
      </c>
      <c r="G248" s="78" t="inlineStr">
        <is>
          <t>26–32s</t>
        </is>
      </c>
      <c r="H248" s="79" t="inlineStr">
        <is>
          <t>It's present bias.</t>
        </is>
      </c>
      <c r="I248" s="79" t="inlineStr">
        <is>
          <t>PRESENT BIAS</t>
        </is>
      </c>
      <c r="J248" s="79" t="n"/>
    </row>
    <row r="249" ht="23.85" customHeight="1" s="62">
      <c r="A249" s="81" t="n">
        <v>35</v>
      </c>
      <c r="B249" s="82" t="inlineStr">
        <is>
          <t>Present bias</t>
        </is>
      </c>
      <c r="C249" s="81" t="inlineStr">
        <is>
          <t>Scheduled</t>
        </is>
      </c>
      <c r="D249" s="81" t="inlineStr">
        <is>
          <t>Forced choice</t>
        </is>
      </c>
      <c r="E249" s="81" t="inlineStr">
        <is>
          <t>III · Resolution</t>
        </is>
      </c>
      <c r="F249" s="81" t="inlineStr">
        <is>
          <t>Outro</t>
        </is>
      </c>
      <c r="G249" s="81" t="inlineStr">
        <is>
          <t>32–36s</t>
        </is>
      </c>
      <c r="H249" s="82" t="inlineStr">
        <is>
          <t>Decide in advance, and lock it in. Like packing your lunch tonight. Save this and follow for tomorrow.</t>
        </is>
      </c>
      <c r="I249" s="82" t="inlineStr">
        <is>
          <t>DECIDE IN ADVANCE</t>
        </is>
      </c>
      <c r="J249" s="82" t="n"/>
    </row>
    <row r="250" ht="23.85" customHeight="1" s="62">
      <c r="A250" s="83" t="n">
        <v>36</v>
      </c>
      <c r="B250" s="84" t="inlineStr">
        <is>
          <t>Procrastination and feelings</t>
        </is>
      </c>
      <c r="C250" s="83" t="inlineStr">
        <is>
          <t>Scheduled</t>
        </is>
      </c>
      <c r="D250" s="83" t="inlineStr">
        <is>
          <t>Contrarian</t>
        </is>
      </c>
      <c r="E250" s="83" t="inlineStr">
        <is>
          <t>I · Setup</t>
        </is>
      </c>
      <c r="F250" s="83" t="inlineStr">
        <is>
          <t>Hook</t>
        </is>
      </c>
      <c r="G250" s="83" t="inlineStr">
        <is>
          <t>0–3s</t>
        </is>
      </c>
      <c r="H250" s="85" t="inlineStr">
        <is>
          <t>Procrastination isn't a time problem. It's a feelings problem.</t>
        </is>
      </c>
      <c r="I250" s="84" t="inlineStr">
        <is>
          <t>NOT TIME. FEELINGS.</t>
        </is>
      </c>
      <c r="J250" s="84" t="inlineStr">
        <is>
          <t>Sirois &amp; Pychyl 2013: procrastination as short-term mood repair</t>
        </is>
      </c>
    </row>
    <row r="251" ht="23.85" customHeight="1" s="62">
      <c r="A251" s="83" t="n">
        <v>36</v>
      </c>
      <c r="B251" s="84" t="inlineStr">
        <is>
          <t>Procrastination and feelings</t>
        </is>
      </c>
      <c r="C251" s="83" t="inlineStr">
        <is>
          <t>Scheduled</t>
        </is>
      </c>
      <c r="D251" s="83" t="inlineStr">
        <is>
          <t>Contrarian</t>
        </is>
      </c>
      <c r="E251" s="83" t="inlineStr">
        <is>
          <t>I · Setup</t>
        </is>
      </c>
      <c r="F251" s="83" t="inlineStr">
        <is>
          <t>Setup</t>
        </is>
      </c>
      <c r="G251" s="83" t="inlineStr">
        <is>
          <t>3–8s</t>
        </is>
      </c>
      <c r="H251" s="84" t="inlineStr">
        <is>
          <t>You open the task, feel a small wave of dread, and suddenly the fridge needs cleaning.</t>
        </is>
      </c>
      <c r="I251" s="84" t="inlineStr">
        <is>
          <t>task → dread → fridge</t>
        </is>
      </c>
      <c r="J251" s="84" t="n"/>
    </row>
    <row r="252" ht="23.85" customHeight="1" s="62">
      <c r="A252" s="83" t="n">
        <v>36</v>
      </c>
      <c r="B252" s="84" t="inlineStr">
        <is>
          <t>Procrastination and feelings</t>
        </is>
      </c>
      <c r="C252" s="83" t="inlineStr">
        <is>
          <t>Scheduled</t>
        </is>
      </c>
      <c r="D252" s="83" t="inlineStr">
        <is>
          <t>Contrarian</t>
        </is>
      </c>
      <c r="E252" s="83" t="inlineStr">
        <is>
          <t>II · Confrontation</t>
        </is>
      </c>
      <c r="F252" s="83" t="inlineStr">
        <is>
          <t>Evidence</t>
        </is>
      </c>
      <c r="G252" s="83" t="inlineStr">
        <is>
          <t>8–15s</t>
        </is>
      </c>
      <c r="H252" s="84" t="inlineStr">
        <is>
          <t>In 2013, Fuschia Sirois and Timothy Pychyl described procrastination as short-term mood repair.</t>
        </is>
      </c>
      <c r="I252" s="84" t="inlineStr">
        <is>
          <t>SIROIS &amp; PYCHYL, 2013</t>
        </is>
      </c>
      <c r="J252" s="84" t="n"/>
    </row>
    <row r="253" ht="15" customHeight="1" s="62">
      <c r="A253" s="83" t="n">
        <v>36</v>
      </c>
      <c r="B253" s="84" t="inlineStr">
        <is>
          <t>Procrastination and feelings</t>
        </is>
      </c>
      <c r="C253" s="83" t="inlineStr">
        <is>
          <t>Scheduled</t>
        </is>
      </c>
      <c r="D253" s="83" t="inlineStr">
        <is>
          <t>Contrarian</t>
        </is>
      </c>
      <c r="E253" s="83" t="inlineStr">
        <is>
          <t>II · Confrontation</t>
        </is>
      </c>
      <c r="F253" s="83" t="inlineStr">
        <is>
          <t>Escalation</t>
        </is>
      </c>
      <c r="G253" s="83" t="inlineStr">
        <is>
          <t>15–22s</t>
        </is>
      </c>
      <c r="H253" s="84" t="inlineStr">
        <is>
          <t>Avoiding the task makes you feel better, right now.</t>
        </is>
      </c>
      <c r="I253" s="84" t="inlineStr">
        <is>
          <t>AVOID → RELIEF 😌</t>
        </is>
      </c>
      <c r="J253" s="84" t="n"/>
    </row>
    <row r="254" ht="15" customHeight="1" s="62">
      <c r="A254" s="83" t="n">
        <v>36</v>
      </c>
      <c r="B254" s="84" t="inlineStr">
        <is>
          <t>Procrastination and feelings</t>
        </is>
      </c>
      <c r="C254" s="83" t="inlineStr">
        <is>
          <t>Scheduled</t>
        </is>
      </c>
      <c r="D254" s="83" t="inlineStr">
        <is>
          <t>Contrarian</t>
        </is>
      </c>
      <c r="E254" s="83" t="inlineStr">
        <is>
          <t>II · Confrontation</t>
        </is>
      </c>
      <c r="F254" s="83" t="inlineStr">
        <is>
          <t>Turn</t>
        </is>
      </c>
      <c r="G254" s="83" t="inlineStr">
        <is>
          <t>22–26s</t>
        </is>
      </c>
      <c r="H254" s="84" t="inlineStr">
        <is>
          <t>But the relief is borrowed. Future you pays it back with stress.</t>
        </is>
      </c>
      <c r="I254" s="84" t="inlineStr">
        <is>
          <t>BORROWED RELIEF</t>
        </is>
      </c>
      <c r="J254" s="84" t="n"/>
    </row>
    <row r="255" ht="15" customHeight="1" s="62">
      <c r="A255" s="83" t="n">
        <v>36</v>
      </c>
      <c r="B255" s="84" t="inlineStr">
        <is>
          <t>Procrastination and feelings</t>
        </is>
      </c>
      <c r="C255" s="83" t="inlineStr">
        <is>
          <t>Scheduled</t>
        </is>
      </c>
      <c r="D255" s="83" t="inlineStr">
        <is>
          <t>Contrarian</t>
        </is>
      </c>
      <c r="E255" s="83" t="inlineStr">
        <is>
          <t>III · Resolution</t>
        </is>
      </c>
      <c r="F255" s="83" t="inlineStr">
        <is>
          <t>Payoff</t>
        </is>
      </c>
      <c r="G255" s="83" t="inlineStr">
        <is>
          <t>26–32s</t>
        </is>
      </c>
      <c r="H255" s="84" t="inlineStr">
        <is>
          <t>You're not lazy. You're avoiding a feeling.</t>
        </is>
      </c>
      <c r="I255" s="84" t="inlineStr">
        <is>
          <t>WHICH FEELING?</t>
        </is>
      </c>
      <c r="J255" s="84" t="n"/>
    </row>
    <row r="256" ht="23.85" customHeight="1" s="62">
      <c r="A256" s="86" t="n">
        <v>36</v>
      </c>
      <c r="B256" s="87" t="inlineStr">
        <is>
          <t>Procrastination and feelings</t>
        </is>
      </c>
      <c r="C256" s="86" t="inlineStr">
        <is>
          <t>Scheduled</t>
        </is>
      </c>
      <c r="D256" s="86" t="inlineStr">
        <is>
          <t>Contrarian</t>
        </is>
      </c>
      <c r="E256" s="86" t="inlineStr">
        <is>
          <t>III · Resolution</t>
        </is>
      </c>
      <c r="F256" s="86" t="inlineStr">
        <is>
          <t>Outro</t>
        </is>
      </c>
      <c r="G256" s="86" t="inlineStr">
        <is>
          <t>32–36s</t>
        </is>
      </c>
      <c r="H256" s="87" t="inlineStr">
        <is>
          <t>Name the feeling, boredom, doubt or fear, then do just two minutes. Save this for the next task you're dodging.</t>
        </is>
      </c>
      <c r="I256" s="87" t="inlineStr">
        <is>
          <t>NAME IT. 2 MINUTES.</t>
        </is>
      </c>
      <c r="J256" s="87" t="n"/>
    </row>
    <row r="257" ht="23.85" customHeight="1" s="62">
      <c r="A257" s="78" t="n">
        <v>37</v>
      </c>
      <c r="B257" s="79" t="inlineStr">
        <is>
          <t>Reward timing</t>
        </is>
      </c>
      <c r="C257" s="78" t="inlineStr">
        <is>
          <t>Scripted</t>
        </is>
      </c>
      <c r="D257" s="78" t="inlineStr">
        <is>
          <t>Study reveal</t>
        </is>
      </c>
      <c r="E257" s="78" t="inlineStr">
        <is>
          <t>I · Setup</t>
        </is>
      </c>
      <c r="F257" s="78" t="inlineStr">
        <is>
          <t>Hook</t>
        </is>
      </c>
      <c r="G257" s="78" t="inlineStr">
        <is>
          <t>0–3s</t>
        </is>
      </c>
      <c r="H257" s="80" t="inlineStr">
        <is>
          <t>People studied longer when they got snacks while studying, not after.</t>
        </is>
      </c>
      <c r="I257" s="79" t="inlineStr">
        <is>
          <t>SNACK DURING &gt; AFTER</t>
        </is>
      </c>
      <c r="J257" s="79" t="inlineStr">
        <is>
          <t>Woolley &amp; Fishbach 2016/2017: immediate rewards increased persistence and interest</t>
        </is>
      </c>
    </row>
    <row r="258" ht="15" customHeight="1" s="62">
      <c r="A258" s="78" t="n">
        <v>37</v>
      </c>
      <c r="B258" s="79" t="inlineStr">
        <is>
          <t>Reward timing</t>
        </is>
      </c>
      <c r="C258" s="78" t="inlineStr">
        <is>
          <t>Scripted</t>
        </is>
      </c>
      <c r="D258" s="78" t="inlineStr">
        <is>
          <t>Study reveal</t>
        </is>
      </c>
      <c r="E258" s="78" t="inlineStr">
        <is>
          <t>I · Setup</t>
        </is>
      </c>
      <c r="F258" s="78" t="inlineStr">
        <is>
          <t>Setup</t>
        </is>
      </c>
      <c r="G258" s="78" t="inlineStr">
        <is>
          <t>3–8s</t>
        </is>
      </c>
      <c r="H258" s="79" t="inlineStr">
        <is>
          <t>We usually save rewards for the end: finish the essay, then the treat.</t>
        </is>
      </c>
      <c r="I258" s="79" t="inlineStr">
        <is>
          <t>essay → 🎉 (later)</t>
        </is>
      </c>
      <c r="J258" s="79" t="n"/>
    </row>
    <row r="259" ht="23.85" customHeight="1" s="62">
      <c r="A259" s="78" t="n">
        <v>37</v>
      </c>
      <c r="B259" s="79" t="inlineStr">
        <is>
          <t>Reward timing</t>
        </is>
      </c>
      <c r="C259" s="78" t="inlineStr">
        <is>
          <t>Scripted</t>
        </is>
      </c>
      <c r="D259" s="78" t="inlineStr">
        <is>
          <t>Study reveal</t>
        </is>
      </c>
      <c r="E259" s="78" t="inlineStr">
        <is>
          <t>II · Confrontation</t>
        </is>
      </c>
      <c r="F259" s="78" t="inlineStr">
        <is>
          <t>Evidence</t>
        </is>
      </c>
      <c r="G259" s="78" t="inlineStr">
        <is>
          <t>8–15s</t>
        </is>
      </c>
      <c r="H259" s="79" t="inlineStr">
        <is>
          <t>In 2016, Kaitlin Woolley and Ayelet Fishbach tested rewards during the task.</t>
        </is>
      </c>
      <c r="I259" s="79" t="inlineStr">
        <is>
          <t>WOOLLEY &amp; FISHBACH</t>
        </is>
      </c>
      <c r="J259" s="79" t="n"/>
    </row>
    <row r="260" ht="23.85" customHeight="1" s="62">
      <c r="A260" s="78" t="n">
        <v>37</v>
      </c>
      <c r="B260" s="79" t="inlineStr">
        <is>
          <t>Reward timing</t>
        </is>
      </c>
      <c r="C260" s="78" t="inlineStr">
        <is>
          <t>Scripted</t>
        </is>
      </c>
      <c r="D260" s="78" t="inlineStr">
        <is>
          <t>Study reveal</t>
        </is>
      </c>
      <c r="E260" s="78" t="inlineStr">
        <is>
          <t>II · Confrontation</t>
        </is>
      </c>
      <c r="F260" s="78" t="inlineStr">
        <is>
          <t>Escalation</t>
        </is>
      </c>
      <c r="G260" s="78" t="inlineStr">
        <is>
          <t>15–22s</t>
        </is>
      </c>
      <c r="H260" s="79" t="inlineStr">
        <is>
          <t>Immediate rewards made people more interested and more likely to keep going.</t>
        </is>
      </c>
      <c r="I260" s="79" t="inlineStr">
        <is>
          <t>INTEREST ⬆ PERSISTENCE ⬆</t>
        </is>
      </c>
      <c r="J260" s="79" t="n"/>
    </row>
    <row r="261" ht="15" customHeight="1" s="62">
      <c r="A261" s="78" t="n">
        <v>37</v>
      </c>
      <c r="B261" s="79" t="inlineStr">
        <is>
          <t>Reward timing</t>
        </is>
      </c>
      <c r="C261" s="78" t="inlineStr">
        <is>
          <t>Scripted</t>
        </is>
      </c>
      <c r="D261" s="78" t="inlineStr">
        <is>
          <t>Study reveal</t>
        </is>
      </c>
      <c r="E261" s="78" t="inlineStr">
        <is>
          <t>II · Confrontation</t>
        </is>
      </c>
      <c r="F261" s="78" t="inlineStr">
        <is>
          <t>Turn</t>
        </is>
      </c>
      <c r="G261" s="78" t="inlineStr">
        <is>
          <t>22–26s</t>
        </is>
      </c>
      <c r="H261" s="79" t="inlineStr">
        <is>
          <t>But only small ones work, a good drink, a playlist, a nice spot.</t>
        </is>
      </c>
      <c r="I261" s="79" t="inlineStr">
        <is>
          <t>SMALL REWARDS</t>
        </is>
      </c>
      <c r="J261" s="79" t="n"/>
    </row>
    <row r="262" ht="15" customHeight="1" s="62">
      <c r="A262" s="78" t="n">
        <v>37</v>
      </c>
      <c r="B262" s="79" t="inlineStr">
        <is>
          <t>Reward timing</t>
        </is>
      </c>
      <c r="C262" s="78" t="inlineStr">
        <is>
          <t>Scripted</t>
        </is>
      </c>
      <c r="D262" s="78" t="inlineStr">
        <is>
          <t>Study reveal</t>
        </is>
      </c>
      <c r="E262" s="78" t="inlineStr">
        <is>
          <t>III · Resolution</t>
        </is>
      </c>
      <c r="F262" s="78" t="inlineStr">
        <is>
          <t>Payoff</t>
        </is>
      </c>
      <c r="G262" s="78" t="inlineStr">
        <is>
          <t>26–32s</t>
        </is>
      </c>
      <c r="H262" s="79" t="inlineStr">
        <is>
          <t>That's reward timing.</t>
        </is>
      </c>
      <c r="I262" s="79" t="inlineStr">
        <is>
          <t>REWARD TIMING</t>
        </is>
      </c>
      <c r="J262" s="79" t="n"/>
    </row>
    <row r="263" ht="23.85" customHeight="1" s="62">
      <c r="A263" s="81" t="n">
        <v>37</v>
      </c>
      <c r="B263" s="82" t="inlineStr">
        <is>
          <t>Reward timing</t>
        </is>
      </c>
      <c r="C263" s="81" t="inlineStr">
        <is>
          <t>Scripted</t>
        </is>
      </c>
      <c r="D263" s="81" t="inlineStr">
        <is>
          <t>Study reveal</t>
        </is>
      </c>
      <c r="E263" s="81" t="inlineStr">
        <is>
          <t>III · Resolution</t>
        </is>
      </c>
      <c r="F263" s="81" t="inlineStr">
        <is>
          <t>Outro</t>
        </is>
      </c>
      <c r="G263" s="81" t="inlineStr">
        <is>
          <t>32–36s</t>
        </is>
      </c>
      <c r="H263" s="82" t="inlineStr">
        <is>
          <t>Pair your hardest task with something you enjoy, right now. Follow for tomorrow's motivation trick.</t>
        </is>
      </c>
      <c r="I263" s="82" t="inlineStr">
        <is>
          <t>PAIR IT WITH A TREAT</t>
        </is>
      </c>
      <c r="J263" s="82" t="n"/>
    </row>
    <row r="264" ht="23.85" customHeight="1" s="62">
      <c r="A264" s="83" t="n">
        <v>38</v>
      </c>
      <c r="B264" s="84" t="inlineStr">
        <is>
          <t>Goal specificity</t>
        </is>
      </c>
      <c r="C264" s="83" t="inlineStr">
        <is>
          <t>Idea</t>
        </is>
      </c>
      <c r="D264" s="83" t="inlineStr">
        <is>
          <t>Contrarian</t>
        </is>
      </c>
      <c r="E264" s="83" t="inlineStr">
        <is>
          <t>I · Setup</t>
        </is>
      </c>
      <c r="F264" s="83" t="inlineStr">
        <is>
          <t>Hook</t>
        </is>
      </c>
      <c r="G264" s="83" t="inlineStr">
        <is>
          <t>0–3s</t>
        </is>
      </c>
      <c r="H264" s="85" t="inlineStr">
        <is>
          <t>'Do your best' is the worst goal you can set.</t>
        </is>
      </c>
      <c r="I264" s="84" t="inlineStr">
        <is>
          <t>'DO YOUR BEST' ❌</t>
        </is>
      </c>
      <c r="J264" s="84" t="inlineStr">
        <is>
          <t>Locke &amp; Latham 2002: specific challenging goals outperform 'do your best'</t>
        </is>
      </c>
    </row>
    <row r="265" ht="15" customHeight="1" s="62">
      <c r="A265" s="83" t="n">
        <v>38</v>
      </c>
      <c r="B265" s="84" t="inlineStr">
        <is>
          <t>Goal specificity</t>
        </is>
      </c>
      <c r="C265" s="83" t="inlineStr">
        <is>
          <t>Idea</t>
        </is>
      </c>
      <c r="D265" s="83" t="inlineStr">
        <is>
          <t>Contrarian</t>
        </is>
      </c>
      <c r="E265" s="83" t="inlineStr">
        <is>
          <t>I · Setup</t>
        </is>
      </c>
      <c r="F265" s="83" t="inlineStr">
        <is>
          <t>Setup</t>
        </is>
      </c>
      <c r="G265" s="83" t="inlineStr">
        <is>
          <t>3–8s</t>
        </is>
      </c>
      <c r="H265" s="84" t="inlineStr">
        <is>
          <t>'Be more productive' sounds good, but what do you actually do at 9 AM?</t>
        </is>
      </c>
      <c r="I265" s="84" t="inlineStr">
        <is>
          <t>9:00 AM ... ???</t>
        </is>
      </c>
      <c r="J265" s="84" t="n"/>
    </row>
    <row r="266" ht="15" customHeight="1" s="62">
      <c r="A266" s="83" t="n">
        <v>38</v>
      </c>
      <c r="B266" s="84" t="inlineStr">
        <is>
          <t>Goal specificity</t>
        </is>
      </c>
      <c r="C266" s="83" t="inlineStr">
        <is>
          <t>Idea</t>
        </is>
      </c>
      <c r="D266" s="83" t="inlineStr">
        <is>
          <t>Contrarian</t>
        </is>
      </c>
      <c r="E266" s="83" t="inlineStr">
        <is>
          <t>II · Confrontation</t>
        </is>
      </c>
      <c r="F266" s="83" t="inlineStr">
        <is>
          <t>Evidence</t>
        </is>
      </c>
      <c r="G266" s="83" t="inlineStr">
        <is>
          <t>8–15s</t>
        </is>
      </c>
      <c r="H266" s="84" t="inlineStr">
        <is>
          <t>Edwin Locke and Gary Latham reviewed decades of goal research.</t>
        </is>
      </c>
      <c r="I266" s="84" t="inlineStr">
        <is>
          <t>LOCKE &amp; LATHAM, 2002</t>
        </is>
      </c>
      <c r="J266" s="84" t="n"/>
    </row>
    <row r="267" ht="23.85" customHeight="1" s="62">
      <c r="A267" s="83" t="n">
        <v>38</v>
      </c>
      <c r="B267" s="84" t="inlineStr">
        <is>
          <t>Goal specificity</t>
        </is>
      </c>
      <c r="C267" s="83" t="inlineStr">
        <is>
          <t>Idea</t>
        </is>
      </c>
      <c r="D267" s="83" t="inlineStr">
        <is>
          <t>Contrarian</t>
        </is>
      </c>
      <c r="E267" s="83" t="inlineStr">
        <is>
          <t>II · Confrontation</t>
        </is>
      </c>
      <c r="F267" s="83" t="inlineStr">
        <is>
          <t>Escalation</t>
        </is>
      </c>
      <c r="G267" s="83" t="inlineStr">
        <is>
          <t>15–22s</t>
        </is>
      </c>
      <c r="H267" s="84" t="inlineStr">
        <is>
          <t>Specific, challenging goals beat vague 'do your best' goals again and again.</t>
        </is>
      </c>
      <c r="I267" s="84" t="inlineStr">
        <is>
          <t>SPECIFIC &gt; VAGUE</t>
        </is>
      </c>
      <c r="J267" s="84" t="n"/>
    </row>
    <row r="268" ht="15" customHeight="1" s="62">
      <c r="A268" s="83" t="n">
        <v>38</v>
      </c>
      <c r="B268" s="84" t="inlineStr">
        <is>
          <t>Goal specificity</t>
        </is>
      </c>
      <c r="C268" s="83" t="inlineStr">
        <is>
          <t>Idea</t>
        </is>
      </c>
      <c r="D268" s="83" t="inlineStr">
        <is>
          <t>Contrarian</t>
        </is>
      </c>
      <c r="E268" s="83" t="inlineStr">
        <is>
          <t>II · Confrontation</t>
        </is>
      </c>
      <c r="F268" s="83" t="inlineStr">
        <is>
          <t>Turn</t>
        </is>
      </c>
      <c r="G268" s="83" t="inlineStr">
        <is>
          <t>22–26s</t>
        </is>
      </c>
      <c r="H268" s="84" t="inlineStr">
        <is>
          <t>But specific means a next action you could do in the next hour.</t>
        </is>
      </c>
      <c r="I268" s="84" t="inlineStr">
        <is>
          <t>NEXT ACTION</t>
        </is>
      </c>
      <c r="J268" s="84" t="n"/>
    </row>
    <row r="269" ht="15" customHeight="1" s="62">
      <c r="A269" s="83" t="n">
        <v>38</v>
      </c>
      <c r="B269" s="84" t="inlineStr">
        <is>
          <t>Goal specificity</t>
        </is>
      </c>
      <c r="C269" s="83" t="inlineStr">
        <is>
          <t>Idea</t>
        </is>
      </c>
      <c r="D269" s="83" t="inlineStr">
        <is>
          <t>Contrarian</t>
        </is>
      </c>
      <c r="E269" s="83" t="inlineStr">
        <is>
          <t>III · Resolution</t>
        </is>
      </c>
      <c r="F269" s="83" t="inlineStr">
        <is>
          <t>Payoff</t>
        </is>
      </c>
      <c r="G269" s="83" t="inlineStr">
        <is>
          <t>26–32s</t>
        </is>
      </c>
      <c r="H269" s="84" t="inlineStr">
        <is>
          <t>That's goal specificity.</t>
        </is>
      </c>
      <c r="I269" s="84" t="inlineStr">
        <is>
          <t>GOAL SPECIFICITY</t>
        </is>
      </c>
      <c r="J269" s="84" t="n"/>
    </row>
    <row r="270" ht="23.85" customHeight="1" s="62">
      <c r="A270" s="86" t="n">
        <v>38</v>
      </c>
      <c r="B270" s="87" t="inlineStr">
        <is>
          <t>Goal specificity</t>
        </is>
      </c>
      <c r="C270" s="86" t="inlineStr">
        <is>
          <t>Idea</t>
        </is>
      </c>
      <c r="D270" s="86" t="inlineStr">
        <is>
          <t>Contrarian</t>
        </is>
      </c>
      <c r="E270" s="86" t="inlineStr">
        <is>
          <t>III · Resolution</t>
        </is>
      </c>
      <c r="F270" s="86" t="inlineStr">
        <is>
          <t>Outro</t>
        </is>
      </c>
      <c r="G270" s="86" t="inlineStr">
        <is>
          <t>32–36s</t>
        </is>
      </c>
      <c r="H270" s="87" t="inlineStr">
        <is>
          <t>Rewrite one vague goal into an action with a time. Comment yours, and follow for more.</t>
        </is>
      </c>
      <c r="I270" s="87" t="inlineStr">
        <is>
          <t>COMMENT YOUR GOAL</t>
        </is>
      </c>
      <c r="J270" s="87" t="n"/>
    </row>
    <row r="271" ht="23.85" customHeight="1" s="62">
      <c r="A271" s="78" t="n">
        <v>39</v>
      </c>
      <c r="B271" s="79" t="inlineStr">
        <is>
          <t>Motivation versus routines</t>
        </is>
      </c>
      <c r="C271" s="78" t="inlineStr">
        <is>
          <t>Idea</t>
        </is>
      </c>
      <c r="D271" s="78" t="inlineStr">
        <is>
          <t>Study reveal</t>
        </is>
      </c>
      <c r="E271" s="78" t="inlineStr">
        <is>
          <t>I · Setup</t>
        </is>
      </c>
      <c r="F271" s="78" t="inlineStr">
        <is>
          <t>Hook</t>
        </is>
      </c>
      <c r="G271" s="78" t="inlineStr">
        <is>
          <t>0–3s</t>
        </is>
      </c>
      <c r="H271" s="80" t="inlineStr">
        <is>
          <t>It doesn't take 21 days to build a habit. On average, it took 66.</t>
        </is>
      </c>
      <c r="I271" s="79" t="inlineStr">
        <is>
          <t>21 DAYS ❌ | 66 DAYS</t>
        </is>
      </c>
      <c r="J271" s="79" t="inlineStr">
        <is>
          <t>Lally et al. 2010: median 66 days to automaticity (range 18–254)</t>
        </is>
      </c>
    </row>
    <row r="272" ht="23.85" customHeight="1" s="62">
      <c r="A272" s="78" t="n">
        <v>39</v>
      </c>
      <c r="B272" s="79" t="inlineStr">
        <is>
          <t>Motivation versus routines</t>
        </is>
      </c>
      <c r="C272" s="78" t="inlineStr">
        <is>
          <t>Idea</t>
        </is>
      </c>
      <c r="D272" s="78" t="inlineStr">
        <is>
          <t>Study reveal</t>
        </is>
      </c>
      <c r="E272" s="78" t="inlineStr">
        <is>
          <t>I · Setup</t>
        </is>
      </c>
      <c r="F272" s="78" t="inlineStr">
        <is>
          <t>Setup</t>
        </is>
      </c>
      <c r="G272" s="78" t="inlineStr">
        <is>
          <t>3–8s</t>
        </is>
      </c>
      <c r="H272" s="79" t="inlineStr">
        <is>
          <t>In a 2010 study, Phillippa Lally's team followed people building one new habit.</t>
        </is>
      </c>
      <c r="I272" s="79" t="inlineStr">
        <is>
          <t>LALLY ET AL. | calendar</t>
        </is>
      </c>
      <c r="J272" s="79" t="n"/>
    </row>
    <row r="273" ht="15" customHeight="1" s="62">
      <c r="A273" s="78" t="n">
        <v>39</v>
      </c>
      <c r="B273" s="79" t="inlineStr">
        <is>
          <t>Motivation versus routines</t>
        </is>
      </c>
      <c r="C273" s="78" t="inlineStr">
        <is>
          <t>Idea</t>
        </is>
      </c>
      <c r="D273" s="78" t="inlineStr">
        <is>
          <t>Study reveal</t>
        </is>
      </c>
      <c r="E273" s="78" t="inlineStr">
        <is>
          <t>II · Confrontation</t>
        </is>
      </c>
      <c r="F273" s="78" t="inlineStr">
        <is>
          <t>Evidence</t>
        </is>
      </c>
      <c r="G273" s="78" t="inlineStr">
        <is>
          <t>8–15s</t>
        </is>
      </c>
      <c r="H273" s="79" t="inlineStr">
        <is>
          <t>They did it daily in the same context and rated how automatic it felt.</t>
        </is>
      </c>
      <c r="I273" s="79" t="inlineStr">
        <is>
          <t>same time, same place</t>
        </is>
      </c>
      <c r="J273" s="79" t="n"/>
    </row>
    <row r="274" ht="15" customHeight="1" s="62">
      <c r="A274" s="78" t="n">
        <v>39</v>
      </c>
      <c r="B274" s="79" t="inlineStr">
        <is>
          <t>Motivation versus routines</t>
        </is>
      </c>
      <c r="C274" s="78" t="inlineStr">
        <is>
          <t>Idea</t>
        </is>
      </c>
      <c r="D274" s="78" t="inlineStr">
        <is>
          <t>Study reveal</t>
        </is>
      </c>
      <c r="E274" s="78" t="inlineStr">
        <is>
          <t>II · Confrontation</t>
        </is>
      </c>
      <c r="F274" s="78" t="inlineStr">
        <is>
          <t>Escalation</t>
        </is>
      </c>
      <c r="G274" s="78" t="inlineStr">
        <is>
          <t>15–22s</t>
        </is>
      </c>
      <c r="H274" s="79" t="inlineStr">
        <is>
          <t>The median was 66 days, but it ranged from 18 to 254.</t>
        </is>
      </c>
      <c r="I274" s="79" t="inlineStr">
        <is>
          <t>18 → 254 DAYS</t>
        </is>
      </c>
      <c r="J274" s="79" t="n"/>
    </row>
    <row r="275" ht="15" customHeight="1" s="62">
      <c r="A275" s="78" t="n">
        <v>39</v>
      </c>
      <c r="B275" s="79" t="inlineStr">
        <is>
          <t>Motivation versus routines</t>
        </is>
      </c>
      <c r="C275" s="78" t="inlineStr">
        <is>
          <t>Idea</t>
        </is>
      </c>
      <c r="D275" s="78" t="inlineStr">
        <is>
          <t>Study reveal</t>
        </is>
      </c>
      <c r="E275" s="78" t="inlineStr">
        <is>
          <t>II · Confrontation</t>
        </is>
      </c>
      <c r="F275" s="78" t="inlineStr">
        <is>
          <t>Turn</t>
        </is>
      </c>
      <c r="G275" s="78" t="inlineStr">
        <is>
          <t>22–26s</t>
        </is>
      </c>
      <c r="H275" s="79" t="inlineStr">
        <is>
          <t>But missing one day didn't ruin it. Consistency mattered, not perfection.</t>
        </is>
      </c>
      <c r="I275" s="79" t="inlineStr">
        <is>
          <t>ONE MISS IS FINE</t>
        </is>
      </c>
      <c r="J275" s="79" t="n"/>
    </row>
    <row r="276" ht="15" customHeight="1" s="62">
      <c r="A276" s="78" t="n">
        <v>39</v>
      </c>
      <c r="B276" s="79" t="inlineStr">
        <is>
          <t>Motivation versus routines</t>
        </is>
      </c>
      <c r="C276" s="78" t="inlineStr">
        <is>
          <t>Idea</t>
        </is>
      </c>
      <c r="D276" s="78" t="inlineStr">
        <is>
          <t>Study reveal</t>
        </is>
      </c>
      <c r="E276" s="78" t="inlineStr">
        <is>
          <t>III · Resolution</t>
        </is>
      </c>
      <c r="F276" s="78" t="inlineStr">
        <is>
          <t>Payoff</t>
        </is>
      </c>
      <c r="G276" s="78" t="inlineStr">
        <is>
          <t>26–32s</t>
        </is>
      </c>
      <c r="H276" s="79" t="inlineStr">
        <is>
          <t>On low days, routines carry you, not motivation.</t>
        </is>
      </c>
      <c r="I276" s="79" t="inlineStr">
        <is>
          <t>ROUTINES &gt; MOTIVATION</t>
        </is>
      </c>
      <c r="J276" s="79" t="n"/>
    </row>
    <row r="277" ht="23.85" customHeight="1" s="62">
      <c r="A277" s="81" t="n">
        <v>39</v>
      </c>
      <c r="B277" s="82" t="inlineStr">
        <is>
          <t>Motivation versus routines</t>
        </is>
      </c>
      <c r="C277" s="81" t="inlineStr">
        <is>
          <t>Idea</t>
        </is>
      </c>
      <c r="D277" s="81" t="inlineStr">
        <is>
          <t>Study reveal</t>
        </is>
      </c>
      <c r="E277" s="81" t="inlineStr">
        <is>
          <t>III · Resolution</t>
        </is>
      </c>
      <c r="F277" s="81" t="inlineStr">
        <is>
          <t>Outro</t>
        </is>
      </c>
      <c r="G277" s="81" t="inlineStr">
        <is>
          <t>32–36s</t>
        </is>
      </c>
      <c r="H277" s="82" t="inlineStr">
        <is>
          <t>Pick one tiny habit, same time, same place, and give it 66 days. Save this for day one.</t>
        </is>
      </c>
      <c r="I277" s="82" t="inlineStr">
        <is>
          <t>START DAY 1</t>
        </is>
      </c>
      <c r="J277" s="82" t="n"/>
    </row>
    <row r="278" ht="35.05" customHeight="1" s="62">
      <c r="A278" s="83" t="n">
        <v>40</v>
      </c>
      <c r="B278" s="84" t="inlineStr">
        <is>
          <t>Tracking progress</t>
        </is>
      </c>
      <c r="C278" s="83" t="inlineStr">
        <is>
          <t>Idea</t>
        </is>
      </c>
      <c r="D278" s="83" t="inlineStr">
        <is>
          <t>Study reveal</t>
        </is>
      </c>
      <c r="E278" s="83" t="inlineStr">
        <is>
          <t>I · Setup</t>
        </is>
      </c>
      <c r="F278" s="83" t="inlineStr">
        <is>
          <t>Hook</t>
        </is>
      </c>
      <c r="G278" s="83" t="inlineStr">
        <is>
          <t>0–3s</t>
        </is>
      </c>
      <c r="H278" s="85" t="inlineStr">
        <is>
          <t>Writing down your progress makes you more likely to hit your goal.</t>
        </is>
      </c>
      <c r="I278" s="84" t="inlineStr">
        <is>
          <t>✍️ = 🎯</t>
        </is>
      </c>
      <c r="J278" s="84" t="inlineStr">
        <is>
          <t>Harkin et al. 2016 meta-analysis: monitoring progress improves goal attainment, more when recorded</t>
        </is>
      </c>
    </row>
    <row r="279" ht="15" customHeight="1" s="62">
      <c r="A279" s="83" t="n">
        <v>40</v>
      </c>
      <c r="B279" s="84" t="inlineStr">
        <is>
          <t>Tracking progress</t>
        </is>
      </c>
      <c r="C279" s="83" t="inlineStr">
        <is>
          <t>Idea</t>
        </is>
      </c>
      <c r="D279" s="83" t="inlineStr">
        <is>
          <t>Study reveal</t>
        </is>
      </c>
      <c r="E279" s="83" t="inlineStr">
        <is>
          <t>I · Setup</t>
        </is>
      </c>
      <c r="F279" s="83" t="inlineStr">
        <is>
          <t>Setup</t>
        </is>
      </c>
      <c r="G279" s="83" t="inlineStr">
        <is>
          <t>3–8s</t>
        </is>
      </c>
      <c r="H279" s="84" t="inlineStr">
        <is>
          <t>In 2016, Benjamin Harkin's team reviewed over 130 studies on goals.</t>
        </is>
      </c>
      <c r="I279" s="84" t="inlineStr">
        <is>
          <t>HARKIN ET AL., 2016 | 130+ studies</t>
        </is>
      </c>
      <c r="J279" s="84" t="n"/>
    </row>
    <row r="280" ht="15" customHeight="1" s="62">
      <c r="A280" s="83" t="n">
        <v>40</v>
      </c>
      <c r="B280" s="84" t="inlineStr">
        <is>
          <t>Tracking progress</t>
        </is>
      </c>
      <c r="C280" s="83" t="inlineStr">
        <is>
          <t>Idea</t>
        </is>
      </c>
      <c r="D280" s="83" t="inlineStr">
        <is>
          <t>Study reveal</t>
        </is>
      </c>
      <c r="E280" s="83" t="inlineStr">
        <is>
          <t>II · Confrontation</t>
        </is>
      </c>
      <c r="F280" s="83" t="inlineStr">
        <is>
          <t>Evidence</t>
        </is>
      </c>
      <c r="G280" s="83" t="inlineStr">
        <is>
          <t>8–15s</t>
        </is>
      </c>
      <c r="H280" s="84" t="inlineStr">
        <is>
          <t>Monitoring progress helped people reach goals.</t>
        </is>
      </c>
      <c r="I280" s="84" t="inlineStr">
        <is>
          <t>TRACKING ⬆</t>
        </is>
      </c>
      <c r="J280" s="84" t="n"/>
    </row>
    <row r="281" ht="23.85" customHeight="1" s="62">
      <c r="A281" s="83" t="n">
        <v>40</v>
      </c>
      <c r="B281" s="84" t="inlineStr">
        <is>
          <t>Tracking progress</t>
        </is>
      </c>
      <c r="C281" s="83" t="inlineStr">
        <is>
          <t>Idea</t>
        </is>
      </c>
      <c r="D281" s="83" t="inlineStr">
        <is>
          <t>Study reveal</t>
        </is>
      </c>
      <c r="E281" s="83" t="inlineStr">
        <is>
          <t>II · Confrontation</t>
        </is>
      </c>
      <c r="F281" s="83" t="inlineStr">
        <is>
          <t>Escalation</t>
        </is>
      </c>
      <c r="G281" s="83" t="inlineStr">
        <is>
          <t>15–22s</t>
        </is>
      </c>
      <c r="H281" s="84" t="inlineStr">
        <is>
          <t>And the effect was bigger when progress was physically recorded or shared.</t>
        </is>
      </c>
      <c r="I281" s="84" t="inlineStr">
        <is>
          <t>WRITTEN + SHARED = BIGGER</t>
        </is>
      </c>
      <c r="J281" s="84" t="n"/>
    </row>
    <row r="282" ht="15" customHeight="1" s="62">
      <c r="A282" s="83" t="n">
        <v>40</v>
      </c>
      <c r="B282" s="84" t="inlineStr">
        <is>
          <t>Tracking progress</t>
        </is>
      </c>
      <c r="C282" s="83" t="inlineStr">
        <is>
          <t>Idea</t>
        </is>
      </c>
      <c r="D282" s="83" t="inlineStr">
        <is>
          <t>Study reveal</t>
        </is>
      </c>
      <c r="E282" s="83" t="inlineStr">
        <is>
          <t>II · Confrontation</t>
        </is>
      </c>
      <c r="F282" s="83" t="inlineStr">
        <is>
          <t>Turn</t>
        </is>
      </c>
      <c r="G282" s="83" t="inlineStr">
        <is>
          <t>22–26s</t>
        </is>
      </c>
      <c r="H282" s="84" t="inlineStr">
        <is>
          <t>But most of us only notice what's left, not what's done.</t>
        </is>
      </c>
      <c r="I282" s="84" t="inlineStr">
        <is>
          <t>WHAT'S DONE?</t>
        </is>
      </c>
      <c r="J282" s="84" t="n"/>
    </row>
    <row r="283" ht="15" customHeight="1" s="62">
      <c r="A283" s="83" t="n">
        <v>40</v>
      </c>
      <c r="B283" s="84" t="inlineStr">
        <is>
          <t>Tracking progress</t>
        </is>
      </c>
      <c r="C283" s="83" t="inlineStr">
        <is>
          <t>Idea</t>
        </is>
      </c>
      <c r="D283" s="83" t="inlineStr">
        <is>
          <t>Study reveal</t>
        </is>
      </c>
      <c r="E283" s="83" t="inlineStr">
        <is>
          <t>III · Resolution</t>
        </is>
      </c>
      <c r="F283" s="83" t="inlineStr">
        <is>
          <t>Payoff</t>
        </is>
      </c>
      <c r="G283" s="83" t="inlineStr">
        <is>
          <t>26–32s</t>
        </is>
      </c>
      <c r="H283" s="84" t="inlineStr">
        <is>
          <t>That's the power of tracking progress.</t>
        </is>
      </c>
      <c r="I283" s="84" t="inlineStr">
        <is>
          <t>TRACK YOUR PROGRESS</t>
        </is>
      </c>
      <c r="J283" s="84" t="n"/>
    </row>
    <row r="284" ht="23.85" customHeight="1" s="62">
      <c r="A284" s="86" t="n">
        <v>40</v>
      </c>
      <c r="B284" s="87" t="inlineStr">
        <is>
          <t>Tracking progress</t>
        </is>
      </c>
      <c r="C284" s="86" t="inlineStr">
        <is>
          <t>Idea</t>
        </is>
      </c>
      <c r="D284" s="86" t="inlineStr">
        <is>
          <t>Study reveal</t>
        </is>
      </c>
      <c r="E284" s="86" t="inlineStr">
        <is>
          <t>III · Resolution</t>
        </is>
      </c>
      <c r="F284" s="86" t="inlineStr">
        <is>
          <t>Outro</t>
        </is>
      </c>
      <c r="G284" s="86" t="inlineStr">
        <is>
          <t>32–36s</t>
        </is>
      </c>
      <c r="H284" s="87" t="inlineStr">
        <is>
          <t>Keep a simple log and tick one box every day. Save this and tick your first box today.</t>
        </is>
      </c>
      <c r="I284" s="87" t="inlineStr">
        <is>
          <t>TICK BOX #1 ☑</t>
        </is>
      </c>
      <c r="J284" s="87" t="n"/>
    </row>
    <row r="285" ht="23.85" customHeight="1" s="62">
      <c r="A285" s="78" t="n">
        <v>41</v>
      </c>
      <c r="B285" s="79" t="inlineStr">
        <is>
          <t>Naming an emotion</t>
        </is>
      </c>
      <c r="C285" s="78" t="inlineStr">
        <is>
          <t>Idea</t>
        </is>
      </c>
      <c r="D285" s="78" t="inlineStr">
        <is>
          <t>Study reveal</t>
        </is>
      </c>
      <c r="E285" s="78" t="inlineStr">
        <is>
          <t>I · Setup</t>
        </is>
      </c>
      <c r="F285" s="78" t="inlineStr">
        <is>
          <t>Hook</t>
        </is>
      </c>
      <c r="G285" s="78" t="inlineStr">
        <is>
          <t>0–3s</t>
        </is>
      </c>
      <c r="H285" s="80" t="inlineStr">
        <is>
          <t>Saying one word can calm your brain's alarm system.</t>
        </is>
      </c>
      <c r="I285" s="79" t="inlineStr">
        <is>
          <t>ONE WORD 🧠🔕</t>
        </is>
      </c>
      <c r="J285" s="79" t="inlineStr">
        <is>
          <t>Lieberman et al. 2007: affect labelling reduced amygdala response</t>
        </is>
      </c>
    </row>
    <row r="286" ht="23.85" customHeight="1" s="62">
      <c r="A286" s="78" t="n">
        <v>41</v>
      </c>
      <c r="B286" s="79" t="inlineStr">
        <is>
          <t>Naming an emotion</t>
        </is>
      </c>
      <c r="C286" s="78" t="inlineStr">
        <is>
          <t>Idea</t>
        </is>
      </c>
      <c r="D286" s="78" t="inlineStr">
        <is>
          <t>Study reveal</t>
        </is>
      </c>
      <c r="E286" s="78" t="inlineStr">
        <is>
          <t>I · Setup</t>
        </is>
      </c>
      <c r="F286" s="78" t="inlineStr">
        <is>
          <t>Setup</t>
        </is>
      </c>
      <c r="G286" s="78" t="inlineStr">
        <is>
          <t>3–8s</t>
        </is>
      </c>
      <c r="H286" s="79" t="inlineStr">
        <is>
          <t>In 2007, Matthew Lieberman's team showed people angry and scared faces in a brain scanner.</t>
        </is>
      </c>
      <c r="I286" s="79" t="inlineStr">
        <is>
          <t>LIEBERMAN ET AL., 2007 | MRI</t>
        </is>
      </c>
      <c r="J286" s="79" t="n"/>
    </row>
    <row r="287" ht="23.85" customHeight="1" s="62">
      <c r="A287" s="78" t="n">
        <v>41</v>
      </c>
      <c r="B287" s="79" t="inlineStr">
        <is>
          <t>Naming an emotion</t>
        </is>
      </c>
      <c r="C287" s="78" t="inlineStr">
        <is>
          <t>Idea</t>
        </is>
      </c>
      <c r="D287" s="78" t="inlineStr">
        <is>
          <t>Study reveal</t>
        </is>
      </c>
      <c r="E287" s="78" t="inlineStr">
        <is>
          <t>II · Confrontation</t>
        </is>
      </c>
      <c r="F287" s="78" t="inlineStr">
        <is>
          <t>Evidence</t>
        </is>
      </c>
      <c r="G287" s="78" t="inlineStr">
        <is>
          <t>8–15s</t>
        </is>
      </c>
      <c r="H287" s="79" t="inlineStr">
        <is>
          <t>When people named the emotion, 'angry', activity in the amygdala dropped.</t>
        </is>
      </c>
      <c r="I287" s="79" t="inlineStr">
        <is>
          <t>'ANGRY' → amygdala ⬇</t>
        </is>
      </c>
      <c r="J287" s="79" t="n"/>
    </row>
    <row r="288" ht="15" customHeight="1" s="62">
      <c r="A288" s="78" t="n">
        <v>41</v>
      </c>
      <c r="B288" s="79" t="inlineStr">
        <is>
          <t>Naming an emotion</t>
        </is>
      </c>
      <c r="C288" s="78" t="inlineStr">
        <is>
          <t>Idea</t>
        </is>
      </c>
      <c r="D288" s="78" t="inlineStr">
        <is>
          <t>Study reveal</t>
        </is>
      </c>
      <c r="E288" s="78" t="inlineStr">
        <is>
          <t>II · Confrontation</t>
        </is>
      </c>
      <c r="F288" s="78" t="inlineStr">
        <is>
          <t>Escalation</t>
        </is>
      </c>
      <c r="G288" s="78" t="inlineStr">
        <is>
          <t>15–22s</t>
        </is>
      </c>
      <c r="H288" s="79" t="inlineStr">
        <is>
          <t>Just matching the face to a name didn't calm it as much.</t>
        </is>
      </c>
      <c r="I288" s="79" t="inlineStr">
        <is>
          <t>LABEL &gt; MATCH</t>
        </is>
      </c>
      <c r="J288" s="79" t="n"/>
    </row>
    <row r="289" ht="15" customHeight="1" s="62">
      <c r="A289" s="78" t="n">
        <v>41</v>
      </c>
      <c r="B289" s="79" t="inlineStr">
        <is>
          <t>Naming an emotion</t>
        </is>
      </c>
      <c r="C289" s="78" t="inlineStr">
        <is>
          <t>Idea</t>
        </is>
      </c>
      <c r="D289" s="78" t="inlineStr">
        <is>
          <t>Study reveal</t>
        </is>
      </c>
      <c r="E289" s="78" t="inlineStr">
        <is>
          <t>II · Confrontation</t>
        </is>
      </c>
      <c r="F289" s="78" t="inlineStr">
        <is>
          <t>Turn</t>
        </is>
      </c>
      <c r="G289" s="78" t="inlineStr">
        <is>
          <t>22–26s</t>
        </is>
      </c>
      <c r="H289" s="79" t="inlineStr">
        <is>
          <t>But you have to be specific: angry, disappointed or embarrassed.</t>
        </is>
      </c>
      <c r="I289" s="79" t="inlineStr">
        <is>
          <t>ANGRY? DISAPPOINTED? EMBARRASSED?</t>
        </is>
      </c>
      <c r="J289" s="79" t="n"/>
    </row>
    <row r="290" ht="15" customHeight="1" s="62">
      <c r="A290" s="78" t="n">
        <v>41</v>
      </c>
      <c r="B290" s="79" t="inlineStr">
        <is>
          <t>Naming an emotion</t>
        </is>
      </c>
      <c r="C290" s="78" t="inlineStr">
        <is>
          <t>Idea</t>
        </is>
      </c>
      <c r="D290" s="78" t="inlineStr">
        <is>
          <t>Study reveal</t>
        </is>
      </c>
      <c r="E290" s="78" t="inlineStr">
        <is>
          <t>III · Resolution</t>
        </is>
      </c>
      <c r="F290" s="78" t="inlineStr">
        <is>
          <t>Payoff</t>
        </is>
      </c>
      <c r="G290" s="78" t="inlineStr">
        <is>
          <t>26–32s</t>
        </is>
      </c>
      <c r="H290" s="79" t="inlineStr">
        <is>
          <t>It's called affect labeling: naming an emotion to tame it.</t>
        </is>
      </c>
      <c r="I290" s="79" t="inlineStr">
        <is>
          <t>NAME IT TO TAME IT</t>
        </is>
      </c>
      <c r="J290" s="79" t="n"/>
    </row>
    <row r="291" ht="23.85" customHeight="1" s="62">
      <c r="A291" s="81" t="n">
        <v>41</v>
      </c>
      <c r="B291" s="82" t="inlineStr">
        <is>
          <t>Naming an emotion</t>
        </is>
      </c>
      <c r="C291" s="81" t="inlineStr">
        <is>
          <t>Idea</t>
        </is>
      </c>
      <c r="D291" s="81" t="inlineStr">
        <is>
          <t>Study reveal</t>
        </is>
      </c>
      <c r="E291" s="81" t="inlineStr">
        <is>
          <t>III · Resolution</t>
        </is>
      </c>
      <c r="F291" s="81" t="inlineStr">
        <is>
          <t>Outro</t>
        </is>
      </c>
      <c r="G291" s="81" t="inlineStr">
        <is>
          <t>32–36s</t>
        </is>
      </c>
      <c r="H291" s="82" t="inlineStr">
        <is>
          <t>Next time you feel overwhelmed, name the exact feeling out loud. Follow, tomorrow's trick builds on this.</t>
        </is>
      </c>
      <c r="I291" s="82" t="inlineStr">
        <is>
          <t>SAY IT OUT LOUD</t>
        </is>
      </c>
      <c r="J291" s="82" t="n"/>
    </row>
    <row r="292" ht="23.85" customHeight="1" s="62">
      <c r="A292" s="83" t="n">
        <v>42</v>
      </c>
      <c r="B292" s="84" t="inlineStr">
        <is>
          <t>Feelings versus conclusions</t>
        </is>
      </c>
      <c r="C292" s="83" t="inlineStr">
        <is>
          <t>Scheduled</t>
        </is>
      </c>
      <c r="D292" s="83" t="inlineStr">
        <is>
          <t>You-callout</t>
        </is>
      </c>
      <c r="E292" s="83" t="inlineStr">
        <is>
          <t>I · Setup</t>
        </is>
      </c>
      <c r="F292" s="83" t="inlineStr">
        <is>
          <t>Hook</t>
        </is>
      </c>
      <c r="G292" s="83" t="inlineStr">
        <is>
          <t>0–3s</t>
        </is>
      </c>
      <c r="H292" s="85" t="inlineStr">
        <is>
          <t>Feeling rejected doesn't prove you were rejected.</t>
        </is>
      </c>
      <c r="I292" s="84" t="inlineStr">
        <is>
          <t>FEELING ≠ FACT</t>
        </is>
      </c>
      <c r="J292" s="84" t="inlineStr">
        <is>
          <t>Emotional reasoning: CBT cognitive distortion (Beck); feelings treated as evidence</t>
        </is>
      </c>
    </row>
    <row r="293" ht="15" customHeight="1" s="62">
      <c r="A293" s="83" t="n">
        <v>42</v>
      </c>
      <c r="B293" s="84" t="inlineStr">
        <is>
          <t>Feelings versus conclusions</t>
        </is>
      </c>
      <c r="C293" s="83" t="inlineStr">
        <is>
          <t>Scheduled</t>
        </is>
      </c>
      <c r="D293" s="83" t="inlineStr">
        <is>
          <t>You-callout</t>
        </is>
      </c>
      <c r="E293" s="83" t="inlineStr">
        <is>
          <t>I · Setup</t>
        </is>
      </c>
      <c r="F293" s="83" t="inlineStr">
        <is>
          <t>Setup</t>
        </is>
      </c>
      <c r="G293" s="83" t="inlineStr">
        <is>
          <t>3–8s</t>
        </is>
      </c>
      <c r="H293" s="84" t="inlineStr">
        <is>
          <t>They reply 'ok' and your stomach drops. Clearly they're upset with you.</t>
        </is>
      </c>
      <c r="I293" s="84" t="inlineStr">
        <is>
          <t>text: 'ok' → 😰</t>
        </is>
      </c>
      <c r="J293" s="84" t="n"/>
    </row>
    <row r="294" ht="15" customHeight="1" s="62">
      <c r="A294" s="83" t="n">
        <v>42</v>
      </c>
      <c r="B294" s="84" t="inlineStr">
        <is>
          <t>Feelings versus conclusions</t>
        </is>
      </c>
      <c r="C294" s="83" t="inlineStr">
        <is>
          <t>Scheduled</t>
        </is>
      </c>
      <c r="D294" s="83" t="inlineStr">
        <is>
          <t>You-callout</t>
        </is>
      </c>
      <c r="E294" s="83" t="inlineStr">
        <is>
          <t>II · Confrontation</t>
        </is>
      </c>
      <c r="F294" s="83" t="inlineStr">
        <is>
          <t>Evidence</t>
        </is>
      </c>
      <c r="G294" s="83" t="inlineStr">
        <is>
          <t>8–15s</t>
        </is>
      </c>
      <c r="H294" s="84" t="inlineStr">
        <is>
          <t>Psychiatrist Aaron Beck called this emotional reasoning.</t>
        </is>
      </c>
      <c r="I294" s="84" t="inlineStr">
        <is>
          <t>AARON BECK | CBT</t>
        </is>
      </c>
      <c r="J294" s="84" t="n"/>
    </row>
    <row r="295" ht="15" customHeight="1" s="62">
      <c r="A295" s="83" t="n">
        <v>42</v>
      </c>
      <c r="B295" s="84" t="inlineStr">
        <is>
          <t>Feelings versus conclusions</t>
        </is>
      </c>
      <c r="C295" s="83" t="inlineStr">
        <is>
          <t>Scheduled</t>
        </is>
      </c>
      <c r="D295" s="83" t="inlineStr">
        <is>
          <t>You-callout</t>
        </is>
      </c>
      <c r="E295" s="83" t="inlineStr">
        <is>
          <t>II · Confrontation</t>
        </is>
      </c>
      <c r="F295" s="83" t="inlineStr">
        <is>
          <t>Escalation</t>
        </is>
      </c>
      <c r="G295" s="83" t="inlineStr">
        <is>
          <t>15–22s</t>
        </is>
      </c>
      <c r="H295" s="84" t="inlineStr">
        <is>
          <t>'I feel it, so it must be true.' The feeling becomes the evidence.</t>
        </is>
      </c>
      <c r="I295" s="84" t="inlineStr">
        <is>
          <t>'I FEEL IT = IT'S TRUE'</t>
        </is>
      </c>
      <c r="J295" s="84" t="n"/>
    </row>
    <row r="296" ht="15" customHeight="1" s="62">
      <c r="A296" s="83" t="n">
        <v>42</v>
      </c>
      <c r="B296" s="84" t="inlineStr">
        <is>
          <t>Feelings versus conclusions</t>
        </is>
      </c>
      <c r="C296" s="83" t="inlineStr">
        <is>
          <t>Scheduled</t>
        </is>
      </c>
      <c r="D296" s="83" t="inlineStr">
        <is>
          <t>You-callout</t>
        </is>
      </c>
      <c r="E296" s="83" t="inlineStr">
        <is>
          <t>II · Confrontation</t>
        </is>
      </c>
      <c r="F296" s="83" t="inlineStr">
        <is>
          <t>Turn</t>
        </is>
      </c>
      <c r="G296" s="83" t="inlineStr">
        <is>
          <t>22–26s</t>
        </is>
      </c>
      <c r="H296" s="84" t="inlineStr">
        <is>
          <t>But feelings are real signals, not verdicts.</t>
        </is>
      </c>
      <c r="I296" s="84" t="inlineStr">
        <is>
          <t>SIGNAL, NOT VERDICT</t>
        </is>
      </c>
      <c r="J296" s="84" t="n"/>
    </row>
    <row r="297" ht="15" customHeight="1" s="62">
      <c r="A297" s="83" t="n">
        <v>42</v>
      </c>
      <c r="B297" s="84" t="inlineStr">
        <is>
          <t>Feelings versus conclusions</t>
        </is>
      </c>
      <c r="C297" s="83" t="inlineStr">
        <is>
          <t>Scheduled</t>
        </is>
      </c>
      <c r="D297" s="83" t="inlineStr">
        <is>
          <t>You-callout</t>
        </is>
      </c>
      <c r="E297" s="83" t="inlineStr">
        <is>
          <t>III · Resolution</t>
        </is>
      </c>
      <c r="F297" s="83" t="inlineStr">
        <is>
          <t>Payoff</t>
        </is>
      </c>
      <c r="G297" s="83" t="inlineStr">
        <is>
          <t>26–32s</t>
        </is>
      </c>
      <c r="H297" s="84" t="inlineStr">
        <is>
          <t>That's emotional reasoning.</t>
        </is>
      </c>
      <c r="I297" s="84" t="inlineStr">
        <is>
          <t>EMOTIONAL REASONING</t>
        </is>
      </c>
      <c r="J297" s="84" t="n"/>
    </row>
    <row r="298" ht="23.85" customHeight="1" s="62">
      <c r="A298" s="86" t="n">
        <v>42</v>
      </c>
      <c r="B298" s="87" t="inlineStr">
        <is>
          <t>Feelings versus conclusions</t>
        </is>
      </c>
      <c r="C298" s="86" t="inlineStr">
        <is>
          <t>Scheduled</t>
        </is>
      </c>
      <c r="D298" s="86" t="inlineStr">
        <is>
          <t>You-callout</t>
        </is>
      </c>
      <c r="E298" s="86" t="inlineStr">
        <is>
          <t>III · Resolution</t>
        </is>
      </c>
      <c r="F298" s="86" t="inlineStr">
        <is>
          <t>Outro</t>
        </is>
      </c>
      <c r="G298" s="86" t="inlineStr">
        <is>
          <t>32–36s</t>
        </is>
      </c>
      <c r="H298" s="87" t="inlineStr">
        <is>
          <t>Ask yourself: what would I tell a friend this 'ok' meant? Save this for the next text that hurts.</t>
        </is>
      </c>
      <c r="I298" s="87" t="inlineStr">
        <is>
          <t>WHAT ELSE COULD IT MEAN?</t>
        </is>
      </c>
      <c r="J298" s="87" t="n"/>
    </row>
    <row r="299" ht="23.85" customHeight="1" s="62">
      <c r="A299" s="78" t="n">
        <v>43</v>
      </c>
      <c r="B299" s="79" t="inlineStr">
        <is>
          <t>Reappraisal</t>
        </is>
      </c>
      <c r="C299" s="78" t="inlineStr">
        <is>
          <t>Scheduled</t>
        </is>
      </c>
      <c r="D299" s="78" t="inlineStr">
        <is>
          <t>Study reveal</t>
        </is>
      </c>
      <c r="E299" s="78" t="inlineStr">
        <is>
          <t>I · Setup</t>
        </is>
      </c>
      <c r="F299" s="78" t="inlineStr">
        <is>
          <t>Hook</t>
        </is>
      </c>
      <c r="G299" s="78" t="inlineStr">
        <is>
          <t>0–3s</t>
        </is>
      </c>
      <c r="H299" s="80" t="inlineStr">
        <is>
          <t>Telling yourself to calm down can make anxiety worse. Say this instead.</t>
        </is>
      </c>
      <c r="I299" s="79" t="inlineStr">
        <is>
          <t>DON'T SAY 'CALM DOWN'</t>
        </is>
      </c>
      <c r="J299" s="79" t="inlineStr">
        <is>
          <t>Brooks 2014: saying 'I am excited' improved performance vs 'I am calm'</t>
        </is>
      </c>
    </row>
    <row r="300" ht="15" customHeight="1" s="62">
      <c r="A300" s="78" t="n">
        <v>43</v>
      </c>
      <c r="B300" s="79" t="inlineStr">
        <is>
          <t>Reappraisal</t>
        </is>
      </c>
      <c r="C300" s="78" t="inlineStr">
        <is>
          <t>Scheduled</t>
        </is>
      </c>
      <c r="D300" s="78" t="inlineStr">
        <is>
          <t>Study reveal</t>
        </is>
      </c>
      <c r="E300" s="78" t="inlineStr">
        <is>
          <t>I · Setup</t>
        </is>
      </c>
      <c r="F300" s="78" t="inlineStr">
        <is>
          <t>Setup</t>
        </is>
      </c>
      <c r="G300" s="78" t="inlineStr">
        <is>
          <t>3–8s</t>
        </is>
      </c>
      <c r="H300" s="79" t="inlineStr">
        <is>
          <t>Your heart is racing before a speech. That feels like fear.</t>
        </is>
      </c>
      <c r="I300" s="79" t="inlineStr">
        <is>
          <t>pounding heart, speech podium</t>
        </is>
      </c>
      <c r="J300" s="79" t="n"/>
    </row>
    <row r="301" ht="23.85" customHeight="1" s="62">
      <c r="A301" s="78" t="n">
        <v>43</v>
      </c>
      <c r="B301" s="79" t="inlineStr">
        <is>
          <t>Reappraisal</t>
        </is>
      </c>
      <c r="C301" s="78" t="inlineStr">
        <is>
          <t>Scheduled</t>
        </is>
      </c>
      <c r="D301" s="78" t="inlineStr">
        <is>
          <t>Study reveal</t>
        </is>
      </c>
      <c r="E301" s="78" t="inlineStr">
        <is>
          <t>II · Confrontation</t>
        </is>
      </c>
      <c r="F301" s="78" t="inlineStr">
        <is>
          <t>Evidence</t>
        </is>
      </c>
      <c r="G301" s="78" t="inlineStr">
        <is>
          <t>8–15s</t>
        </is>
      </c>
      <c r="H301" s="79" t="inlineStr">
        <is>
          <t>In 2014, Alison Wood Brooks had people say 'I am excited' or 'I am calm' before performing.</t>
        </is>
      </c>
      <c r="I301" s="79" t="inlineStr">
        <is>
          <t>BROOKS, 2014 | 'I AM EXCITED'</t>
        </is>
      </c>
      <c r="J301" s="79" t="n"/>
    </row>
    <row r="302" ht="15" customHeight="1" s="62">
      <c r="A302" s="78" t="n">
        <v>43</v>
      </c>
      <c r="B302" s="79" t="inlineStr">
        <is>
          <t>Reappraisal</t>
        </is>
      </c>
      <c r="C302" s="78" t="inlineStr">
        <is>
          <t>Scheduled</t>
        </is>
      </c>
      <c r="D302" s="78" t="inlineStr">
        <is>
          <t>Study reveal</t>
        </is>
      </c>
      <c r="E302" s="78" t="inlineStr">
        <is>
          <t>II · Confrontation</t>
        </is>
      </c>
      <c r="F302" s="78" t="inlineStr">
        <is>
          <t>Escalation</t>
        </is>
      </c>
      <c r="G302" s="78" t="inlineStr">
        <is>
          <t>15–22s</t>
        </is>
      </c>
      <c r="H302" s="79" t="inlineStr">
        <is>
          <t>The 'excited' group performed better in speaking, singing and maths tests.</t>
        </is>
      </c>
      <c r="I302" s="79" t="inlineStr">
        <is>
          <t>EXCITED → BETTER 📈</t>
        </is>
      </c>
      <c r="J302" s="79" t="n"/>
    </row>
    <row r="303" ht="15" customHeight="1" s="62">
      <c r="A303" s="78" t="n">
        <v>43</v>
      </c>
      <c r="B303" s="79" t="inlineStr">
        <is>
          <t>Reappraisal</t>
        </is>
      </c>
      <c r="C303" s="78" t="inlineStr">
        <is>
          <t>Scheduled</t>
        </is>
      </c>
      <c r="D303" s="78" t="inlineStr">
        <is>
          <t>Study reveal</t>
        </is>
      </c>
      <c r="E303" s="78" t="inlineStr">
        <is>
          <t>II · Confrontation</t>
        </is>
      </c>
      <c r="F303" s="78" t="inlineStr">
        <is>
          <t>Turn</t>
        </is>
      </c>
      <c r="G303" s="78" t="inlineStr">
        <is>
          <t>22–26s</t>
        </is>
      </c>
      <c r="H303" s="79" t="inlineStr">
        <is>
          <t>But nothing in their body changed. They just reinterpreted it.</t>
        </is>
      </c>
      <c r="I303" s="79" t="inlineStr">
        <is>
          <t>SAME BODY. NEW MEANING.</t>
        </is>
      </c>
      <c r="J303" s="79" t="n"/>
    </row>
    <row r="304" ht="15" customHeight="1" s="62">
      <c r="A304" s="78" t="n">
        <v>43</v>
      </c>
      <c r="B304" s="79" t="inlineStr">
        <is>
          <t>Reappraisal</t>
        </is>
      </c>
      <c r="C304" s="78" t="inlineStr">
        <is>
          <t>Scheduled</t>
        </is>
      </c>
      <c r="D304" s="78" t="inlineStr">
        <is>
          <t>Study reveal</t>
        </is>
      </c>
      <c r="E304" s="78" t="inlineStr">
        <is>
          <t>III · Resolution</t>
        </is>
      </c>
      <c r="F304" s="78" t="inlineStr">
        <is>
          <t>Payoff</t>
        </is>
      </c>
      <c r="G304" s="78" t="inlineStr">
        <is>
          <t>26–32s</t>
        </is>
      </c>
      <c r="H304" s="79" t="inlineStr">
        <is>
          <t>That's reappraisal.</t>
        </is>
      </c>
      <c r="I304" s="79" t="inlineStr">
        <is>
          <t>REAPPRAISAL</t>
        </is>
      </c>
      <c r="J304" s="79" t="n"/>
    </row>
    <row r="305" ht="23.85" customHeight="1" s="62">
      <c r="A305" s="81" t="n">
        <v>43</v>
      </c>
      <c r="B305" s="82" t="inlineStr">
        <is>
          <t>Reappraisal</t>
        </is>
      </c>
      <c r="C305" s="81" t="inlineStr">
        <is>
          <t>Scheduled</t>
        </is>
      </c>
      <c r="D305" s="81" t="inlineStr">
        <is>
          <t>Study reveal</t>
        </is>
      </c>
      <c r="E305" s="81" t="inlineStr">
        <is>
          <t>III · Resolution</t>
        </is>
      </c>
      <c r="F305" s="81" t="inlineStr">
        <is>
          <t>Outro</t>
        </is>
      </c>
      <c r="G305" s="81" t="inlineStr">
        <is>
          <t>32–36s</t>
        </is>
      </c>
      <c r="H305" s="82" t="inlineStr">
        <is>
          <t>Next time you're nervous, say 'I'm excited' out loud. Save this before your next big moment.</t>
        </is>
      </c>
      <c r="I305" s="82" t="inlineStr">
        <is>
          <t>SAY: 'I'M EXCITED'</t>
        </is>
      </c>
      <c r="J305" s="82" t="n"/>
    </row>
    <row r="306" ht="35.05" customHeight="1" s="62">
      <c r="A306" s="83" t="n">
        <v>44</v>
      </c>
      <c r="B306" s="84" t="inlineStr">
        <is>
          <t>Mixed emotions</t>
        </is>
      </c>
      <c r="C306" s="83" t="inlineStr">
        <is>
          <t>Idea</t>
        </is>
      </c>
      <c r="D306" s="83" t="inlineStr">
        <is>
          <t>You-callout</t>
        </is>
      </c>
      <c r="E306" s="83" t="inlineStr">
        <is>
          <t>I · Setup</t>
        </is>
      </c>
      <c r="F306" s="83" t="inlineStr">
        <is>
          <t>Hook</t>
        </is>
      </c>
      <c r="G306" s="83" t="inlineStr">
        <is>
          <t>0–3s</t>
        </is>
      </c>
      <c r="H306" s="85" t="inlineStr">
        <is>
          <t>You can be happy and sad at the exact same moment. It's normal.</t>
        </is>
      </c>
      <c r="I306" s="84" t="inlineStr">
        <is>
          <t>😊 + 😢 = ✓</t>
        </is>
      </c>
      <c r="J306" s="84" t="inlineStr">
        <is>
          <t>Larsen, McGraw &amp; Cacioppo 2001: graduating students reported feeling happy and sad simultaneously</t>
        </is>
      </c>
    </row>
    <row r="307" ht="23.85" customHeight="1" s="62">
      <c r="A307" s="83" t="n">
        <v>44</v>
      </c>
      <c r="B307" s="84" t="inlineStr">
        <is>
          <t>Mixed emotions</t>
        </is>
      </c>
      <c r="C307" s="83" t="inlineStr">
        <is>
          <t>Idea</t>
        </is>
      </c>
      <c r="D307" s="83" t="inlineStr">
        <is>
          <t>You-callout</t>
        </is>
      </c>
      <c r="E307" s="83" t="inlineStr">
        <is>
          <t>I · Setup</t>
        </is>
      </c>
      <c r="F307" s="83" t="inlineStr">
        <is>
          <t>Setup</t>
        </is>
      </c>
      <c r="G307" s="83" t="inlineStr">
        <is>
          <t>3–8s</t>
        </is>
      </c>
      <c r="H307" s="84" t="inlineStr">
        <is>
          <t>Your last day at school: you're excited for what's next and grieving what's ending.</t>
        </is>
      </c>
      <c r="I307" s="84" t="inlineStr">
        <is>
          <t>graduation cap + packing boxes</t>
        </is>
      </c>
      <c r="J307" s="84" t="n"/>
    </row>
    <row r="308" ht="15" customHeight="1" s="62">
      <c r="A308" s="83" t="n">
        <v>44</v>
      </c>
      <c r="B308" s="84" t="inlineStr">
        <is>
          <t>Mixed emotions</t>
        </is>
      </c>
      <c r="C308" s="83" t="inlineStr">
        <is>
          <t>Idea</t>
        </is>
      </c>
      <c r="D308" s="83" t="inlineStr">
        <is>
          <t>You-callout</t>
        </is>
      </c>
      <c r="E308" s="83" t="inlineStr">
        <is>
          <t>II · Confrontation</t>
        </is>
      </c>
      <c r="F308" s="83" t="inlineStr">
        <is>
          <t>Evidence</t>
        </is>
      </c>
      <c r="G308" s="83" t="inlineStr">
        <is>
          <t>8–15s</t>
        </is>
      </c>
      <c r="H308" s="84" t="inlineStr">
        <is>
          <t>In 2001, Jeff Larsen's team surveyed students right as they graduated.</t>
        </is>
      </c>
      <c r="I308" s="84" t="inlineStr">
        <is>
          <t>LARSEN ET AL., 2001</t>
        </is>
      </c>
      <c r="J308" s="84" t="n"/>
    </row>
    <row r="309" ht="15" customHeight="1" s="62">
      <c r="A309" s="83" t="n">
        <v>44</v>
      </c>
      <c r="B309" s="84" t="inlineStr">
        <is>
          <t>Mixed emotions</t>
        </is>
      </c>
      <c r="C309" s="83" t="inlineStr">
        <is>
          <t>Idea</t>
        </is>
      </c>
      <c r="D309" s="83" t="inlineStr">
        <is>
          <t>You-callout</t>
        </is>
      </c>
      <c r="E309" s="83" t="inlineStr">
        <is>
          <t>II · Confrontation</t>
        </is>
      </c>
      <c r="F309" s="83" t="inlineStr">
        <is>
          <t>Escalation</t>
        </is>
      </c>
      <c r="G309" s="83" t="inlineStr">
        <is>
          <t>15–22s</t>
        </is>
      </c>
      <c r="H309" s="84" t="inlineStr">
        <is>
          <t>Many felt both happy and sad at once, more than on an ordinary day.</t>
        </is>
      </c>
      <c r="I309" s="84" t="inlineStr">
        <is>
          <t>HAPPY + SAD AT ONCE</t>
        </is>
      </c>
      <c r="J309" s="84" t="n"/>
    </row>
    <row r="310" ht="23.85" customHeight="1" s="62">
      <c r="A310" s="83" t="n">
        <v>44</v>
      </c>
      <c r="B310" s="84" t="inlineStr">
        <is>
          <t>Mixed emotions</t>
        </is>
      </c>
      <c r="C310" s="83" t="inlineStr">
        <is>
          <t>Idea</t>
        </is>
      </c>
      <c r="D310" s="83" t="inlineStr">
        <is>
          <t>You-callout</t>
        </is>
      </c>
      <c r="E310" s="83" t="inlineStr">
        <is>
          <t>II · Confrontation</t>
        </is>
      </c>
      <c r="F310" s="83" t="inlineStr">
        <is>
          <t>Turn</t>
        </is>
      </c>
      <c r="G310" s="83" t="inlineStr">
        <is>
          <t>22–26s</t>
        </is>
      </c>
      <c r="H310" s="84" t="inlineStr">
        <is>
          <t>But we're taught emotions come one at a time, so mixed feelings feel wrong.</t>
        </is>
      </c>
      <c r="I310" s="84" t="inlineStr">
        <is>
          <t>NOT ONE AT A TIME</t>
        </is>
      </c>
      <c r="J310" s="84" t="n"/>
    </row>
    <row r="311" ht="15" customHeight="1" s="62">
      <c r="A311" s="83" t="n">
        <v>44</v>
      </c>
      <c r="B311" s="84" t="inlineStr">
        <is>
          <t>Mixed emotions</t>
        </is>
      </c>
      <c r="C311" s="83" t="inlineStr">
        <is>
          <t>Idea</t>
        </is>
      </c>
      <c r="D311" s="83" t="inlineStr">
        <is>
          <t>You-callout</t>
        </is>
      </c>
      <c r="E311" s="83" t="inlineStr">
        <is>
          <t>III · Resolution</t>
        </is>
      </c>
      <c r="F311" s="83" t="inlineStr">
        <is>
          <t>Payoff</t>
        </is>
      </c>
      <c r="G311" s="83" t="inlineStr">
        <is>
          <t>26–32s</t>
        </is>
      </c>
      <c r="H311" s="84" t="inlineStr">
        <is>
          <t>They're mixed emotions, and they often mark meaningful moments.</t>
        </is>
      </c>
      <c r="I311" s="84" t="inlineStr">
        <is>
          <t>MIXED EMOTIONS</t>
        </is>
      </c>
      <c r="J311" s="84" t="n"/>
    </row>
    <row r="312" ht="23.85" customHeight="1" s="62">
      <c r="A312" s="86" t="n">
        <v>44</v>
      </c>
      <c r="B312" s="87" t="inlineStr">
        <is>
          <t>Mixed emotions</t>
        </is>
      </c>
      <c r="C312" s="86" t="inlineStr">
        <is>
          <t>Idea</t>
        </is>
      </c>
      <c r="D312" s="86" t="inlineStr">
        <is>
          <t>You-callout</t>
        </is>
      </c>
      <c r="E312" s="86" t="inlineStr">
        <is>
          <t>III · Resolution</t>
        </is>
      </c>
      <c r="F312" s="86" t="inlineStr">
        <is>
          <t>Outro</t>
        </is>
      </c>
      <c r="G312" s="86" t="inlineStr">
        <is>
          <t>32–36s</t>
        </is>
      </c>
      <c r="H312" s="87" t="inlineStr">
        <is>
          <t>Next time you feel both, name both. It's a sign something matters. Follow for more on feelings.</t>
        </is>
      </c>
      <c r="I312" s="87" t="inlineStr">
        <is>
          <t>NAME BOTH</t>
        </is>
      </c>
      <c r="J312" s="87" t="n"/>
    </row>
    <row r="313" ht="23.85" customHeight="1" s="62">
      <c r="A313" s="78" t="n">
        <v>45</v>
      </c>
      <c r="B313" s="79" t="inlineStr">
        <is>
          <t>Rumination versus reflection</t>
        </is>
      </c>
      <c r="C313" s="78" t="inlineStr">
        <is>
          <t>Idea</t>
        </is>
      </c>
      <c r="D313" s="78" t="inlineStr">
        <is>
          <t>You-callout</t>
        </is>
      </c>
      <c r="E313" s="78" t="inlineStr">
        <is>
          <t>I · Setup</t>
        </is>
      </c>
      <c r="F313" s="78" t="inlineStr">
        <is>
          <t>Hook</t>
        </is>
      </c>
      <c r="G313" s="78" t="inlineStr">
        <is>
          <t>0–3s</t>
        </is>
      </c>
      <c r="H313" s="80" t="inlineStr">
        <is>
          <t>You're not thinking it through. You're thinking in circles.</t>
        </is>
      </c>
      <c r="I313" s="79" t="inlineStr">
        <is>
          <t>🔁 LOOP</t>
        </is>
      </c>
      <c r="J313" s="79" t="inlineStr">
        <is>
          <t>Watkins: abstract 'why' rumination vs concrete 'how' thinking; Nolen-Hoeksema rumination</t>
        </is>
      </c>
    </row>
    <row r="314" ht="15" customHeight="1" s="62">
      <c r="A314" s="78" t="n">
        <v>45</v>
      </c>
      <c r="B314" s="79" t="inlineStr">
        <is>
          <t>Rumination versus reflection</t>
        </is>
      </c>
      <c r="C314" s="78" t="inlineStr">
        <is>
          <t>Idea</t>
        </is>
      </c>
      <c r="D314" s="78" t="inlineStr">
        <is>
          <t>You-callout</t>
        </is>
      </c>
      <c r="E314" s="78" t="inlineStr">
        <is>
          <t>I · Setup</t>
        </is>
      </c>
      <c r="F314" s="78" t="inlineStr">
        <is>
          <t>Setup</t>
        </is>
      </c>
      <c r="G314" s="78" t="inlineStr">
        <is>
          <t>3–8s</t>
        </is>
      </c>
      <c r="H314" s="79" t="inlineStr">
        <is>
          <t>'Why did this happen to me? Why am I like this?' On repeat, at 2 AM.</t>
        </is>
      </c>
      <c r="I314" s="79" t="inlineStr">
        <is>
          <t>2 AM, ceiling, 'why why why'</t>
        </is>
      </c>
      <c r="J314" s="79" t="n"/>
    </row>
    <row r="315" ht="15" customHeight="1" s="62">
      <c r="A315" s="78" t="n">
        <v>45</v>
      </c>
      <c r="B315" s="79" t="inlineStr">
        <is>
          <t>Rumination versus reflection</t>
        </is>
      </c>
      <c r="C315" s="78" t="inlineStr">
        <is>
          <t>Idea</t>
        </is>
      </c>
      <c r="D315" s="78" t="inlineStr">
        <is>
          <t>You-callout</t>
        </is>
      </c>
      <c r="E315" s="78" t="inlineStr">
        <is>
          <t>II · Confrontation</t>
        </is>
      </c>
      <c r="F315" s="78" t="inlineStr">
        <is>
          <t>Evidence</t>
        </is>
      </c>
      <c r="G315" s="78" t="inlineStr">
        <is>
          <t>8–15s</t>
        </is>
      </c>
      <c r="H315" s="79" t="inlineStr">
        <is>
          <t>Psychologist Susan Nolen-Hoeksema called this rumination.</t>
        </is>
      </c>
      <c r="I315" s="79" t="inlineStr">
        <is>
          <t>NOLEN-HOEKSEMA | RUMINATION</t>
        </is>
      </c>
      <c r="J315" s="79" t="n"/>
    </row>
    <row r="316" ht="23.85" customHeight="1" s="62">
      <c r="A316" s="78" t="n">
        <v>45</v>
      </c>
      <c r="B316" s="79" t="inlineStr">
        <is>
          <t>Rumination versus reflection</t>
        </is>
      </c>
      <c r="C316" s="78" t="inlineStr">
        <is>
          <t>Idea</t>
        </is>
      </c>
      <c r="D316" s="78" t="inlineStr">
        <is>
          <t>You-callout</t>
        </is>
      </c>
      <c r="E316" s="78" t="inlineStr">
        <is>
          <t>II · Confrontation</t>
        </is>
      </c>
      <c r="F316" s="78" t="inlineStr">
        <is>
          <t>Escalation</t>
        </is>
      </c>
      <c r="G316" s="78" t="inlineStr">
        <is>
          <t>15–22s</t>
        </is>
      </c>
      <c r="H316" s="79" t="inlineStr">
        <is>
          <t>Ed Watkins found abstract 'why' questions keep the loop going; concrete 'how' questions help.</t>
        </is>
      </c>
      <c r="I316" s="79" t="inlineStr">
        <is>
          <t>WHY? 🔁 | HOW? ➡</t>
        </is>
      </c>
      <c r="J316" s="79" t="n"/>
    </row>
    <row r="317" ht="15" customHeight="1" s="62">
      <c r="A317" s="78" t="n">
        <v>45</v>
      </c>
      <c r="B317" s="79" t="inlineStr">
        <is>
          <t>Rumination versus reflection</t>
        </is>
      </c>
      <c r="C317" s="78" t="inlineStr">
        <is>
          <t>Idea</t>
        </is>
      </c>
      <c r="D317" s="78" t="inlineStr">
        <is>
          <t>You-callout</t>
        </is>
      </c>
      <c r="E317" s="78" t="inlineStr">
        <is>
          <t>II · Confrontation</t>
        </is>
      </c>
      <c r="F317" s="78" t="inlineStr">
        <is>
          <t>Turn</t>
        </is>
      </c>
      <c r="G317" s="78" t="inlineStr">
        <is>
          <t>22–26s</t>
        </is>
      </c>
      <c r="H317" s="79" t="inlineStr">
        <is>
          <t>But reflection ends with a next step. Rumination just restarts.</t>
        </is>
      </c>
      <c r="I317" s="79" t="inlineStr">
        <is>
          <t>REFLECTION = NEXT STEP</t>
        </is>
      </c>
      <c r="J317" s="79" t="n"/>
    </row>
    <row r="318" ht="15" customHeight="1" s="62">
      <c r="A318" s="78" t="n">
        <v>45</v>
      </c>
      <c r="B318" s="79" t="inlineStr">
        <is>
          <t>Rumination versus reflection</t>
        </is>
      </c>
      <c r="C318" s="78" t="inlineStr">
        <is>
          <t>Idea</t>
        </is>
      </c>
      <c r="D318" s="78" t="inlineStr">
        <is>
          <t>You-callout</t>
        </is>
      </c>
      <c r="E318" s="78" t="inlineStr">
        <is>
          <t>III · Resolution</t>
        </is>
      </c>
      <c r="F318" s="78" t="inlineStr">
        <is>
          <t>Payoff</t>
        </is>
      </c>
      <c r="G318" s="78" t="inlineStr">
        <is>
          <t>26–32s</t>
        </is>
      </c>
      <c r="H318" s="79" t="inlineStr">
        <is>
          <t>Rumination versus reflection.</t>
        </is>
      </c>
      <c r="I318" s="79" t="inlineStr">
        <is>
          <t>RUMINATION vs REFLECTION</t>
        </is>
      </c>
      <c r="J318" s="79" t="n"/>
    </row>
    <row r="319" ht="23.85" customHeight="1" s="62">
      <c r="A319" s="81" t="n">
        <v>45</v>
      </c>
      <c r="B319" s="82" t="inlineStr">
        <is>
          <t>Rumination versus reflection</t>
        </is>
      </c>
      <c r="C319" s="81" t="inlineStr">
        <is>
          <t>Idea</t>
        </is>
      </c>
      <c r="D319" s="81" t="inlineStr">
        <is>
          <t>You-callout</t>
        </is>
      </c>
      <c r="E319" s="81" t="inlineStr">
        <is>
          <t>III · Resolution</t>
        </is>
      </c>
      <c r="F319" s="81" t="inlineStr">
        <is>
          <t>Outro</t>
        </is>
      </c>
      <c r="G319" s="81" t="inlineStr">
        <is>
          <t>32–36s</t>
        </is>
      </c>
      <c r="H319" s="82" t="inlineStr">
        <is>
          <t>Swap 'why me?' for 'what's one thing I can do tomorrow?' Save this for your next 2 AM spiral.</t>
        </is>
      </c>
      <c r="I319" s="82" t="inlineStr">
        <is>
          <t>'WHAT CAN I DO?'</t>
        </is>
      </c>
      <c r="J319" s="82" t="n"/>
    </row>
    <row r="320" ht="23.85" customHeight="1" s="62">
      <c r="A320" s="83" t="n">
        <v>46</v>
      </c>
      <c r="B320" s="84" t="inlineStr">
        <is>
          <t>Emotional granularity</t>
        </is>
      </c>
      <c r="C320" s="83" t="inlineStr">
        <is>
          <t>Idea</t>
        </is>
      </c>
      <c r="D320" s="83" t="inlineStr">
        <is>
          <t>List</t>
        </is>
      </c>
      <c r="E320" s="83" t="inlineStr">
        <is>
          <t>I · Setup</t>
        </is>
      </c>
      <c r="F320" s="83" t="inlineStr">
        <is>
          <t>Hook</t>
        </is>
      </c>
      <c r="G320" s="83" t="inlineStr">
        <is>
          <t>0–3s</t>
        </is>
      </c>
      <c r="H320" s="85" t="inlineStr">
        <is>
          <t>'I feel bad' is hiding at least five different feelings.</t>
        </is>
      </c>
      <c r="I320" s="84" t="inlineStr">
        <is>
          <t>'BAD' = ? ? ? ? ?</t>
        </is>
      </c>
      <c r="J320" s="84" t="inlineStr">
        <is>
          <t>Kashdan, Barrett &amp; McKnight 2015: higher emotional granularity linked to better coping</t>
        </is>
      </c>
    </row>
    <row r="321" ht="23.85" customHeight="1" s="62">
      <c r="A321" s="83" t="n">
        <v>46</v>
      </c>
      <c r="B321" s="84" t="inlineStr">
        <is>
          <t>Emotional granularity</t>
        </is>
      </c>
      <c r="C321" s="83" t="inlineStr">
        <is>
          <t>Idea</t>
        </is>
      </c>
      <c r="D321" s="83" t="inlineStr">
        <is>
          <t>List</t>
        </is>
      </c>
      <c r="E321" s="83" t="inlineStr">
        <is>
          <t>I · Setup</t>
        </is>
      </c>
      <c r="F321" s="83" t="inlineStr">
        <is>
          <t>Setup</t>
        </is>
      </c>
      <c r="G321" s="83" t="inlineStr">
        <is>
          <t>3–8s</t>
        </is>
      </c>
      <c r="H321" s="84" t="inlineStr">
        <is>
          <t>Bad could mean tired, lonely, guilty, anxious or let down.</t>
        </is>
      </c>
      <c r="I321" s="84" t="inlineStr">
        <is>
          <t>TIRED | LONELY | GUILTY | ANXIOUS | LET DOWN</t>
        </is>
      </c>
      <c r="J321" s="84" t="n"/>
    </row>
    <row r="322" ht="23.85" customHeight="1" s="62">
      <c r="A322" s="83" t="n">
        <v>46</v>
      </c>
      <c r="B322" s="84" t="inlineStr">
        <is>
          <t>Emotional granularity</t>
        </is>
      </c>
      <c r="C322" s="83" t="inlineStr">
        <is>
          <t>Idea</t>
        </is>
      </c>
      <c r="D322" s="83" t="inlineStr">
        <is>
          <t>List</t>
        </is>
      </c>
      <c r="E322" s="83" t="inlineStr">
        <is>
          <t>II · Confrontation</t>
        </is>
      </c>
      <c r="F322" s="83" t="inlineStr">
        <is>
          <t>Evidence</t>
        </is>
      </c>
      <c r="G322" s="83" t="inlineStr">
        <is>
          <t>8–15s</t>
        </is>
      </c>
      <c r="H322" s="84" t="inlineStr">
        <is>
          <t>Lisa Feldman Barrett calls the skill of telling them apart emotional granularity.</t>
        </is>
      </c>
      <c r="I322" s="84" t="inlineStr">
        <is>
          <t>LISA FELDMAN BARRETT</t>
        </is>
      </c>
      <c r="J322" s="84" t="n"/>
    </row>
    <row r="323" ht="15" customHeight="1" s="62">
      <c r="A323" s="83" t="n">
        <v>46</v>
      </c>
      <c r="B323" s="84" t="inlineStr">
        <is>
          <t>Emotional granularity</t>
        </is>
      </c>
      <c r="C323" s="83" t="inlineStr">
        <is>
          <t>Idea</t>
        </is>
      </c>
      <c r="D323" s="83" t="inlineStr">
        <is>
          <t>List</t>
        </is>
      </c>
      <c r="E323" s="83" t="inlineStr">
        <is>
          <t>II · Confrontation</t>
        </is>
      </c>
      <c r="F323" s="83" t="inlineStr">
        <is>
          <t>Escalation</t>
        </is>
      </c>
      <c r="G323" s="83" t="inlineStr">
        <is>
          <t>15–22s</t>
        </is>
      </c>
      <c r="H323" s="84" t="inlineStr">
        <is>
          <t>A 2015 review with Todd Kashdan linked it to coping better with stress.</t>
        </is>
      </c>
      <c r="I323" s="84" t="inlineStr">
        <is>
          <t>KASHDAN ET AL., 2015</t>
        </is>
      </c>
      <c r="J323" s="84" t="n"/>
    </row>
    <row r="324" ht="23.85" customHeight="1" s="62">
      <c r="A324" s="83" t="n">
        <v>46</v>
      </c>
      <c r="B324" s="84" t="inlineStr">
        <is>
          <t>Emotional granularity</t>
        </is>
      </c>
      <c r="C324" s="83" t="inlineStr">
        <is>
          <t>Idea</t>
        </is>
      </c>
      <c r="D324" s="83" t="inlineStr">
        <is>
          <t>List</t>
        </is>
      </c>
      <c r="E324" s="83" t="inlineStr">
        <is>
          <t>II · Confrontation</t>
        </is>
      </c>
      <c r="F324" s="83" t="inlineStr">
        <is>
          <t>Turn</t>
        </is>
      </c>
      <c r="G324" s="83" t="inlineStr">
        <is>
          <t>22–26s</t>
        </is>
      </c>
      <c r="H324" s="84" t="inlineStr">
        <is>
          <t>But each word points to a different fix. Tired needs sleep. Lonely needs people.</t>
        </is>
      </c>
      <c r="I324" s="84" t="inlineStr">
        <is>
          <t>TIRED → 😴 | LONELY → 👥</t>
        </is>
      </c>
      <c r="J324" s="84" t="n"/>
    </row>
    <row r="325" ht="15" customHeight="1" s="62">
      <c r="A325" s="83" t="n">
        <v>46</v>
      </c>
      <c r="B325" s="84" t="inlineStr">
        <is>
          <t>Emotional granularity</t>
        </is>
      </c>
      <c r="C325" s="83" t="inlineStr">
        <is>
          <t>Idea</t>
        </is>
      </c>
      <c r="D325" s="83" t="inlineStr">
        <is>
          <t>List</t>
        </is>
      </c>
      <c r="E325" s="83" t="inlineStr">
        <is>
          <t>III · Resolution</t>
        </is>
      </c>
      <c r="F325" s="83" t="inlineStr">
        <is>
          <t>Payoff</t>
        </is>
      </c>
      <c r="G325" s="83" t="inlineStr">
        <is>
          <t>26–32s</t>
        </is>
      </c>
      <c r="H325" s="84" t="inlineStr">
        <is>
          <t>That's emotional granularity.</t>
        </is>
      </c>
      <c r="I325" s="84" t="inlineStr">
        <is>
          <t>EMOTIONAL GRANULARITY</t>
        </is>
      </c>
      <c r="J325" s="84" t="n"/>
    </row>
    <row r="326" ht="23.85" customHeight="1" s="62">
      <c r="A326" s="86" t="n">
        <v>46</v>
      </c>
      <c r="B326" s="87" t="inlineStr">
        <is>
          <t>Emotional granularity</t>
        </is>
      </c>
      <c r="C326" s="86" t="inlineStr">
        <is>
          <t>Idea</t>
        </is>
      </c>
      <c r="D326" s="86" t="inlineStr">
        <is>
          <t>List</t>
        </is>
      </c>
      <c r="E326" s="86" t="inlineStr">
        <is>
          <t>III · Resolution</t>
        </is>
      </c>
      <c r="F326" s="86" t="inlineStr">
        <is>
          <t>Outro</t>
        </is>
      </c>
      <c r="G326" s="86" t="inlineStr">
        <is>
          <t>32–36s</t>
        </is>
      </c>
      <c r="H326" s="87" t="inlineStr">
        <is>
          <t>Today, replace 'bad' with a more precise word. Comment yours, and follow for more.</t>
        </is>
      </c>
      <c r="I326" s="87" t="inlineStr">
        <is>
          <t>COMMENT YOUR WORD</t>
        </is>
      </c>
      <c r="J326" s="87" t="n"/>
    </row>
    <row r="327" ht="23.85" customHeight="1" s="62">
      <c r="A327" s="78" t="n">
        <v>47</v>
      </c>
      <c r="B327" s="79" t="inlineStr">
        <is>
          <t>Suppression versus expression</t>
        </is>
      </c>
      <c r="C327" s="78" t="inlineStr">
        <is>
          <t>Scheduled</t>
        </is>
      </c>
      <c r="D327" s="78" t="inlineStr">
        <is>
          <t>Study reveal</t>
        </is>
      </c>
      <c r="E327" s="78" t="inlineStr">
        <is>
          <t>I · Setup</t>
        </is>
      </c>
      <c r="F327" s="78" t="inlineStr">
        <is>
          <t>Hook</t>
        </is>
      </c>
      <c r="G327" s="78" t="inlineStr">
        <is>
          <t>0–3s</t>
        </is>
      </c>
      <c r="H327" s="80" t="inlineStr">
        <is>
          <t>Hiding your feelings can raise the other person's blood pressure.</t>
        </is>
      </c>
      <c r="I327" s="79" t="inlineStr">
        <is>
          <t>THEIR 🩺 ⬆</t>
        </is>
      </c>
      <c r="J327" s="79" t="inlineStr">
        <is>
          <t>Butler et al. 2003: suppression raised partner's blood pressure during conversation</t>
        </is>
      </c>
    </row>
    <row r="328" ht="23.85" customHeight="1" s="62">
      <c r="A328" s="78" t="n">
        <v>47</v>
      </c>
      <c r="B328" s="79" t="inlineStr">
        <is>
          <t>Suppression versus expression</t>
        </is>
      </c>
      <c r="C328" s="78" t="inlineStr">
        <is>
          <t>Scheduled</t>
        </is>
      </c>
      <c r="D328" s="78" t="inlineStr">
        <is>
          <t>Study reveal</t>
        </is>
      </c>
      <c r="E328" s="78" t="inlineStr">
        <is>
          <t>I · Setup</t>
        </is>
      </c>
      <c r="F328" s="78" t="inlineStr">
        <is>
          <t>Setup</t>
        </is>
      </c>
      <c r="G328" s="78" t="inlineStr">
        <is>
          <t>3–8s</t>
        </is>
      </c>
      <c r="H328" s="79" t="inlineStr">
        <is>
          <t>In 2003, Emily Butler's team had pairs of strangers discuss an upsetting film.</t>
        </is>
      </c>
      <c r="I328" s="79" t="inlineStr">
        <is>
          <t>BUTLER ET AL., 2003</t>
        </is>
      </c>
      <c r="J328" s="79" t="n"/>
    </row>
    <row r="329" ht="15" customHeight="1" s="62">
      <c r="A329" s="78" t="n">
        <v>47</v>
      </c>
      <c r="B329" s="79" t="inlineStr">
        <is>
          <t>Suppression versus expression</t>
        </is>
      </c>
      <c r="C329" s="78" t="inlineStr">
        <is>
          <t>Scheduled</t>
        </is>
      </c>
      <c r="D329" s="78" t="inlineStr">
        <is>
          <t>Study reveal</t>
        </is>
      </c>
      <c r="E329" s="78" t="inlineStr">
        <is>
          <t>II · Confrontation</t>
        </is>
      </c>
      <c r="F329" s="78" t="inlineStr">
        <is>
          <t>Evidence</t>
        </is>
      </c>
      <c r="G329" s="78" t="inlineStr">
        <is>
          <t>8–15s</t>
        </is>
      </c>
      <c r="H329" s="79" t="inlineStr">
        <is>
          <t>One person was secretly told to hide every emotional reaction.</t>
        </is>
      </c>
      <c r="I329" s="79" t="inlineStr">
        <is>
          <t>😐 (hiding)</t>
        </is>
      </c>
      <c r="J329" s="79" t="n"/>
    </row>
    <row r="330" ht="15" customHeight="1" s="62">
      <c r="A330" s="78" t="n">
        <v>47</v>
      </c>
      <c r="B330" s="79" t="inlineStr">
        <is>
          <t>Suppression versus expression</t>
        </is>
      </c>
      <c r="C330" s="78" t="inlineStr">
        <is>
          <t>Scheduled</t>
        </is>
      </c>
      <c r="D330" s="78" t="inlineStr">
        <is>
          <t>Study reveal</t>
        </is>
      </c>
      <c r="E330" s="78" t="inlineStr">
        <is>
          <t>II · Confrontation</t>
        </is>
      </c>
      <c r="F330" s="78" t="inlineStr">
        <is>
          <t>Escalation</t>
        </is>
      </c>
      <c r="G330" s="78" t="inlineStr">
        <is>
          <t>15–22s</t>
        </is>
      </c>
      <c r="H330" s="79" t="inlineStr">
        <is>
          <t>Their partners' blood pressure rose, and they felt less connected.</t>
        </is>
      </c>
      <c r="I330" s="79" t="inlineStr">
        <is>
          <t>PARTNER 🩺 ⬆ CONNECTION ⬇</t>
        </is>
      </c>
      <c r="J330" s="79" t="n"/>
    </row>
    <row r="331" ht="15" customHeight="1" s="62">
      <c r="A331" s="78" t="n">
        <v>47</v>
      </c>
      <c r="B331" s="79" t="inlineStr">
        <is>
          <t>Suppression versus expression</t>
        </is>
      </c>
      <c r="C331" s="78" t="inlineStr">
        <is>
          <t>Scheduled</t>
        </is>
      </c>
      <c r="D331" s="78" t="inlineStr">
        <is>
          <t>Study reveal</t>
        </is>
      </c>
      <c r="E331" s="78" t="inlineStr">
        <is>
          <t>II · Confrontation</t>
        </is>
      </c>
      <c r="F331" s="78" t="inlineStr">
        <is>
          <t>Turn</t>
        </is>
      </c>
      <c r="G331" s="78" t="inlineStr">
        <is>
          <t>22–26s</t>
        </is>
      </c>
      <c r="H331" s="79" t="inlineStr">
        <is>
          <t>But it's not always bad. In some settings, holding back helps.</t>
        </is>
      </c>
      <c r="I331" s="79" t="inlineStr">
        <is>
          <t>CONTEXT MATTERS</t>
        </is>
      </c>
      <c r="J331" s="79" t="n"/>
    </row>
    <row r="332" ht="15" customHeight="1" s="62">
      <c r="A332" s="78" t="n">
        <v>47</v>
      </c>
      <c r="B332" s="79" t="inlineStr">
        <is>
          <t>Suppression versus expression</t>
        </is>
      </c>
      <c r="C332" s="78" t="inlineStr">
        <is>
          <t>Scheduled</t>
        </is>
      </c>
      <c r="D332" s="78" t="inlineStr">
        <is>
          <t>Study reveal</t>
        </is>
      </c>
      <c r="E332" s="78" t="inlineStr">
        <is>
          <t>III · Resolution</t>
        </is>
      </c>
      <c r="F332" s="78" t="inlineStr">
        <is>
          <t>Payoff</t>
        </is>
      </c>
      <c r="G332" s="78" t="inlineStr">
        <is>
          <t>26–32s</t>
        </is>
      </c>
      <c r="H332" s="79" t="inlineStr">
        <is>
          <t>Suppression versus expression isn't one-size-fits-all.</t>
        </is>
      </c>
      <c r="I332" s="79" t="inlineStr">
        <is>
          <t>SUPPRESS vs EXPRESS</t>
        </is>
      </c>
      <c r="J332" s="79" t="n"/>
    </row>
    <row r="333" ht="23.85" customHeight="1" s="62">
      <c r="A333" s="81" t="n">
        <v>47</v>
      </c>
      <c r="B333" s="82" t="inlineStr">
        <is>
          <t>Suppression versus expression</t>
        </is>
      </c>
      <c r="C333" s="81" t="inlineStr">
        <is>
          <t>Scheduled</t>
        </is>
      </c>
      <c r="D333" s="81" t="inlineStr">
        <is>
          <t>Study reveal</t>
        </is>
      </c>
      <c r="E333" s="81" t="inlineStr">
        <is>
          <t>III · Resolution</t>
        </is>
      </c>
      <c r="F333" s="81" t="inlineStr">
        <is>
          <t>Outro</t>
        </is>
      </c>
      <c r="G333" s="81" t="inlineStr">
        <is>
          <t>32–36s</t>
        </is>
      </c>
      <c r="H333" s="82" t="inlineStr">
        <is>
          <t>With people you're close to, let a little show. Save this and share it with someone you trust.</t>
        </is>
      </c>
      <c r="I333" s="82" t="inlineStr">
        <is>
          <t>LET A LITTLE SHOW</t>
        </is>
      </c>
      <c r="J333" s="82" t="n"/>
    </row>
    <row r="334" ht="23.85" customHeight="1" s="62">
      <c r="A334" s="83" t="n">
        <v>48</v>
      </c>
      <c r="B334" s="84" t="inlineStr">
        <is>
          <t>Self-compassion after mistakes</t>
        </is>
      </c>
      <c r="C334" s="83" t="inlineStr">
        <is>
          <t>Idea</t>
        </is>
      </c>
      <c r="D334" s="83" t="inlineStr">
        <is>
          <t>Study reveal</t>
        </is>
      </c>
      <c r="E334" s="83" t="inlineStr">
        <is>
          <t>I · Setup</t>
        </is>
      </c>
      <c r="F334" s="83" t="inlineStr">
        <is>
          <t>Hook</t>
        </is>
      </c>
      <c r="G334" s="83" t="inlineStr">
        <is>
          <t>0–3s</t>
        </is>
      </c>
      <c r="H334" s="85" t="inlineStr">
        <is>
          <t>Being kind to yourself after failing made people work harder.</t>
        </is>
      </c>
      <c r="I334" s="84" t="inlineStr">
        <is>
          <t>KINDER → HARDER WORK</t>
        </is>
      </c>
      <c r="J334" s="84" t="inlineStr">
        <is>
          <t>Breines &amp; Chen 2012: self-compassion after failure → more time studying for retest</t>
        </is>
      </c>
    </row>
    <row r="335" ht="15" customHeight="1" s="62">
      <c r="A335" s="83" t="n">
        <v>48</v>
      </c>
      <c r="B335" s="84" t="inlineStr">
        <is>
          <t>Self-compassion after mistakes</t>
        </is>
      </c>
      <c r="C335" s="83" t="inlineStr">
        <is>
          <t>Idea</t>
        </is>
      </c>
      <c r="D335" s="83" t="inlineStr">
        <is>
          <t>Study reveal</t>
        </is>
      </c>
      <c r="E335" s="83" t="inlineStr">
        <is>
          <t>I · Setup</t>
        </is>
      </c>
      <c r="F335" s="83" t="inlineStr">
        <is>
          <t>Setup</t>
        </is>
      </c>
      <c r="G335" s="83" t="inlineStr">
        <is>
          <t>3–8s</t>
        </is>
      </c>
      <c r="H335" s="84" t="inlineStr">
        <is>
          <t>You'd never tell a friend 'You're an idiot.' But you say it to yourself.</t>
        </is>
      </c>
      <c r="I335" s="84" t="inlineStr">
        <is>
          <t>'You're an idiot' 🗯</t>
        </is>
      </c>
      <c r="J335" s="84" t="n"/>
    </row>
    <row r="336" ht="15" customHeight="1" s="62">
      <c r="A336" s="83" t="n">
        <v>48</v>
      </c>
      <c r="B336" s="84" t="inlineStr">
        <is>
          <t>Self-compassion after mistakes</t>
        </is>
      </c>
      <c r="C336" s="83" t="inlineStr">
        <is>
          <t>Idea</t>
        </is>
      </c>
      <c r="D336" s="83" t="inlineStr">
        <is>
          <t>Study reveal</t>
        </is>
      </c>
      <c r="E336" s="83" t="inlineStr">
        <is>
          <t>II · Confrontation</t>
        </is>
      </c>
      <c r="F336" s="83" t="inlineStr">
        <is>
          <t>Evidence</t>
        </is>
      </c>
      <c r="G336" s="83" t="inlineStr">
        <is>
          <t>8–15s</t>
        </is>
      </c>
      <c r="H336" s="84" t="inlineStr">
        <is>
          <t>In 2012, Juliana Breines and Serena Chen had students fail a hard test.</t>
        </is>
      </c>
      <c r="I336" s="84" t="inlineStr">
        <is>
          <t>BREINES &amp; CHEN, 2012</t>
        </is>
      </c>
      <c r="J336" s="84" t="n"/>
    </row>
    <row r="337" ht="15" customHeight="1" s="62">
      <c r="A337" s="83" t="n">
        <v>48</v>
      </c>
      <c r="B337" s="84" t="inlineStr">
        <is>
          <t>Self-compassion after mistakes</t>
        </is>
      </c>
      <c r="C337" s="83" t="inlineStr">
        <is>
          <t>Idea</t>
        </is>
      </c>
      <c r="D337" s="83" t="inlineStr">
        <is>
          <t>Study reveal</t>
        </is>
      </c>
      <c r="E337" s="83" t="inlineStr">
        <is>
          <t>II · Confrontation</t>
        </is>
      </c>
      <c r="F337" s="83" t="inlineStr">
        <is>
          <t>Escalation</t>
        </is>
      </c>
      <c r="G337" s="83" t="inlineStr">
        <is>
          <t>15–22s</t>
        </is>
      </c>
      <c r="H337" s="84" t="inlineStr">
        <is>
          <t>Students guided toward self-compassion studied longer for the retest.</t>
        </is>
      </c>
      <c r="I337" s="84" t="inlineStr">
        <is>
          <t>SELF-COMPASSION → +STUDY TIME</t>
        </is>
      </c>
      <c r="J337" s="84" t="n"/>
    </row>
    <row r="338" ht="15" customHeight="1" s="62">
      <c r="A338" s="83" t="n">
        <v>48</v>
      </c>
      <c r="B338" s="84" t="inlineStr">
        <is>
          <t>Self-compassion after mistakes</t>
        </is>
      </c>
      <c r="C338" s="83" t="inlineStr">
        <is>
          <t>Idea</t>
        </is>
      </c>
      <c r="D338" s="83" t="inlineStr">
        <is>
          <t>Study reveal</t>
        </is>
      </c>
      <c r="E338" s="83" t="inlineStr">
        <is>
          <t>II · Confrontation</t>
        </is>
      </c>
      <c r="F338" s="83" t="inlineStr">
        <is>
          <t>Turn</t>
        </is>
      </c>
      <c r="G338" s="83" t="inlineStr">
        <is>
          <t>22–26s</t>
        </is>
      </c>
      <c r="H338" s="84" t="inlineStr">
        <is>
          <t>But self-compassion isn't letting yourself off. It's what makes you try again.</t>
        </is>
      </c>
      <c r="I338" s="84" t="inlineStr">
        <is>
          <t>NOT AN EXCUSE</t>
        </is>
      </c>
      <c r="J338" s="84" t="n"/>
    </row>
    <row r="339" ht="15" customHeight="1" s="62">
      <c r="A339" s="83" t="n">
        <v>48</v>
      </c>
      <c r="B339" s="84" t="inlineStr">
        <is>
          <t>Self-compassion after mistakes</t>
        </is>
      </c>
      <c r="C339" s="83" t="inlineStr">
        <is>
          <t>Idea</t>
        </is>
      </c>
      <c r="D339" s="83" t="inlineStr">
        <is>
          <t>Study reveal</t>
        </is>
      </c>
      <c r="E339" s="83" t="inlineStr">
        <is>
          <t>III · Resolution</t>
        </is>
      </c>
      <c r="F339" s="83" t="inlineStr">
        <is>
          <t>Payoff</t>
        </is>
      </c>
      <c r="G339" s="83" t="inlineStr">
        <is>
          <t>26–32s</t>
        </is>
      </c>
      <c r="H339" s="84" t="inlineStr">
        <is>
          <t>That's self-compassion after mistakes.</t>
        </is>
      </c>
      <c r="I339" s="84" t="inlineStr">
        <is>
          <t>SELF-COMPASSION</t>
        </is>
      </c>
      <c r="J339" s="84" t="n"/>
    </row>
    <row r="340" ht="23.85" customHeight="1" s="62">
      <c r="A340" s="86" t="n">
        <v>48</v>
      </c>
      <c r="B340" s="87" t="inlineStr">
        <is>
          <t>Self-compassion after mistakes</t>
        </is>
      </c>
      <c r="C340" s="86" t="inlineStr">
        <is>
          <t>Idea</t>
        </is>
      </c>
      <c r="D340" s="86" t="inlineStr">
        <is>
          <t>Study reveal</t>
        </is>
      </c>
      <c r="E340" s="86" t="inlineStr">
        <is>
          <t>III · Resolution</t>
        </is>
      </c>
      <c r="F340" s="86" t="inlineStr">
        <is>
          <t>Outro</t>
        </is>
      </c>
      <c r="G340" s="86" t="inlineStr">
        <is>
          <t>32–36s</t>
        </is>
      </c>
      <c r="H340" s="87" t="inlineStr">
        <is>
          <t>Next mistake, talk to yourself like you'd talk to a friend. Save this for your next bad day.</t>
        </is>
      </c>
      <c r="I340" s="87" t="inlineStr">
        <is>
          <t>TALK LIKE A FRIEND</t>
        </is>
      </c>
      <c r="J340" s="87" t="n"/>
    </row>
    <row r="341" ht="23.85" customHeight="1" s="62">
      <c r="A341" s="78" t="n">
        <v>49</v>
      </c>
      <c r="B341" s="79" t="inlineStr">
        <is>
          <t>Anticipation and enjoyment</t>
        </is>
      </c>
      <c r="C341" s="78" t="inlineStr">
        <is>
          <t>Idea</t>
        </is>
      </c>
      <c r="D341" s="78" t="inlineStr">
        <is>
          <t>Study reveal</t>
        </is>
      </c>
      <c r="E341" s="78" t="inlineStr">
        <is>
          <t>I · Setup</t>
        </is>
      </c>
      <c r="F341" s="78" t="inlineStr">
        <is>
          <t>Hook</t>
        </is>
      </c>
      <c r="G341" s="78" t="inlineStr">
        <is>
          <t>0–3s</t>
        </is>
      </c>
      <c r="H341" s="80" t="inlineStr">
        <is>
          <t>Most of the happiness from a holiday comes before you leave.</t>
        </is>
      </c>
      <c r="I341" s="79" t="inlineStr">
        <is>
          <t>😀 BEFORE ✈️</t>
        </is>
      </c>
      <c r="J341" s="79" t="inlineStr">
        <is>
          <t>Nawijn et al. 2010: vacationers happier than non-vacationers before trip; little after</t>
        </is>
      </c>
    </row>
    <row r="342" ht="23.85" customHeight="1" s="62">
      <c r="A342" s="78" t="n">
        <v>49</v>
      </c>
      <c r="B342" s="79" t="inlineStr">
        <is>
          <t>Anticipation and enjoyment</t>
        </is>
      </c>
      <c r="C342" s="78" t="inlineStr">
        <is>
          <t>Idea</t>
        </is>
      </c>
      <c r="D342" s="78" t="inlineStr">
        <is>
          <t>Study reveal</t>
        </is>
      </c>
      <c r="E342" s="78" t="inlineStr">
        <is>
          <t>I · Setup</t>
        </is>
      </c>
      <c r="F342" s="78" t="inlineStr">
        <is>
          <t>Setup</t>
        </is>
      </c>
      <c r="G342" s="78" t="inlineStr">
        <is>
          <t>3–8s</t>
        </is>
      </c>
      <c r="H342" s="79" t="inlineStr">
        <is>
          <t>In 2010, Jeroen Nawijn's team measured happiness in over 1,500 Dutch adults.</t>
        </is>
      </c>
      <c r="I342" s="79" t="inlineStr">
        <is>
          <t>NAWIJN ET AL., 2010</t>
        </is>
      </c>
      <c r="J342" s="79" t="n"/>
    </row>
    <row r="343" ht="15" customHeight="1" s="62">
      <c r="A343" s="78" t="n">
        <v>49</v>
      </c>
      <c r="B343" s="79" t="inlineStr">
        <is>
          <t>Anticipation and enjoyment</t>
        </is>
      </c>
      <c r="C343" s="78" t="inlineStr">
        <is>
          <t>Idea</t>
        </is>
      </c>
      <c r="D343" s="78" t="inlineStr">
        <is>
          <t>Study reveal</t>
        </is>
      </c>
      <c r="E343" s="78" t="inlineStr">
        <is>
          <t>II · Confrontation</t>
        </is>
      </c>
      <c r="F343" s="78" t="inlineStr">
        <is>
          <t>Evidence</t>
        </is>
      </c>
      <c r="G343" s="78" t="inlineStr">
        <is>
          <t>8–15s</t>
        </is>
      </c>
      <c r="H343" s="79" t="inlineStr">
        <is>
          <t>People about to travel were happier than non-travelers, weeks ahead.</t>
        </is>
      </c>
      <c r="I343" s="79" t="inlineStr">
        <is>
          <t>ANTICIPATION 📈</t>
        </is>
      </c>
      <c r="J343" s="79" t="n"/>
    </row>
    <row r="344" ht="15" customHeight="1" s="62">
      <c r="A344" s="78" t="n">
        <v>49</v>
      </c>
      <c r="B344" s="79" t="inlineStr">
        <is>
          <t>Anticipation and enjoyment</t>
        </is>
      </c>
      <c r="C344" s="78" t="inlineStr">
        <is>
          <t>Idea</t>
        </is>
      </c>
      <c r="D344" s="78" t="inlineStr">
        <is>
          <t>Study reveal</t>
        </is>
      </c>
      <c r="E344" s="78" t="inlineStr">
        <is>
          <t>II · Confrontation</t>
        </is>
      </c>
      <c r="F344" s="78" t="inlineStr">
        <is>
          <t>Escalation</t>
        </is>
      </c>
      <c r="G344" s="78" t="inlineStr">
        <is>
          <t>15–22s</t>
        </is>
      </c>
      <c r="H344" s="79" t="inlineStr">
        <is>
          <t>After the trip, most were back to baseline quickly.</t>
        </is>
      </c>
      <c r="I344" s="79" t="inlineStr">
        <is>
          <t>AFTER → baseline</t>
        </is>
      </c>
      <c r="J344" s="79" t="n"/>
    </row>
    <row r="345" ht="15" customHeight="1" s="62">
      <c r="A345" s="78" t="n">
        <v>49</v>
      </c>
      <c r="B345" s="79" t="inlineStr">
        <is>
          <t>Anticipation and enjoyment</t>
        </is>
      </c>
      <c r="C345" s="78" t="inlineStr">
        <is>
          <t>Idea</t>
        </is>
      </c>
      <c r="D345" s="78" t="inlineStr">
        <is>
          <t>Study reveal</t>
        </is>
      </c>
      <c r="E345" s="78" t="inlineStr">
        <is>
          <t>II · Confrontation</t>
        </is>
      </c>
      <c r="F345" s="78" t="inlineStr">
        <is>
          <t>Turn</t>
        </is>
      </c>
      <c r="G345" s="78" t="inlineStr">
        <is>
          <t>22–26s</t>
        </is>
      </c>
      <c r="H345" s="79" t="inlineStr">
        <is>
          <t>But that means anticipation is part of the pleasure, not just the waiting.</t>
        </is>
      </c>
      <c r="I345" s="79" t="inlineStr">
        <is>
          <t>WAITING = PART OF THE FUN</t>
        </is>
      </c>
      <c r="J345" s="79" t="n"/>
    </row>
    <row r="346" ht="15" customHeight="1" s="62">
      <c r="A346" s="78" t="n">
        <v>49</v>
      </c>
      <c r="B346" s="79" t="inlineStr">
        <is>
          <t>Anticipation and enjoyment</t>
        </is>
      </c>
      <c r="C346" s="78" t="inlineStr">
        <is>
          <t>Idea</t>
        </is>
      </c>
      <c r="D346" s="78" t="inlineStr">
        <is>
          <t>Study reveal</t>
        </is>
      </c>
      <c r="E346" s="78" t="inlineStr">
        <is>
          <t>III · Resolution</t>
        </is>
      </c>
      <c r="F346" s="78" t="inlineStr">
        <is>
          <t>Payoff</t>
        </is>
      </c>
      <c r="G346" s="78" t="inlineStr">
        <is>
          <t>26–32s</t>
        </is>
      </c>
      <c r="H346" s="79" t="inlineStr">
        <is>
          <t>Anticipation and enjoyment.</t>
        </is>
      </c>
      <c r="I346" s="79" t="inlineStr">
        <is>
          <t>ANTICIPATION</t>
        </is>
      </c>
      <c r="J346" s="79" t="n"/>
    </row>
    <row r="347" ht="23.85" customHeight="1" s="62">
      <c r="A347" s="81" t="n">
        <v>49</v>
      </c>
      <c r="B347" s="82" t="inlineStr">
        <is>
          <t>Anticipation and enjoyment</t>
        </is>
      </c>
      <c r="C347" s="81" t="inlineStr">
        <is>
          <t>Idea</t>
        </is>
      </c>
      <c r="D347" s="81" t="inlineStr">
        <is>
          <t>Study reveal</t>
        </is>
      </c>
      <c r="E347" s="81" t="inlineStr">
        <is>
          <t>III · Resolution</t>
        </is>
      </c>
      <c r="F347" s="81" t="inlineStr">
        <is>
          <t>Outro</t>
        </is>
      </c>
      <c r="G347" s="81" t="inlineStr">
        <is>
          <t>32–36s</t>
        </is>
      </c>
      <c r="H347" s="82" t="inlineStr">
        <is>
          <t>Plan one small good thing for this weekend today, and look forward to it. Follow for more happiness science.</t>
        </is>
      </c>
      <c r="I347" s="82" t="inlineStr">
        <is>
          <t>PLAN SOMETHING NOW</t>
        </is>
      </c>
      <c r="J347" s="82" t="n"/>
    </row>
    <row r="348" ht="35.05" customHeight="1" s="62">
      <c r="A348" s="83" t="n">
        <v>50</v>
      </c>
      <c r="B348" s="84" t="inlineStr">
        <is>
          <t>Emotions as information</t>
        </is>
      </c>
      <c r="C348" s="83" t="inlineStr">
        <is>
          <t>Idea</t>
        </is>
      </c>
      <c r="D348" s="83" t="inlineStr">
        <is>
          <t>Study reveal</t>
        </is>
      </c>
      <c r="E348" s="83" t="inlineStr">
        <is>
          <t>I · Setup</t>
        </is>
      </c>
      <c r="F348" s="83" t="inlineStr">
        <is>
          <t>Hook</t>
        </is>
      </c>
      <c r="G348" s="83" t="inlineStr">
        <is>
          <t>0–3s</t>
        </is>
      </c>
      <c r="H348" s="85" t="inlineStr">
        <is>
          <t>People rated their whole life worse on a rainy day.</t>
        </is>
      </c>
      <c r="I348" s="84" t="inlineStr">
        <is>
          <t>🌧 LIFE = WORSE?</t>
        </is>
      </c>
      <c r="J348" s="84" t="inlineStr">
        <is>
          <t>Schwarz &amp; Clore 1983: rainy-day lower life satisfaction disappeared when weather mentioned</t>
        </is>
      </c>
    </row>
    <row r="349" ht="23.85" customHeight="1" s="62">
      <c r="A349" s="83" t="n">
        <v>50</v>
      </c>
      <c r="B349" s="84" t="inlineStr">
        <is>
          <t>Emotions as information</t>
        </is>
      </c>
      <c r="C349" s="83" t="inlineStr">
        <is>
          <t>Idea</t>
        </is>
      </c>
      <c r="D349" s="83" t="inlineStr">
        <is>
          <t>Study reveal</t>
        </is>
      </c>
      <c r="E349" s="83" t="inlineStr">
        <is>
          <t>I · Setup</t>
        </is>
      </c>
      <c r="F349" s="83" t="inlineStr">
        <is>
          <t>Setup</t>
        </is>
      </c>
      <c r="G349" s="83" t="inlineStr">
        <is>
          <t>3–8s</t>
        </is>
      </c>
      <c r="H349" s="84" t="inlineStr">
        <is>
          <t>In 1983, Norbert Schwarz and Gerald Clore phoned people on sunny and rainy days.</t>
        </is>
      </c>
      <c r="I349" s="84" t="inlineStr">
        <is>
          <t>SCHWARZ &amp; CLORE, 1983 | ☀️ vs 🌧</t>
        </is>
      </c>
      <c r="J349" s="84" t="n"/>
    </row>
    <row r="350" ht="15" customHeight="1" s="62">
      <c r="A350" s="83" t="n">
        <v>50</v>
      </c>
      <c r="B350" s="84" t="inlineStr">
        <is>
          <t>Emotions as information</t>
        </is>
      </c>
      <c r="C350" s="83" t="inlineStr">
        <is>
          <t>Idea</t>
        </is>
      </c>
      <c r="D350" s="83" t="inlineStr">
        <is>
          <t>Study reveal</t>
        </is>
      </c>
      <c r="E350" s="83" t="inlineStr">
        <is>
          <t>II · Confrontation</t>
        </is>
      </c>
      <c r="F350" s="83" t="inlineStr">
        <is>
          <t>Evidence</t>
        </is>
      </c>
      <c r="G350" s="83" t="inlineStr">
        <is>
          <t>8–15s</t>
        </is>
      </c>
      <c r="H350" s="84" t="inlineStr">
        <is>
          <t>On rainy days, they reported lower life satisfaction.</t>
        </is>
      </c>
      <c r="I350" s="84" t="inlineStr">
        <is>
          <t>RAINY → 📉</t>
        </is>
      </c>
      <c r="J350" s="84" t="n"/>
    </row>
    <row r="351" ht="15" customHeight="1" s="62">
      <c r="A351" s="83" t="n">
        <v>50</v>
      </c>
      <c r="B351" s="84" t="inlineStr">
        <is>
          <t>Emotions as information</t>
        </is>
      </c>
      <c r="C351" s="83" t="inlineStr">
        <is>
          <t>Idea</t>
        </is>
      </c>
      <c r="D351" s="83" t="inlineStr">
        <is>
          <t>Study reveal</t>
        </is>
      </c>
      <c r="E351" s="83" t="inlineStr">
        <is>
          <t>II · Confrontation</t>
        </is>
      </c>
      <c r="F351" s="83" t="inlineStr">
        <is>
          <t>Escalation</t>
        </is>
      </c>
      <c r="G351" s="83" t="inlineStr">
        <is>
          <t>15–22s</t>
        </is>
      </c>
      <c r="H351" s="84" t="inlineStr">
        <is>
          <t>But when the caller first asked about the weather, the effect vanished.</t>
        </is>
      </c>
      <c r="I351" s="84" t="inlineStr">
        <is>
          <t>'HOW'S THE WEATHER?' → effect gone</t>
        </is>
      </c>
      <c r="J351" s="84" t="n"/>
    </row>
    <row r="352" ht="23.85" customHeight="1" s="62">
      <c r="A352" s="83" t="n">
        <v>50</v>
      </c>
      <c r="B352" s="84" t="inlineStr">
        <is>
          <t>Emotions as information</t>
        </is>
      </c>
      <c r="C352" s="83" t="inlineStr">
        <is>
          <t>Idea</t>
        </is>
      </c>
      <c r="D352" s="83" t="inlineStr">
        <is>
          <t>Study reveal</t>
        </is>
      </c>
      <c r="E352" s="83" t="inlineStr">
        <is>
          <t>II · Confrontation</t>
        </is>
      </c>
      <c r="F352" s="83" t="inlineStr">
        <is>
          <t>Turn</t>
        </is>
      </c>
      <c r="G352" s="83" t="inlineStr">
        <is>
          <t>22–26s</t>
        </is>
      </c>
      <c r="H352" s="84" t="inlineStr">
        <is>
          <t>Once they knew where the mood came from, it stopped steering the answer.</t>
        </is>
      </c>
      <c r="I352" s="84" t="inlineStr">
        <is>
          <t>SOURCE KNOWN = NO BIAS</t>
        </is>
      </c>
      <c r="J352" s="84" t="n"/>
    </row>
    <row r="353" ht="15" customHeight="1" s="62">
      <c r="A353" s="83" t="n">
        <v>50</v>
      </c>
      <c r="B353" s="84" t="inlineStr">
        <is>
          <t>Emotions as information</t>
        </is>
      </c>
      <c r="C353" s="83" t="inlineStr">
        <is>
          <t>Idea</t>
        </is>
      </c>
      <c r="D353" s="83" t="inlineStr">
        <is>
          <t>Study reveal</t>
        </is>
      </c>
      <c r="E353" s="83" t="inlineStr">
        <is>
          <t>III · Resolution</t>
        </is>
      </c>
      <c r="F353" s="83" t="inlineStr">
        <is>
          <t>Payoff</t>
        </is>
      </c>
      <c r="G353" s="83" t="inlineStr">
        <is>
          <t>26–32s</t>
        </is>
      </c>
      <c r="H353" s="84" t="inlineStr">
        <is>
          <t>Emotions are information, not commands.</t>
        </is>
      </c>
      <c r="I353" s="84" t="inlineStr">
        <is>
          <t>EMOTIONS AS INFORMATION</t>
        </is>
      </c>
      <c r="J353" s="84" t="n"/>
    </row>
    <row r="354" ht="23.85" customHeight="1" s="62">
      <c r="A354" s="86" t="n">
        <v>50</v>
      </c>
      <c r="B354" s="87" t="inlineStr">
        <is>
          <t>Emotions as information</t>
        </is>
      </c>
      <c r="C354" s="86" t="inlineStr">
        <is>
          <t>Idea</t>
        </is>
      </c>
      <c r="D354" s="86" t="inlineStr">
        <is>
          <t>Study reveal</t>
        </is>
      </c>
      <c r="E354" s="86" t="inlineStr">
        <is>
          <t>III · Resolution</t>
        </is>
      </c>
      <c r="F354" s="86" t="inlineStr">
        <is>
          <t>Outro</t>
        </is>
      </c>
      <c r="G354" s="86" t="inlineStr">
        <is>
          <t>32–36s</t>
        </is>
      </c>
      <c r="H354" s="87" t="inlineStr">
        <is>
          <t>Before a big decision, ask: what's really causing this mood? Save this, it's a game changer.</t>
        </is>
      </c>
      <c r="I354" s="87" t="inlineStr">
        <is>
          <t>WHAT'S CAUSING THIS?</t>
        </is>
      </c>
      <c r="J354" s="87" t="n"/>
    </row>
    <row r="355" ht="23.85" customHeight="1" s="62">
      <c r="A355" s="78" t="n">
        <v>51</v>
      </c>
      <c r="B355" s="79" t="inlineStr">
        <is>
          <t>Active listening</t>
        </is>
      </c>
      <c r="C355" s="78" t="inlineStr">
        <is>
          <t>Idea</t>
        </is>
      </c>
      <c r="D355" s="78" t="inlineStr">
        <is>
          <t>Study reveal</t>
        </is>
      </c>
      <c r="E355" s="78" t="inlineStr">
        <is>
          <t>I · Setup</t>
        </is>
      </c>
      <c r="F355" s="78" t="inlineStr">
        <is>
          <t>Hook</t>
        </is>
      </c>
      <c r="G355" s="78" t="inlineStr">
        <is>
          <t>0–3s</t>
        </is>
      </c>
      <c r="H355" s="80" t="inlineStr">
        <is>
          <t>People felt more understood when the listener simply repeated their point back.</t>
        </is>
      </c>
      <c r="I355" s="79" t="inlineStr">
        <is>
          <t>REPEAT IT BACK 🔁</t>
        </is>
      </c>
      <c r="J355" s="79" t="inlineStr">
        <is>
          <t>Weger et al. 2014: paraphrasing made speakers feel more understood</t>
        </is>
      </c>
    </row>
    <row r="356" ht="15" customHeight="1" s="62">
      <c r="A356" s="78" t="n">
        <v>51</v>
      </c>
      <c r="B356" s="79" t="inlineStr">
        <is>
          <t>Active listening</t>
        </is>
      </c>
      <c r="C356" s="78" t="inlineStr">
        <is>
          <t>Idea</t>
        </is>
      </c>
      <c r="D356" s="78" t="inlineStr">
        <is>
          <t>Study reveal</t>
        </is>
      </c>
      <c r="E356" s="78" t="inlineStr">
        <is>
          <t>I · Setup</t>
        </is>
      </c>
      <c r="F356" s="78" t="inlineStr">
        <is>
          <t>Setup</t>
        </is>
      </c>
      <c r="G356" s="78" t="inlineStr">
        <is>
          <t>3–8s</t>
        </is>
      </c>
      <c r="H356" s="79" t="inlineStr">
        <is>
          <t>In conversations, most of us are just waiting for our turn to talk.</t>
        </is>
      </c>
      <c r="I356" s="79" t="inlineStr">
        <is>
          <t>listener thinking of reply 💭</t>
        </is>
      </c>
      <c r="J356" s="79" t="n"/>
    </row>
    <row r="357" ht="23.85" customHeight="1" s="62">
      <c r="A357" s="78" t="n">
        <v>51</v>
      </c>
      <c r="B357" s="79" t="inlineStr">
        <is>
          <t>Active listening</t>
        </is>
      </c>
      <c r="C357" s="78" t="inlineStr">
        <is>
          <t>Idea</t>
        </is>
      </c>
      <c r="D357" s="78" t="inlineStr">
        <is>
          <t>Study reveal</t>
        </is>
      </c>
      <c r="E357" s="78" t="inlineStr">
        <is>
          <t>II · Confrontation</t>
        </is>
      </c>
      <c r="F357" s="78" t="inlineStr">
        <is>
          <t>Evidence</t>
        </is>
      </c>
      <c r="G357" s="78" t="inlineStr">
        <is>
          <t>8–15s</t>
        </is>
      </c>
      <c r="H357" s="79" t="inlineStr">
        <is>
          <t>In 2014, Harry Weger's team tested listeners who paraphrased what they heard.</t>
        </is>
      </c>
      <c r="I357" s="79" t="inlineStr">
        <is>
          <t>WEGER ET AL., 2014</t>
        </is>
      </c>
      <c r="J357" s="79" t="n"/>
    </row>
    <row r="358" ht="23.85" customHeight="1" s="62">
      <c r="A358" s="78" t="n">
        <v>51</v>
      </c>
      <c r="B358" s="79" t="inlineStr">
        <is>
          <t>Active listening</t>
        </is>
      </c>
      <c r="C358" s="78" t="inlineStr">
        <is>
          <t>Idea</t>
        </is>
      </c>
      <c r="D358" s="78" t="inlineStr">
        <is>
          <t>Study reveal</t>
        </is>
      </c>
      <c r="E358" s="78" t="inlineStr">
        <is>
          <t>II · Confrontation</t>
        </is>
      </c>
      <c r="F358" s="78" t="inlineStr">
        <is>
          <t>Escalation</t>
        </is>
      </c>
      <c r="G358" s="78" t="inlineStr">
        <is>
          <t>15–22s</t>
        </is>
      </c>
      <c r="H358" s="79" t="inlineStr">
        <is>
          <t>Speakers felt more understood by them than by listeners who just gave advice.</t>
        </is>
      </c>
      <c r="I358" s="79" t="inlineStr">
        <is>
          <t>PARAPHRASE → FELT UNDERSTOOD</t>
        </is>
      </c>
      <c r="J358" s="79" t="n"/>
    </row>
    <row r="359" ht="15" customHeight="1" s="62">
      <c r="A359" s="78" t="n">
        <v>51</v>
      </c>
      <c r="B359" s="79" t="inlineStr">
        <is>
          <t>Active listening</t>
        </is>
      </c>
      <c r="C359" s="78" t="inlineStr">
        <is>
          <t>Idea</t>
        </is>
      </c>
      <c r="D359" s="78" t="inlineStr">
        <is>
          <t>Study reveal</t>
        </is>
      </c>
      <c r="E359" s="78" t="inlineStr">
        <is>
          <t>II · Confrontation</t>
        </is>
      </c>
      <c r="F359" s="78" t="inlineStr">
        <is>
          <t>Turn</t>
        </is>
      </c>
      <c r="G359" s="78" t="inlineStr">
        <is>
          <t>22–26s</t>
        </is>
      </c>
      <c r="H359" s="79" t="inlineStr">
        <is>
          <t>But paraphrasing isn't parroting. It's checking: 'So you mean...?'</t>
        </is>
      </c>
      <c r="I359" s="79" t="inlineStr">
        <is>
          <t>'SO YOU MEAN...?'</t>
        </is>
      </c>
      <c r="J359" s="79" t="n"/>
    </row>
    <row r="360" ht="15" customHeight="1" s="62">
      <c r="A360" s="78" t="n">
        <v>51</v>
      </c>
      <c r="B360" s="79" t="inlineStr">
        <is>
          <t>Active listening</t>
        </is>
      </c>
      <c r="C360" s="78" t="inlineStr">
        <is>
          <t>Idea</t>
        </is>
      </c>
      <c r="D360" s="78" t="inlineStr">
        <is>
          <t>Study reveal</t>
        </is>
      </c>
      <c r="E360" s="78" t="inlineStr">
        <is>
          <t>III · Resolution</t>
        </is>
      </c>
      <c r="F360" s="78" t="inlineStr">
        <is>
          <t>Payoff</t>
        </is>
      </c>
      <c r="G360" s="78" t="inlineStr">
        <is>
          <t>26–32s</t>
        </is>
      </c>
      <c r="H360" s="79" t="inlineStr">
        <is>
          <t>That's active listening.</t>
        </is>
      </c>
      <c r="I360" s="79" t="inlineStr">
        <is>
          <t>ACTIVE LISTENING</t>
        </is>
      </c>
      <c r="J360" s="79" t="n"/>
    </row>
    <row r="361" ht="23.85" customHeight="1" s="62">
      <c r="A361" s="81" t="n">
        <v>51</v>
      </c>
      <c r="B361" s="82" t="inlineStr">
        <is>
          <t>Active listening</t>
        </is>
      </c>
      <c r="C361" s="81" t="inlineStr">
        <is>
          <t>Idea</t>
        </is>
      </c>
      <c r="D361" s="81" t="inlineStr">
        <is>
          <t>Study reveal</t>
        </is>
      </c>
      <c r="E361" s="81" t="inlineStr">
        <is>
          <t>III · Resolution</t>
        </is>
      </c>
      <c r="F361" s="81" t="inlineStr">
        <is>
          <t>Outro</t>
        </is>
      </c>
      <c r="G361" s="81" t="inlineStr">
        <is>
          <t>32–36s</t>
        </is>
      </c>
      <c r="H361" s="82" t="inlineStr">
        <is>
          <t>Next argument, repeat their point before you reply. Watch it change. Follow for tomorrow's conversation trick.</t>
        </is>
      </c>
      <c r="I361" s="82" t="inlineStr">
        <is>
          <t>REPEAT BEFORE REPLYING</t>
        </is>
      </c>
      <c r="J361" s="82" t="n"/>
    </row>
    <row r="362" ht="35.05" customHeight="1" s="62">
      <c r="A362" s="83" t="n">
        <v>52</v>
      </c>
      <c r="B362" s="84" t="inlineStr">
        <is>
          <t>Validation without agreement</t>
        </is>
      </c>
      <c r="C362" s="83" t="inlineStr">
        <is>
          <t>Idea</t>
        </is>
      </c>
      <c r="D362" s="83" t="inlineStr">
        <is>
          <t>Contrarian</t>
        </is>
      </c>
      <c r="E362" s="83" t="inlineStr">
        <is>
          <t>I · Setup</t>
        </is>
      </c>
      <c r="F362" s="83" t="inlineStr">
        <is>
          <t>Hook</t>
        </is>
      </c>
      <c r="G362" s="83" t="inlineStr">
        <is>
          <t>0–3s</t>
        </is>
      </c>
      <c r="H362" s="85" t="inlineStr">
        <is>
          <t>You can say 'that makes sense' without saying 'you're right'.</t>
        </is>
      </c>
      <c r="I362" s="84" t="inlineStr">
        <is>
          <t>MAKES SENSE ≠ YOU'RE RIGHT</t>
        </is>
      </c>
      <c r="J362" s="84" t="inlineStr">
        <is>
          <t>Validation (Linehan, DBT); Shenk &amp; Fruzzetti 2011: validation reduced negative emotion and heart rate</t>
        </is>
      </c>
    </row>
    <row r="363" ht="23.85" customHeight="1" s="62">
      <c r="A363" s="83" t="n">
        <v>52</v>
      </c>
      <c r="B363" s="84" t="inlineStr">
        <is>
          <t>Validation without agreement</t>
        </is>
      </c>
      <c r="C363" s="83" t="inlineStr">
        <is>
          <t>Idea</t>
        </is>
      </c>
      <c r="D363" s="83" t="inlineStr">
        <is>
          <t>Contrarian</t>
        </is>
      </c>
      <c r="E363" s="83" t="inlineStr">
        <is>
          <t>I · Setup</t>
        </is>
      </c>
      <c r="F363" s="83" t="inlineStr">
        <is>
          <t>Setup</t>
        </is>
      </c>
      <c r="G363" s="83" t="inlineStr">
        <is>
          <t>3–8s</t>
        </is>
      </c>
      <c r="H363" s="84" t="inlineStr">
        <is>
          <t>Your friend is furious about something you think is unfair. You want to correct them.</t>
        </is>
      </c>
      <c r="I363" s="84" t="inlineStr">
        <is>
          <t>angry friend | you: 'Actually...'</t>
        </is>
      </c>
      <c r="J363" s="84" t="n"/>
    </row>
    <row r="364" ht="15" customHeight="1" s="62">
      <c r="A364" s="83" t="n">
        <v>52</v>
      </c>
      <c r="B364" s="84" t="inlineStr">
        <is>
          <t>Validation without agreement</t>
        </is>
      </c>
      <c r="C364" s="83" t="inlineStr">
        <is>
          <t>Idea</t>
        </is>
      </c>
      <c r="D364" s="83" t="inlineStr">
        <is>
          <t>Contrarian</t>
        </is>
      </c>
      <c r="E364" s="83" t="inlineStr">
        <is>
          <t>II · Confrontation</t>
        </is>
      </c>
      <c r="F364" s="83" t="inlineStr">
        <is>
          <t>Evidence</t>
        </is>
      </c>
      <c r="G364" s="83" t="inlineStr">
        <is>
          <t>8–15s</t>
        </is>
      </c>
      <c r="H364" s="84" t="inlineStr">
        <is>
          <t>Psychologist Marsha Linehan made validation a core skill in her therapy.</t>
        </is>
      </c>
      <c r="I364" s="84" t="inlineStr">
        <is>
          <t>MARSHA LINEHAN | VALIDATION</t>
        </is>
      </c>
      <c r="J364" s="84" t="n"/>
    </row>
    <row r="365" ht="23.85" customHeight="1" s="62">
      <c r="A365" s="83" t="n">
        <v>52</v>
      </c>
      <c r="B365" s="84" t="inlineStr">
        <is>
          <t>Validation without agreement</t>
        </is>
      </c>
      <c r="C365" s="83" t="inlineStr">
        <is>
          <t>Idea</t>
        </is>
      </c>
      <c r="D365" s="83" t="inlineStr">
        <is>
          <t>Contrarian</t>
        </is>
      </c>
      <c r="E365" s="83" t="inlineStr">
        <is>
          <t>II · Confrontation</t>
        </is>
      </c>
      <c r="F365" s="83" t="inlineStr">
        <is>
          <t>Escalation</t>
        </is>
      </c>
      <c r="G365" s="83" t="inlineStr">
        <is>
          <t>15–22s</t>
        </is>
      </c>
      <c r="H365" s="84" t="inlineStr">
        <is>
          <t>In 2011, Shenk and Fruzzetti found validating responses lowered upset compared to invalidating ones.</t>
        </is>
      </c>
      <c r="I365" s="84" t="inlineStr">
        <is>
          <t>SHENK &amp; FRUZZETTI, 2011</t>
        </is>
      </c>
      <c r="J365" s="84" t="n"/>
    </row>
    <row r="366" ht="23.85" customHeight="1" s="62">
      <c r="A366" s="83" t="n">
        <v>52</v>
      </c>
      <c r="B366" s="84" t="inlineStr">
        <is>
          <t>Validation without agreement</t>
        </is>
      </c>
      <c r="C366" s="83" t="inlineStr">
        <is>
          <t>Idea</t>
        </is>
      </c>
      <c r="D366" s="83" t="inlineStr">
        <is>
          <t>Contrarian</t>
        </is>
      </c>
      <c r="E366" s="83" t="inlineStr">
        <is>
          <t>II · Confrontation</t>
        </is>
      </c>
      <c r="F366" s="83" t="inlineStr">
        <is>
          <t>Turn</t>
        </is>
      </c>
      <c r="G366" s="83" t="inlineStr">
        <is>
          <t>22–26s</t>
        </is>
      </c>
      <c r="H366" s="84" t="inlineStr">
        <is>
          <t>But validation is about the feeling, not the claim. You can still disagree later.</t>
        </is>
      </c>
      <c r="I366" s="84" t="inlineStr">
        <is>
          <t>FEELING ✓ | CLAIM ?</t>
        </is>
      </c>
      <c r="J366" s="84" t="n"/>
    </row>
    <row r="367" ht="15" customHeight="1" s="62">
      <c r="A367" s="83" t="n">
        <v>52</v>
      </c>
      <c r="B367" s="84" t="inlineStr">
        <is>
          <t>Validation without agreement</t>
        </is>
      </c>
      <c r="C367" s="83" t="inlineStr">
        <is>
          <t>Idea</t>
        </is>
      </c>
      <c r="D367" s="83" t="inlineStr">
        <is>
          <t>Contrarian</t>
        </is>
      </c>
      <c r="E367" s="83" t="inlineStr">
        <is>
          <t>III · Resolution</t>
        </is>
      </c>
      <c r="F367" s="83" t="inlineStr">
        <is>
          <t>Payoff</t>
        </is>
      </c>
      <c r="G367" s="83" t="inlineStr">
        <is>
          <t>26–32s</t>
        </is>
      </c>
      <c r="H367" s="84" t="inlineStr">
        <is>
          <t>Validation without agreement.</t>
        </is>
      </c>
      <c r="I367" s="84" t="inlineStr">
        <is>
          <t>VALIDATE THE FEELING</t>
        </is>
      </c>
      <c r="J367" s="84" t="n"/>
    </row>
    <row r="368" ht="23.85" customHeight="1" s="62">
      <c r="A368" s="86" t="n">
        <v>52</v>
      </c>
      <c r="B368" s="87" t="inlineStr">
        <is>
          <t>Validation without agreement</t>
        </is>
      </c>
      <c r="C368" s="86" t="inlineStr">
        <is>
          <t>Idea</t>
        </is>
      </c>
      <c r="D368" s="86" t="inlineStr">
        <is>
          <t>Contrarian</t>
        </is>
      </c>
      <c r="E368" s="86" t="inlineStr">
        <is>
          <t>III · Resolution</t>
        </is>
      </c>
      <c r="F368" s="86" t="inlineStr">
        <is>
          <t>Outro</t>
        </is>
      </c>
      <c r="G368" s="86" t="inlineStr">
        <is>
          <t>32–36s</t>
        </is>
      </c>
      <c r="H368" s="87" t="inlineStr">
        <is>
          <t>Try: 'I get why you're upset. Can I share how I see it?' Save this for your next argument.</t>
        </is>
      </c>
      <c r="I368" s="87" t="inlineStr">
        <is>
          <t>'I GET WHY YOU'RE UPSET'</t>
        </is>
      </c>
      <c r="J368" s="87" t="n"/>
    </row>
    <row r="369" ht="23.85" customHeight="1" s="62">
      <c r="A369" s="78" t="n">
        <v>53</v>
      </c>
      <c r="B369" s="79" t="inlineStr">
        <is>
          <t>Mind-reading assumptions</t>
        </is>
      </c>
      <c r="C369" s="78" t="inlineStr">
        <is>
          <t>Idea</t>
        </is>
      </c>
      <c r="D369" s="78" t="inlineStr">
        <is>
          <t>Study reveal</t>
        </is>
      </c>
      <c r="E369" s="78" t="inlineStr">
        <is>
          <t>I · Setup</t>
        </is>
      </c>
      <c r="F369" s="78" t="inlineStr">
        <is>
          <t>Hook</t>
        </is>
      </c>
      <c r="G369" s="78" t="inlineStr">
        <is>
          <t>0–3s</t>
        </is>
      </c>
      <c r="H369" s="80" t="inlineStr">
        <is>
          <t>You think they'll get your tone. Only about half the time, they don't.</t>
        </is>
      </c>
      <c r="I369" s="79" t="inlineStr">
        <is>
          <t>TONE: LOST IN TEXT</t>
        </is>
      </c>
      <c r="J369" s="79" t="inlineStr">
        <is>
          <t>Kruger et al. 2005: senders expected ~78% to detect tone in email; ~56% did</t>
        </is>
      </c>
    </row>
    <row r="370" ht="15" customHeight="1" s="62">
      <c r="A370" s="78" t="n">
        <v>53</v>
      </c>
      <c r="B370" s="79" t="inlineStr">
        <is>
          <t>Mind-reading assumptions</t>
        </is>
      </c>
      <c r="C370" s="78" t="inlineStr">
        <is>
          <t>Idea</t>
        </is>
      </c>
      <c r="D370" s="78" t="inlineStr">
        <is>
          <t>Study reveal</t>
        </is>
      </c>
      <c r="E370" s="78" t="inlineStr">
        <is>
          <t>I · Setup</t>
        </is>
      </c>
      <c r="F370" s="78" t="inlineStr">
        <is>
          <t>Setup</t>
        </is>
      </c>
      <c r="G370" s="78" t="inlineStr">
        <is>
          <t>3–8s</t>
        </is>
      </c>
      <c r="H370" s="79" t="inlineStr">
        <is>
          <t>They reply 'Okay.' Short. Cold? Annoyed? Or just busy?</t>
        </is>
      </c>
      <c r="I370" s="79" t="inlineStr">
        <is>
          <t>text bubble: 'Okay.'</t>
        </is>
      </c>
      <c r="J370" s="79" t="n"/>
    </row>
    <row r="371" ht="23.85" customHeight="1" s="62">
      <c r="A371" s="78" t="n">
        <v>53</v>
      </c>
      <c r="B371" s="79" t="inlineStr">
        <is>
          <t>Mind-reading assumptions</t>
        </is>
      </c>
      <c r="C371" s="78" t="inlineStr">
        <is>
          <t>Idea</t>
        </is>
      </c>
      <c r="D371" s="78" t="inlineStr">
        <is>
          <t>Study reveal</t>
        </is>
      </c>
      <c r="E371" s="78" t="inlineStr">
        <is>
          <t>II · Confrontation</t>
        </is>
      </c>
      <c r="F371" s="78" t="inlineStr">
        <is>
          <t>Evidence</t>
        </is>
      </c>
      <c r="G371" s="78" t="inlineStr">
        <is>
          <t>8–15s</t>
        </is>
      </c>
      <c r="H371" s="79" t="inlineStr">
        <is>
          <t>In 2005, Justin Kruger's team had people send sarcastic or serious emails.</t>
        </is>
      </c>
      <c r="I371" s="79" t="inlineStr">
        <is>
          <t>KRUGER ET AL., 2005</t>
        </is>
      </c>
      <c r="J371" s="79" t="n"/>
    </row>
    <row r="372" ht="23.85" customHeight="1" s="62">
      <c r="A372" s="78" t="n">
        <v>53</v>
      </c>
      <c r="B372" s="79" t="inlineStr">
        <is>
          <t>Mind-reading assumptions</t>
        </is>
      </c>
      <c r="C372" s="78" t="inlineStr">
        <is>
          <t>Idea</t>
        </is>
      </c>
      <c r="D372" s="78" t="inlineStr">
        <is>
          <t>Study reveal</t>
        </is>
      </c>
      <c r="E372" s="78" t="inlineStr">
        <is>
          <t>II · Confrontation</t>
        </is>
      </c>
      <c r="F372" s="78" t="inlineStr">
        <is>
          <t>Escalation</t>
        </is>
      </c>
      <c r="G372" s="78" t="inlineStr">
        <is>
          <t>15–22s</t>
        </is>
      </c>
      <c r="H372" s="79" t="inlineStr">
        <is>
          <t>Senders expected about 78 percent to read the tone right. About 56 percent did.</t>
        </is>
      </c>
      <c r="I372" s="79" t="inlineStr">
        <is>
          <t>EXPECTED 78% | ACTUAL 56%</t>
        </is>
      </c>
      <c r="J372" s="79" t="n"/>
    </row>
    <row r="373" ht="15" customHeight="1" s="62">
      <c r="A373" s="78" t="n">
        <v>53</v>
      </c>
      <c r="B373" s="79" t="inlineStr">
        <is>
          <t>Mind-reading assumptions</t>
        </is>
      </c>
      <c r="C373" s="78" t="inlineStr">
        <is>
          <t>Idea</t>
        </is>
      </c>
      <c r="D373" s="78" t="inlineStr">
        <is>
          <t>Study reveal</t>
        </is>
      </c>
      <c r="E373" s="78" t="inlineStr">
        <is>
          <t>II · Confrontation</t>
        </is>
      </c>
      <c r="F373" s="78" t="inlineStr">
        <is>
          <t>Turn</t>
        </is>
      </c>
      <c r="G373" s="78" t="inlineStr">
        <is>
          <t>22–26s</t>
        </is>
      </c>
      <c r="H373" s="79" t="inlineStr">
        <is>
          <t>But we fill the gap with our own worries.</t>
        </is>
      </c>
      <c r="I373" s="79" t="inlineStr">
        <is>
          <t>WE FILL THE GAP</t>
        </is>
      </c>
      <c r="J373" s="79" t="n"/>
    </row>
    <row r="374" ht="15" customHeight="1" s="62">
      <c r="A374" s="78" t="n">
        <v>53</v>
      </c>
      <c r="B374" s="79" t="inlineStr">
        <is>
          <t>Mind-reading assumptions</t>
        </is>
      </c>
      <c r="C374" s="78" t="inlineStr">
        <is>
          <t>Idea</t>
        </is>
      </c>
      <c r="D374" s="78" t="inlineStr">
        <is>
          <t>Study reveal</t>
        </is>
      </c>
      <c r="E374" s="78" t="inlineStr">
        <is>
          <t>III · Resolution</t>
        </is>
      </c>
      <c r="F374" s="78" t="inlineStr">
        <is>
          <t>Payoff</t>
        </is>
      </c>
      <c r="G374" s="78" t="inlineStr">
        <is>
          <t>26–32s</t>
        </is>
      </c>
      <c r="H374" s="79" t="inlineStr">
        <is>
          <t>That's mind-reading. Guessing intent from too little information.</t>
        </is>
      </c>
      <c r="I374" s="79" t="inlineStr">
        <is>
          <t>MIND-READING</t>
        </is>
      </c>
      <c r="J374" s="79" t="n"/>
    </row>
    <row r="375" ht="23.85" customHeight="1" s="62">
      <c r="A375" s="81" t="n">
        <v>53</v>
      </c>
      <c r="B375" s="82" t="inlineStr">
        <is>
          <t>Mind-reading assumptions</t>
        </is>
      </c>
      <c r="C375" s="81" t="inlineStr">
        <is>
          <t>Idea</t>
        </is>
      </c>
      <c r="D375" s="81" t="inlineStr">
        <is>
          <t>Study reveal</t>
        </is>
      </c>
      <c r="E375" s="81" t="inlineStr">
        <is>
          <t>III · Resolution</t>
        </is>
      </c>
      <c r="F375" s="81" t="inlineStr">
        <is>
          <t>Outro</t>
        </is>
      </c>
      <c r="G375" s="81" t="inlineStr">
        <is>
          <t>32–36s</t>
        </is>
      </c>
      <c r="H375" s="82" t="inlineStr">
        <is>
          <t>Before reacting to a short text, list three innocent reasons for it. Follow for more texting psychology.</t>
        </is>
      </c>
      <c r="I375" s="82" t="inlineStr">
        <is>
          <t>3 INNOCENT REASONS</t>
        </is>
      </c>
      <c r="J375" s="82" t="n"/>
    </row>
    <row r="376" ht="23.85" customHeight="1" s="62">
      <c r="A376" s="83" t="n">
        <v>54</v>
      </c>
      <c r="B376" s="84" t="inlineStr">
        <is>
          <t>Clear requests</t>
        </is>
      </c>
      <c r="C376" s="83" t="inlineStr">
        <is>
          <t>Idea</t>
        </is>
      </c>
      <c r="D376" s="83" t="inlineStr">
        <is>
          <t>Study reveal</t>
        </is>
      </c>
      <c r="E376" s="83" t="inlineStr">
        <is>
          <t>I · Setup</t>
        </is>
      </c>
      <c r="F376" s="83" t="inlineStr">
        <is>
          <t>Hook</t>
        </is>
      </c>
      <c r="G376" s="83" t="inlineStr">
        <is>
          <t>0–3s</t>
        </is>
      </c>
      <c r="H376" s="85" t="inlineStr">
        <is>
          <t>People are about twice as likely to say yes as you think.</t>
        </is>
      </c>
      <c r="I376" s="84" t="inlineStr">
        <is>
          <t>YES × 2</t>
        </is>
      </c>
      <c r="J376" s="84" t="inlineStr">
        <is>
          <t>Flynn &amp; Lake 2008: people underestimated compliance with direct requests by ~50%</t>
        </is>
      </c>
    </row>
    <row r="377" ht="15" customHeight="1" s="62">
      <c r="A377" s="83" t="n">
        <v>54</v>
      </c>
      <c r="B377" s="84" t="inlineStr">
        <is>
          <t>Clear requests</t>
        </is>
      </c>
      <c r="C377" s="83" t="inlineStr">
        <is>
          <t>Idea</t>
        </is>
      </c>
      <c r="D377" s="83" t="inlineStr">
        <is>
          <t>Study reveal</t>
        </is>
      </c>
      <c r="E377" s="83" t="inlineStr">
        <is>
          <t>I · Setup</t>
        </is>
      </c>
      <c r="F377" s="83" t="inlineStr">
        <is>
          <t>Setup</t>
        </is>
      </c>
      <c r="G377" s="83" t="inlineStr">
        <is>
          <t>3–8s</t>
        </is>
      </c>
      <c r="H377" s="84" t="inlineStr">
        <is>
          <t>You hint, sigh, and hope your roommate notices the dishes.</t>
        </is>
      </c>
      <c r="I377" s="84" t="inlineStr">
        <is>
          <t>sigh at the sink 😮‍💨</t>
        </is>
      </c>
      <c r="J377" s="84" t="n"/>
    </row>
    <row r="378" ht="23.85" customHeight="1" s="62">
      <c r="A378" s="83" t="n">
        <v>54</v>
      </c>
      <c r="B378" s="84" t="inlineStr">
        <is>
          <t>Clear requests</t>
        </is>
      </c>
      <c r="C378" s="83" t="inlineStr">
        <is>
          <t>Idea</t>
        </is>
      </c>
      <c r="D378" s="83" t="inlineStr">
        <is>
          <t>Study reveal</t>
        </is>
      </c>
      <c r="E378" s="83" t="inlineStr">
        <is>
          <t>II · Confrontation</t>
        </is>
      </c>
      <c r="F378" s="83" t="inlineStr">
        <is>
          <t>Evidence</t>
        </is>
      </c>
      <c r="G378" s="83" t="inlineStr">
        <is>
          <t>8–15s</t>
        </is>
      </c>
      <c r="H378" s="84" t="inlineStr">
        <is>
          <t>In 2008, Francis Flynn and Vanessa Lake had people ask strangers for favours.</t>
        </is>
      </c>
      <c r="I378" s="84" t="inlineStr">
        <is>
          <t>FLYNN &amp; LAKE, 2008</t>
        </is>
      </c>
      <c r="J378" s="84" t="n"/>
    </row>
    <row r="379" ht="15" customHeight="1" s="62">
      <c r="A379" s="83" t="n">
        <v>54</v>
      </c>
      <c r="B379" s="84" t="inlineStr">
        <is>
          <t>Clear requests</t>
        </is>
      </c>
      <c r="C379" s="83" t="inlineStr">
        <is>
          <t>Idea</t>
        </is>
      </c>
      <c r="D379" s="83" t="inlineStr">
        <is>
          <t>Study reveal</t>
        </is>
      </c>
      <c r="E379" s="83" t="inlineStr">
        <is>
          <t>II · Confrontation</t>
        </is>
      </c>
      <c r="F379" s="83" t="inlineStr">
        <is>
          <t>Escalation</t>
        </is>
      </c>
      <c r="G379" s="83" t="inlineStr">
        <is>
          <t>15–22s</t>
        </is>
      </c>
      <c r="H379" s="84" t="inlineStr">
        <is>
          <t>They underestimated how many would agree by about half.</t>
        </is>
      </c>
      <c r="I379" s="84" t="inlineStr">
        <is>
          <t>PREDICTED ⬇ | ACTUAL ⬆</t>
        </is>
      </c>
      <c r="J379" s="84" t="n"/>
    </row>
    <row r="380" ht="15" customHeight="1" s="62">
      <c r="A380" s="83" t="n">
        <v>54</v>
      </c>
      <c r="B380" s="84" t="inlineStr">
        <is>
          <t>Clear requests</t>
        </is>
      </c>
      <c r="C380" s="83" t="inlineStr">
        <is>
          <t>Idea</t>
        </is>
      </c>
      <c r="D380" s="83" t="inlineStr">
        <is>
          <t>Study reveal</t>
        </is>
      </c>
      <c r="E380" s="83" t="inlineStr">
        <is>
          <t>II · Confrontation</t>
        </is>
      </c>
      <c r="F380" s="83" t="inlineStr">
        <is>
          <t>Turn</t>
        </is>
      </c>
      <c r="G380" s="83" t="inlineStr">
        <is>
          <t>22–26s</t>
        </is>
      </c>
      <c r="H380" s="84" t="inlineStr">
        <is>
          <t>But 'help more' isn't a request. 'Can you do the dishes on Tuesdays?' is.</t>
        </is>
      </c>
      <c r="I380" s="84" t="inlineStr">
        <is>
          <t>'HELP MORE' ❌ | 'DISHES ON TUESDAYS' ✓</t>
        </is>
      </c>
      <c r="J380" s="84" t="n"/>
    </row>
    <row r="381" ht="15" customHeight="1" s="62">
      <c r="A381" s="83" t="n">
        <v>54</v>
      </c>
      <c r="B381" s="84" t="inlineStr">
        <is>
          <t>Clear requests</t>
        </is>
      </c>
      <c r="C381" s="83" t="inlineStr">
        <is>
          <t>Idea</t>
        </is>
      </c>
      <c r="D381" s="83" t="inlineStr">
        <is>
          <t>Study reveal</t>
        </is>
      </c>
      <c r="E381" s="83" t="inlineStr">
        <is>
          <t>III · Resolution</t>
        </is>
      </c>
      <c r="F381" s="83" t="inlineStr">
        <is>
          <t>Payoff</t>
        </is>
      </c>
      <c r="G381" s="83" t="inlineStr">
        <is>
          <t>26–32s</t>
        </is>
      </c>
      <c r="H381" s="84" t="inlineStr">
        <is>
          <t>Make clear requests.</t>
        </is>
      </c>
      <c r="I381" s="84" t="inlineStr">
        <is>
          <t>CLEAR REQUESTS</t>
        </is>
      </c>
      <c r="J381" s="84" t="n"/>
    </row>
    <row r="382" ht="23.85" customHeight="1" s="62">
      <c r="A382" s="86" t="n">
        <v>54</v>
      </c>
      <c r="B382" s="87" t="inlineStr">
        <is>
          <t>Clear requests</t>
        </is>
      </c>
      <c r="C382" s="86" t="inlineStr">
        <is>
          <t>Idea</t>
        </is>
      </c>
      <c r="D382" s="86" t="inlineStr">
        <is>
          <t>Study reveal</t>
        </is>
      </c>
      <c r="E382" s="86" t="inlineStr">
        <is>
          <t>III · Resolution</t>
        </is>
      </c>
      <c r="F382" s="86" t="inlineStr">
        <is>
          <t>Outro</t>
        </is>
      </c>
      <c r="G382" s="86" t="inlineStr">
        <is>
          <t>32–36s</t>
        </is>
      </c>
      <c r="H382" s="87" t="inlineStr">
        <is>
          <t>Turn one complaint into a specific ask today. Save this before your next house meeting.</t>
        </is>
      </c>
      <c r="I382" s="87" t="inlineStr">
        <is>
          <t>MAKE ONE ASK TODAY</t>
        </is>
      </c>
      <c r="J382" s="87" t="n"/>
    </row>
    <row r="383" ht="23.85" customHeight="1" s="62">
      <c r="A383" s="78" t="n">
        <v>55</v>
      </c>
      <c r="B383" s="79" t="inlineStr">
        <is>
          <t>Boundaries in plain language</t>
        </is>
      </c>
      <c r="C383" s="78" t="inlineStr">
        <is>
          <t>Idea</t>
        </is>
      </c>
      <c r="D383" s="78" t="inlineStr">
        <is>
          <t>Study reveal</t>
        </is>
      </c>
      <c r="E383" s="78" t="inlineStr">
        <is>
          <t>I · Setup</t>
        </is>
      </c>
      <c r="F383" s="78" t="inlineStr">
        <is>
          <t>Hook</t>
        </is>
      </c>
      <c r="G383" s="78" t="inlineStr">
        <is>
          <t>0–3s</t>
        </is>
      </c>
      <c r="H383" s="80" t="inlineStr">
        <is>
          <t>Changing one word made people far better at saying no.</t>
        </is>
      </c>
      <c r="I383" s="79" t="inlineStr">
        <is>
          <t>ONE WORD</t>
        </is>
      </c>
      <c r="J383" s="79" t="inlineStr">
        <is>
          <t>Patrick &amp; Hagtvedt 2012: 'I don't' vs 'I can't' → 64% vs 39% chose granola bar</t>
        </is>
      </c>
    </row>
    <row r="384" ht="23.85" customHeight="1" s="62">
      <c r="A384" s="78" t="n">
        <v>55</v>
      </c>
      <c r="B384" s="79" t="inlineStr">
        <is>
          <t>Boundaries in plain language</t>
        </is>
      </c>
      <c r="C384" s="78" t="inlineStr">
        <is>
          <t>Idea</t>
        </is>
      </c>
      <c r="D384" s="78" t="inlineStr">
        <is>
          <t>Study reveal</t>
        </is>
      </c>
      <c r="E384" s="78" t="inlineStr">
        <is>
          <t>I · Setup</t>
        </is>
      </c>
      <c r="F384" s="78" t="inlineStr">
        <is>
          <t>Setup</t>
        </is>
      </c>
      <c r="G384" s="78" t="inlineStr">
        <is>
          <t>3–8s</t>
        </is>
      </c>
      <c r="H384" s="79" t="inlineStr">
        <is>
          <t>In 2012, Vanessa Patrick and Henrik Hagtvedt had people refuse a temptation.</t>
        </is>
      </c>
      <c r="I384" s="79" t="inlineStr">
        <is>
          <t>PATRICK &amp; HAGTVEDT, 2012</t>
        </is>
      </c>
      <c r="J384" s="79" t="n"/>
    </row>
    <row r="385" ht="15" customHeight="1" s="62">
      <c r="A385" s="78" t="n">
        <v>55</v>
      </c>
      <c r="B385" s="79" t="inlineStr">
        <is>
          <t>Boundaries in plain language</t>
        </is>
      </c>
      <c r="C385" s="78" t="inlineStr">
        <is>
          <t>Idea</t>
        </is>
      </c>
      <c r="D385" s="78" t="inlineStr">
        <is>
          <t>Study reveal</t>
        </is>
      </c>
      <c r="E385" s="78" t="inlineStr">
        <is>
          <t>II · Confrontation</t>
        </is>
      </c>
      <c r="F385" s="78" t="inlineStr">
        <is>
          <t>Evidence</t>
        </is>
      </c>
      <c r="G385" s="78" t="inlineStr">
        <is>
          <t>8–15s</t>
        </is>
      </c>
      <c r="H385" s="79" t="inlineStr">
        <is>
          <t>Some said 'I can't eat that.' Others said 'I don't eat that.'</t>
        </is>
      </c>
      <c r="I385" s="79" t="inlineStr">
        <is>
          <t>'I CAN'T' | 'I DON'T'</t>
        </is>
      </c>
      <c r="J385" s="79" t="n"/>
    </row>
    <row r="386" ht="23.85" customHeight="1" s="62">
      <c r="A386" s="78" t="n">
        <v>55</v>
      </c>
      <c r="B386" s="79" t="inlineStr">
        <is>
          <t>Boundaries in plain language</t>
        </is>
      </c>
      <c r="C386" s="78" t="inlineStr">
        <is>
          <t>Idea</t>
        </is>
      </c>
      <c r="D386" s="78" t="inlineStr">
        <is>
          <t>Study reveal</t>
        </is>
      </c>
      <c r="E386" s="78" t="inlineStr">
        <is>
          <t>II · Confrontation</t>
        </is>
      </c>
      <c r="F386" s="78" t="inlineStr">
        <is>
          <t>Escalation</t>
        </is>
      </c>
      <c r="G386" s="78" t="inlineStr">
        <is>
          <t>15–22s</t>
        </is>
      </c>
      <c r="H386" s="79" t="inlineStr">
        <is>
          <t>Later, 64 percent of the 'don't' group picked the healthy snack, versus 39 percent.</t>
        </is>
      </c>
      <c r="I386" s="79" t="inlineStr">
        <is>
          <t>64% vs 39%</t>
        </is>
      </c>
      <c r="J386" s="79" t="n"/>
    </row>
    <row r="387" ht="15" customHeight="1" s="62">
      <c r="A387" s="78" t="n">
        <v>55</v>
      </c>
      <c r="B387" s="79" t="inlineStr">
        <is>
          <t>Boundaries in plain language</t>
        </is>
      </c>
      <c r="C387" s="78" t="inlineStr">
        <is>
          <t>Idea</t>
        </is>
      </c>
      <c r="D387" s="78" t="inlineStr">
        <is>
          <t>Study reveal</t>
        </is>
      </c>
      <c r="E387" s="78" t="inlineStr">
        <is>
          <t>II · Confrontation</t>
        </is>
      </c>
      <c r="F387" s="78" t="inlineStr">
        <is>
          <t>Turn</t>
        </is>
      </c>
      <c r="G387" s="78" t="inlineStr">
        <is>
          <t>22–26s</t>
        </is>
      </c>
      <c r="H387" s="79" t="inlineStr">
        <is>
          <t>But 'don't' works because it states who you are, not a rule someone set.</t>
        </is>
      </c>
      <c r="I387" s="79" t="inlineStr">
        <is>
          <t>IDENTITY, NOT RULE</t>
        </is>
      </c>
      <c r="J387" s="79" t="n"/>
    </row>
    <row r="388" ht="15" customHeight="1" s="62">
      <c r="A388" s="78" t="n">
        <v>55</v>
      </c>
      <c r="B388" s="79" t="inlineStr">
        <is>
          <t>Boundaries in plain language</t>
        </is>
      </c>
      <c r="C388" s="78" t="inlineStr">
        <is>
          <t>Idea</t>
        </is>
      </c>
      <c r="D388" s="78" t="inlineStr">
        <is>
          <t>Study reveal</t>
        </is>
      </c>
      <c r="E388" s="78" t="inlineStr">
        <is>
          <t>III · Resolution</t>
        </is>
      </c>
      <c r="F388" s="78" t="inlineStr">
        <is>
          <t>Payoff</t>
        </is>
      </c>
      <c r="G388" s="78" t="inlineStr">
        <is>
          <t>26–32s</t>
        </is>
      </c>
      <c r="H388" s="79" t="inlineStr">
        <is>
          <t>A boundary in plain language: 'I don't answer work calls after 7.'</t>
        </is>
      </c>
      <c r="I388" s="79" t="inlineStr">
        <is>
          <t>BOUNDARIES IN PLAIN LANGUAGE</t>
        </is>
      </c>
      <c r="J388" s="79" t="n"/>
    </row>
    <row r="389" ht="23.85" customHeight="1" s="62">
      <c r="A389" s="81" t="n">
        <v>55</v>
      </c>
      <c r="B389" s="82" t="inlineStr">
        <is>
          <t>Boundaries in plain language</t>
        </is>
      </c>
      <c r="C389" s="81" t="inlineStr">
        <is>
          <t>Idea</t>
        </is>
      </c>
      <c r="D389" s="81" t="inlineStr">
        <is>
          <t>Study reveal</t>
        </is>
      </c>
      <c r="E389" s="81" t="inlineStr">
        <is>
          <t>III · Resolution</t>
        </is>
      </c>
      <c r="F389" s="81" t="inlineStr">
        <is>
          <t>Outro</t>
        </is>
      </c>
      <c r="G389" s="81" t="inlineStr">
        <is>
          <t>32–36s</t>
        </is>
      </c>
      <c r="H389" s="82" t="inlineStr">
        <is>
          <t>Write your boundary as 'I don't...' and keep it short. Follow for tomorrow's relationship tip.</t>
        </is>
      </c>
      <c r="I389" s="82" t="inlineStr">
        <is>
          <t>'I DON'T...'</t>
        </is>
      </c>
      <c r="J389" s="82" t="n"/>
    </row>
    <row r="390" ht="23.85" customHeight="1" s="62">
      <c r="A390" s="83" t="n">
        <v>56</v>
      </c>
      <c r="B390" s="84" t="inlineStr">
        <is>
          <t>Repairing a misunderstanding</t>
        </is>
      </c>
      <c r="C390" s="83" t="inlineStr">
        <is>
          <t>Idea</t>
        </is>
      </c>
      <c r="D390" s="83" t="inlineStr">
        <is>
          <t>List</t>
        </is>
      </c>
      <c r="E390" s="83" t="inlineStr">
        <is>
          <t>I · Setup</t>
        </is>
      </c>
      <c r="F390" s="83" t="inlineStr">
        <is>
          <t>Hook</t>
        </is>
      </c>
      <c r="G390" s="83" t="inlineStr">
        <is>
          <t>0–3s</t>
        </is>
      </c>
      <c r="H390" s="85" t="inlineStr">
        <is>
          <t>Three sentences can save a conversation that's going sideways.</t>
        </is>
      </c>
      <c r="I390" s="84" t="inlineStr">
        <is>
          <t>3 SENTENCES 🛟</t>
        </is>
      </c>
      <c r="J390" s="84" t="inlineStr">
        <is>
          <t>Gottman: repair attempts predict relationship stability</t>
        </is>
      </c>
    </row>
    <row r="391" ht="15" customHeight="1" s="62">
      <c r="A391" s="83" t="n">
        <v>56</v>
      </c>
      <c r="B391" s="84" t="inlineStr">
        <is>
          <t>Repairing a misunderstanding</t>
        </is>
      </c>
      <c r="C391" s="83" t="inlineStr">
        <is>
          <t>Idea</t>
        </is>
      </c>
      <c r="D391" s="83" t="inlineStr">
        <is>
          <t>List</t>
        </is>
      </c>
      <c r="E391" s="83" t="inlineStr">
        <is>
          <t>I · Setup</t>
        </is>
      </c>
      <c r="F391" s="83" t="inlineStr">
        <is>
          <t>Setup</t>
        </is>
      </c>
      <c r="G391" s="83" t="inlineStr">
        <is>
          <t>3–8s</t>
        </is>
      </c>
      <c r="H391" s="84" t="inlineStr">
        <is>
          <t>It's getting heated. Voices rising. Someone has to break the spiral.</t>
        </is>
      </c>
      <c r="I391" s="84" t="inlineStr">
        <is>
          <t>conversation rewinding ⏪</t>
        </is>
      </c>
      <c r="J391" s="84" t="n"/>
    </row>
    <row r="392" ht="15" customHeight="1" s="62">
      <c r="A392" s="83" t="n">
        <v>56</v>
      </c>
      <c r="B392" s="84" t="inlineStr">
        <is>
          <t>Repairing a misunderstanding</t>
        </is>
      </c>
      <c r="C392" s="83" t="inlineStr">
        <is>
          <t>Idea</t>
        </is>
      </c>
      <c r="D392" s="83" t="inlineStr">
        <is>
          <t>List</t>
        </is>
      </c>
      <c r="E392" s="83" t="inlineStr">
        <is>
          <t>II · Confrontation</t>
        </is>
      </c>
      <c r="F392" s="83" t="inlineStr">
        <is>
          <t>Evidence</t>
        </is>
      </c>
      <c r="G392" s="83" t="inlineStr">
        <is>
          <t>8–15s</t>
        </is>
      </c>
      <c r="H392" s="84" t="inlineStr">
        <is>
          <t>Researcher John Gottman calls these moments repair attempts.</t>
        </is>
      </c>
      <c r="I392" s="84" t="inlineStr">
        <is>
          <t>JOHN GOTTMAN | REPAIR ATTEMPTS</t>
        </is>
      </c>
      <c r="J392" s="84" t="n"/>
    </row>
    <row r="393" ht="23.85" customHeight="1" s="62">
      <c r="A393" s="83" t="n">
        <v>56</v>
      </c>
      <c r="B393" s="84" t="inlineStr">
        <is>
          <t>Repairing a misunderstanding</t>
        </is>
      </c>
      <c r="C393" s="83" t="inlineStr">
        <is>
          <t>Idea</t>
        </is>
      </c>
      <c r="D393" s="83" t="inlineStr">
        <is>
          <t>List</t>
        </is>
      </c>
      <c r="E393" s="83" t="inlineStr">
        <is>
          <t>II · Confrontation</t>
        </is>
      </c>
      <c r="F393" s="83" t="inlineStr">
        <is>
          <t>Escalation</t>
        </is>
      </c>
      <c r="G393" s="83" t="inlineStr">
        <is>
          <t>15–22s</t>
        </is>
      </c>
      <c r="H393" s="84" t="inlineStr">
        <is>
          <t>In his studies, couples whose repairs landed were more likely to stay together.</t>
        </is>
      </c>
      <c r="I393" s="84" t="inlineStr">
        <is>
          <t>REPAIR → STABILITY</t>
        </is>
      </c>
      <c r="J393" s="84" t="n"/>
    </row>
    <row r="394" ht="23.85" customHeight="1" s="62">
      <c r="A394" s="83" t="n">
        <v>56</v>
      </c>
      <c r="B394" s="84" t="inlineStr">
        <is>
          <t>Repairing a misunderstanding</t>
        </is>
      </c>
      <c r="C394" s="83" t="inlineStr">
        <is>
          <t>Idea</t>
        </is>
      </c>
      <c r="D394" s="83" t="inlineStr">
        <is>
          <t>List</t>
        </is>
      </c>
      <c r="E394" s="83" t="inlineStr">
        <is>
          <t>II · Confrontation</t>
        </is>
      </c>
      <c r="F394" s="83" t="inlineStr">
        <is>
          <t>Turn</t>
        </is>
      </c>
      <c r="G394" s="83" t="inlineStr">
        <is>
          <t>22–26s</t>
        </is>
      </c>
      <c r="H394" s="84" t="inlineStr">
        <is>
          <t>One: 'That came out wrong.' Two: 'What I meant was...' Three: 'How did that land for you?'</t>
        </is>
      </c>
      <c r="I394" s="84" t="inlineStr">
        <is>
          <t>1. CAME OUT WRONG 2. I MEANT 3. HOW DID IT LAND?</t>
        </is>
      </c>
      <c r="J394" s="84" t="n"/>
    </row>
    <row r="395" ht="15" customHeight="1" s="62">
      <c r="A395" s="83" t="n">
        <v>56</v>
      </c>
      <c r="B395" s="84" t="inlineStr">
        <is>
          <t>Repairing a misunderstanding</t>
        </is>
      </c>
      <c r="C395" s="83" t="inlineStr">
        <is>
          <t>Idea</t>
        </is>
      </c>
      <c r="D395" s="83" t="inlineStr">
        <is>
          <t>List</t>
        </is>
      </c>
      <c r="E395" s="83" t="inlineStr">
        <is>
          <t>III · Resolution</t>
        </is>
      </c>
      <c r="F395" s="83" t="inlineStr">
        <is>
          <t>Payoff</t>
        </is>
      </c>
      <c r="G395" s="83" t="inlineStr">
        <is>
          <t>26–32s</t>
        </is>
      </c>
      <c r="H395" s="84" t="inlineStr">
        <is>
          <t>That's repairing a misunderstanding.</t>
        </is>
      </c>
      <c r="I395" s="84" t="inlineStr">
        <is>
          <t>REPAIR</t>
        </is>
      </c>
      <c r="J395" s="84" t="n"/>
    </row>
    <row r="396" ht="23.85" customHeight="1" s="62">
      <c r="A396" s="86" t="n">
        <v>56</v>
      </c>
      <c r="B396" s="87" t="inlineStr">
        <is>
          <t>Repairing a misunderstanding</t>
        </is>
      </c>
      <c r="C396" s="86" t="inlineStr">
        <is>
          <t>Idea</t>
        </is>
      </c>
      <c r="D396" s="86" t="inlineStr">
        <is>
          <t>List</t>
        </is>
      </c>
      <c r="E396" s="86" t="inlineStr">
        <is>
          <t>III · Resolution</t>
        </is>
      </c>
      <c r="F396" s="86" t="inlineStr">
        <is>
          <t>Outro</t>
        </is>
      </c>
      <c r="G396" s="86" t="inlineStr">
        <is>
          <t>32–36s</t>
        </is>
      </c>
      <c r="H396" s="87" t="inlineStr">
        <is>
          <t>Screenshot these three lines for your next argument. Follow for more conversation tools.</t>
        </is>
      </c>
      <c r="I396" s="87" t="inlineStr">
        <is>
          <t>📸 SCREENSHOT THIS</t>
        </is>
      </c>
      <c r="J396" s="87" t="n"/>
    </row>
    <row r="397" ht="23.85" customHeight="1" s="62">
      <c r="A397" s="78" t="n">
        <v>57</v>
      </c>
      <c r="B397" s="79" t="inlineStr">
        <is>
          <t>Attribution in conflict</t>
        </is>
      </c>
      <c r="C397" s="78" t="inlineStr">
        <is>
          <t>Idea</t>
        </is>
      </c>
      <c r="D397" s="78" t="inlineStr">
        <is>
          <t>Contrarian</t>
        </is>
      </c>
      <c r="E397" s="78" t="inlineStr">
        <is>
          <t>I · Setup</t>
        </is>
      </c>
      <c r="F397" s="78" t="inlineStr">
        <is>
          <t>Hook</t>
        </is>
      </c>
      <c r="G397" s="78" t="inlineStr">
        <is>
          <t>0–3s</t>
        </is>
      </c>
      <c r="H397" s="80" t="inlineStr">
        <is>
          <t>'You always' is the fastest way to lose an argument.</t>
        </is>
      </c>
      <c r="I397" s="79" t="inlineStr">
        <is>
          <t>'YOU ALWAYS' ❌</t>
        </is>
      </c>
      <c r="J397" s="79" t="inlineStr">
        <is>
          <t>Gottman: criticism (global character attack) vs complaint (specific behaviour)</t>
        </is>
      </c>
    </row>
    <row r="398" ht="15" customHeight="1" s="62">
      <c r="A398" s="78" t="n">
        <v>57</v>
      </c>
      <c r="B398" s="79" t="inlineStr">
        <is>
          <t>Attribution in conflict</t>
        </is>
      </c>
      <c r="C398" s="78" t="inlineStr">
        <is>
          <t>Idea</t>
        </is>
      </c>
      <c r="D398" s="78" t="inlineStr">
        <is>
          <t>Contrarian</t>
        </is>
      </c>
      <c r="E398" s="78" t="inlineStr">
        <is>
          <t>I · Setup</t>
        </is>
      </c>
      <c r="F398" s="78" t="inlineStr">
        <is>
          <t>Setup</t>
        </is>
      </c>
      <c r="G398" s="78" t="inlineStr">
        <is>
          <t>3–8s</t>
        </is>
      </c>
      <c r="H398" s="79" t="inlineStr">
        <is>
          <t>'You never listen' turns one moment into their whole personality.</t>
        </is>
      </c>
      <c r="I398" s="79" t="inlineStr">
        <is>
          <t>'NEVER' stamp on a person</t>
        </is>
      </c>
      <c r="J398" s="79" t="n"/>
    </row>
    <row r="399" ht="15" customHeight="1" s="62">
      <c r="A399" s="78" t="n">
        <v>57</v>
      </c>
      <c r="B399" s="79" t="inlineStr">
        <is>
          <t>Attribution in conflict</t>
        </is>
      </c>
      <c r="C399" s="78" t="inlineStr">
        <is>
          <t>Idea</t>
        </is>
      </c>
      <c r="D399" s="78" t="inlineStr">
        <is>
          <t>Contrarian</t>
        </is>
      </c>
      <c r="E399" s="78" t="inlineStr">
        <is>
          <t>II · Confrontation</t>
        </is>
      </c>
      <c r="F399" s="78" t="inlineStr">
        <is>
          <t>Evidence</t>
        </is>
      </c>
      <c r="G399" s="78" t="inlineStr">
        <is>
          <t>8–15s</t>
        </is>
      </c>
      <c r="H399" s="79" t="inlineStr">
        <is>
          <t>John Gottman separates complaints from criticism.</t>
        </is>
      </c>
      <c r="I399" s="79" t="inlineStr">
        <is>
          <t>GOTTMAN | COMPLAINT vs CRITICISM</t>
        </is>
      </c>
      <c r="J399" s="79" t="n"/>
    </row>
    <row r="400" ht="15" customHeight="1" s="62">
      <c r="A400" s="78" t="n">
        <v>57</v>
      </c>
      <c r="B400" s="79" t="inlineStr">
        <is>
          <t>Attribution in conflict</t>
        </is>
      </c>
      <c r="C400" s="78" t="inlineStr">
        <is>
          <t>Idea</t>
        </is>
      </c>
      <c r="D400" s="78" t="inlineStr">
        <is>
          <t>Contrarian</t>
        </is>
      </c>
      <c r="E400" s="78" t="inlineStr">
        <is>
          <t>II · Confrontation</t>
        </is>
      </c>
      <c r="F400" s="78" t="inlineStr">
        <is>
          <t>Escalation</t>
        </is>
      </c>
      <c r="G400" s="78" t="inlineStr">
        <is>
          <t>15–22s</t>
        </is>
      </c>
      <c r="H400" s="79" t="inlineStr">
        <is>
          <t>A complaint is about an action. Criticism attacks who someone is.</t>
        </is>
      </c>
      <c r="I400" s="79" t="inlineStr">
        <is>
          <t>ACTION 🎯 | CHARACTER 💥</t>
        </is>
      </c>
      <c r="J400" s="79" t="n"/>
    </row>
    <row r="401" ht="15" customHeight="1" s="62">
      <c r="A401" s="78" t="n">
        <v>57</v>
      </c>
      <c r="B401" s="79" t="inlineStr">
        <is>
          <t>Attribution in conflict</t>
        </is>
      </c>
      <c r="C401" s="78" t="inlineStr">
        <is>
          <t>Idea</t>
        </is>
      </c>
      <c r="D401" s="78" t="inlineStr">
        <is>
          <t>Contrarian</t>
        </is>
      </c>
      <c r="E401" s="78" t="inlineStr">
        <is>
          <t>II · Confrontation</t>
        </is>
      </c>
      <c r="F401" s="78" t="inlineStr">
        <is>
          <t>Turn</t>
        </is>
      </c>
      <c r="G401" s="78" t="inlineStr">
        <is>
          <t>22–26s</t>
        </is>
      </c>
      <c r="H401" s="79" t="inlineStr">
        <is>
          <t>But criticism makes people defend themselves, not change.</t>
        </is>
      </c>
      <c r="I401" s="79" t="inlineStr">
        <is>
          <t>CRITICISM → DEFENSIVENESS</t>
        </is>
      </c>
      <c r="J401" s="79" t="n"/>
    </row>
    <row r="402" ht="15" customHeight="1" s="62">
      <c r="A402" s="78" t="n">
        <v>57</v>
      </c>
      <c r="B402" s="79" t="inlineStr">
        <is>
          <t>Attribution in conflict</t>
        </is>
      </c>
      <c r="C402" s="78" t="inlineStr">
        <is>
          <t>Idea</t>
        </is>
      </c>
      <c r="D402" s="78" t="inlineStr">
        <is>
          <t>Contrarian</t>
        </is>
      </c>
      <c r="E402" s="78" t="inlineStr">
        <is>
          <t>III · Resolution</t>
        </is>
      </c>
      <c r="F402" s="78" t="inlineStr">
        <is>
          <t>Payoff</t>
        </is>
      </c>
      <c r="G402" s="78" t="inlineStr">
        <is>
          <t>26–32s</t>
        </is>
      </c>
      <c r="H402" s="79" t="inlineStr">
        <is>
          <t>Argue about the event, not their whole character.</t>
        </is>
      </c>
      <c r="I402" s="79" t="inlineStr">
        <is>
          <t>EVENT, NOT CHARACTER</t>
        </is>
      </c>
      <c r="J402" s="79" t="n"/>
    </row>
    <row r="403" ht="23.85" customHeight="1" s="62">
      <c r="A403" s="81" t="n">
        <v>57</v>
      </c>
      <c r="B403" s="82" t="inlineStr">
        <is>
          <t>Attribution in conflict</t>
        </is>
      </c>
      <c r="C403" s="81" t="inlineStr">
        <is>
          <t>Idea</t>
        </is>
      </c>
      <c r="D403" s="81" t="inlineStr">
        <is>
          <t>Contrarian</t>
        </is>
      </c>
      <c r="E403" s="81" t="inlineStr">
        <is>
          <t>III · Resolution</t>
        </is>
      </c>
      <c r="F403" s="81" t="inlineStr">
        <is>
          <t>Outro</t>
        </is>
      </c>
      <c r="G403" s="81" t="inlineStr">
        <is>
          <t>32–36s</t>
        </is>
      </c>
      <c r="H403" s="82" t="inlineStr">
        <is>
          <t>Swap 'You never listen' for 'I felt unheard when...' Save this, and follow for more.</t>
        </is>
      </c>
      <c r="I403" s="82" t="inlineStr">
        <is>
          <t>'I FELT ___ WHEN ___'</t>
        </is>
      </c>
      <c r="J403" s="82" t="n"/>
    </row>
    <row r="404" ht="23.85" customHeight="1" s="62">
      <c r="A404" s="83" t="n">
        <v>58</v>
      </c>
      <c r="B404" s="84" t="inlineStr">
        <is>
          <t>Reciprocity</t>
        </is>
      </c>
      <c r="C404" s="83" t="inlineStr">
        <is>
          <t>Scheduled</t>
        </is>
      </c>
      <c r="D404" s="83" t="inlineStr">
        <is>
          <t>Study reveal</t>
        </is>
      </c>
      <c r="E404" s="83" t="inlineStr">
        <is>
          <t>I · Setup</t>
        </is>
      </c>
      <c r="F404" s="83" t="inlineStr">
        <is>
          <t>Hook</t>
        </is>
      </c>
      <c r="G404" s="83" t="inlineStr">
        <is>
          <t>0–3s</t>
        </is>
      </c>
      <c r="H404" s="85" t="inlineStr">
        <is>
          <t>A single mint raised waiters' tips.</t>
        </is>
      </c>
      <c r="I404" s="84" t="inlineStr">
        <is>
          <t>🍬 → 💸</t>
        </is>
      </c>
      <c r="J404" s="84" t="inlineStr">
        <is>
          <t>Strohmetz et al. 2002: mints raised tips; two mints + 'for you' raised them ~23%</t>
        </is>
      </c>
    </row>
    <row r="405" ht="15" customHeight="1" s="62">
      <c r="A405" s="83" t="n">
        <v>58</v>
      </c>
      <c r="B405" s="84" t="inlineStr">
        <is>
          <t>Reciprocity</t>
        </is>
      </c>
      <c r="C405" s="83" t="inlineStr">
        <is>
          <t>Scheduled</t>
        </is>
      </c>
      <c r="D405" s="83" t="inlineStr">
        <is>
          <t>Study reveal</t>
        </is>
      </c>
      <c r="E405" s="83" t="inlineStr">
        <is>
          <t>I · Setup</t>
        </is>
      </c>
      <c r="F405" s="83" t="inlineStr">
        <is>
          <t>Setup</t>
        </is>
      </c>
      <c r="G405" s="83" t="inlineStr">
        <is>
          <t>3–8s</t>
        </is>
      </c>
      <c r="H405" s="84" t="inlineStr">
        <is>
          <t>In 2002, David Strohmetz's team studied restaurant bills.</t>
        </is>
      </c>
      <c r="I405" s="84" t="inlineStr">
        <is>
          <t>STROHMETZ ET AL., 2002</t>
        </is>
      </c>
      <c r="J405" s="84" t="n"/>
    </row>
    <row r="406" ht="15" customHeight="1" s="62">
      <c r="A406" s="83" t="n">
        <v>58</v>
      </c>
      <c r="B406" s="84" t="inlineStr">
        <is>
          <t>Reciprocity</t>
        </is>
      </c>
      <c r="C406" s="83" t="inlineStr">
        <is>
          <t>Scheduled</t>
        </is>
      </c>
      <c r="D406" s="83" t="inlineStr">
        <is>
          <t>Study reveal</t>
        </is>
      </c>
      <c r="E406" s="83" t="inlineStr">
        <is>
          <t>II · Confrontation</t>
        </is>
      </c>
      <c r="F406" s="83" t="inlineStr">
        <is>
          <t>Evidence</t>
        </is>
      </c>
      <c r="G406" s="83" t="inlineStr">
        <is>
          <t>8–15s</t>
        </is>
      </c>
      <c r="H406" s="84" t="inlineStr">
        <is>
          <t>Bringing one mint with the bill nudged tips up a little.</t>
        </is>
      </c>
      <c r="I406" s="84" t="inlineStr">
        <is>
          <t>1 MINT → small ⬆</t>
        </is>
      </c>
      <c r="J406" s="84" t="n"/>
    </row>
    <row r="407" ht="23.85" customHeight="1" s="62">
      <c r="A407" s="83" t="n">
        <v>58</v>
      </c>
      <c r="B407" s="84" t="inlineStr">
        <is>
          <t>Reciprocity</t>
        </is>
      </c>
      <c r="C407" s="83" t="inlineStr">
        <is>
          <t>Scheduled</t>
        </is>
      </c>
      <c r="D407" s="83" t="inlineStr">
        <is>
          <t>Study reveal</t>
        </is>
      </c>
      <c r="E407" s="83" t="inlineStr">
        <is>
          <t>II · Confrontation</t>
        </is>
      </c>
      <c r="F407" s="83" t="inlineStr">
        <is>
          <t>Escalation</t>
        </is>
      </c>
      <c r="G407" s="83" t="inlineStr">
        <is>
          <t>15–22s</t>
        </is>
      </c>
      <c r="H407" s="84" t="inlineStr">
        <is>
          <t>But when the waiter left, came back, and offered an extra mint 'just for you', tips jumped about 23 percent.</t>
        </is>
      </c>
      <c r="I407" s="84" t="inlineStr">
        <is>
          <t>'JUST FOR YOU' → +23%</t>
        </is>
      </c>
      <c r="J407" s="84" t="n"/>
    </row>
    <row r="408" ht="15" customHeight="1" s="62">
      <c r="A408" s="83" t="n">
        <v>58</v>
      </c>
      <c r="B408" s="84" t="inlineStr">
        <is>
          <t>Reciprocity</t>
        </is>
      </c>
      <c r="C408" s="83" t="inlineStr">
        <is>
          <t>Scheduled</t>
        </is>
      </c>
      <c r="D408" s="83" t="inlineStr">
        <is>
          <t>Study reveal</t>
        </is>
      </c>
      <c r="E408" s="83" t="inlineStr">
        <is>
          <t>II · Confrontation</t>
        </is>
      </c>
      <c r="F408" s="83" t="inlineStr">
        <is>
          <t>Turn</t>
        </is>
      </c>
      <c r="G408" s="83" t="inlineStr">
        <is>
          <t>22–26s</t>
        </is>
      </c>
      <c r="H408" s="84" t="inlineStr">
        <is>
          <t>That's because a small favour creates a sense of owing one back.</t>
        </is>
      </c>
      <c r="I408" s="84" t="inlineStr">
        <is>
          <t>FAVOUR → OBLIGATION</t>
        </is>
      </c>
      <c r="J408" s="84" t="n"/>
    </row>
    <row r="409" ht="15" customHeight="1" s="62">
      <c r="A409" s="83" t="n">
        <v>58</v>
      </c>
      <c r="B409" s="84" t="inlineStr">
        <is>
          <t>Reciprocity</t>
        </is>
      </c>
      <c r="C409" s="83" t="inlineStr">
        <is>
          <t>Scheduled</t>
        </is>
      </c>
      <c r="D409" s="83" t="inlineStr">
        <is>
          <t>Study reveal</t>
        </is>
      </c>
      <c r="E409" s="83" t="inlineStr">
        <is>
          <t>III · Resolution</t>
        </is>
      </c>
      <c r="F409" s="83" t="inlineStr">
        <is>
          <t>Payoff</t>
        </is>
      </c>
      <c r="G409" s="83" t="inlineStr">
        <is>
          <t>26–32s</t>
        </is>
      </c>
      <c r="H409" s="84" t="inlineStr">
        <is>
          <t>It's reciprocity.</t>
        </is>
      </c>
      <c r="I409" s="84" t="inlineStr">
        <is>
          <t>RECIPROCITY</t>
        </is>
      </c>
      <c r="J409" s="84" t="n"/>
    </row>
    <row r="410" ht="23.85" customHeight="1" s="62">
      <c r="A410" s="86" t="n">
        <v>58</v>
      </c>
      <c r="B410" s="87" t="inlineStr">
        <is>
          <t>Reciprocity</t>
        </is>
      </c>
      <c r="C410" s="86" t="inlineStr">
        <is>
          <t>Scheduled</t>
        </is>
      </c>
      <c r="D410" s="86" t="inlineStr">
        <is>
          <t>Study reveal</t>
        </is>
      </c>
      <c r="E410" s="86" t="inlineStr">
        <is>
          <t>III · Resolution</t>
        </is>
      </c>
      <c r="F410" s="86" t="inlineStr">
        <is>
          <t>Outro</t>
        </is>
      </c>
      <c r="G410" s="86" t="inlineStr">
        <is>
          <t>32–36s</t>
        </is>
      </c>
      <c r="H410" s="87" t="inlineStr">
        <is>
          <t>Notice it next time a 'free gift' comes with a sales pitch. Save this before your next shopping trip.</t>
        </is>
      </c>
      <c r="I410" s="87" t="inlineStr">
        <is>
          <t>SPOT THE FREE GIFT</t>
        </is>
      </c>
      <c r="J410" s="87" t="n"/>
    </row>
    <row r="411" ht="23.85" customHeight="1" s="62">
      <c r="A411" s="78" t="n">
        <v>59</v>
      </c>
      <c r="B411" s="79" t="inlineStr">
        <is>
          <t>The mere-exposure effect</t>
        </is>
      </c>
      <c r="C411" s="78" t="inlineStr">
        <is>
          <t>Scheduled</t>
        </is>
      </c>
      <c r="D411" s="78" t="inlineStr">
        <is>
          <t>Study reveal</t>
        </is>
      </c>
      <c r="E411" s="78" t="inlineStr">
        <is>
          <t>I · Setup</t>
        </is>
      </c>
      <c r="F411" s="78" t="inlineStr">
        <is>
          <t>Hook</t>
        </is>
      </c>
      <c r="G411" s="78" t="inlineStr">
        <is>
          <t>0–3s</t>
        </is>
      </c>
      <c r="H411" s="80" t="inlineStr">
        <is>
          <t>Students liked a classmate more, just because she showed up more.</t>
        </is>
      </c>
      <c r="I411" s="79" t="inlineStr">
        <is>
          <t>SHOWED UP → LIKED ⬆</t>
        </is>
      </c>
      <c r="J411" s="79" t="inlineStr">
        <is>
          <t>Moreland &amp; Beach 1992: women attending class more often were rated more favourably</t>
        </is>
      </c>
    </row>
    <row r="412" ht="23.85" customHeight="1" s="62">
      <c r="A412" s="78" t="n">
        <v>59</v>
      </c>
      <c r="B412" s="79" t="inlineStr">
        <is>
          <t>The mere-exposure effect</t>
        </is>
      </c>
      <c r="C412" s="78" t="inlineStr">
        <is>
          <t>Scheduled</t>
        </is>
      </c>
      <c r="D412" s="78" t="inlineStr">
        <is>
          <t>Study reveal</t>
        </is>
      </c>
      <c r="E412" s="78" t="inlineStr">
        <is>
          <t>I · Setup</t>
        </is>
      </c>
      <c r="F412" s="78" t="inlineStr">
        <is>
          <t>Setup</t>
        </is>
      </c>
      <c r="G412" s="78" t="inlineStr">
        <is>
          <t>3–8s</t>
        </is>
      </c>
      <c r="H412" s="79" t="inlineStr">
        <is>
          <t>In 1992, Richard Moreland and Scott Beach had four women attend a lecture class.</t>
        </is>
      </c>
      <c r="I412" s="79" t="inlineStr">
        <is>
          <t>MORELAND &amp; BEACH, 1992</t>
        </is>
      </c>
      <c r="J412" s="79" t="n"/>
    </row>
    <row r="413" ht="15" customHeight="1" s="62">
      <c r="A413" s="78" t="n">
        <v>59</v>
      </c>
      <c r="B413" s="79" t="inlineStr">
        <is>
          <t>The mere-exposure effect</t>
        </is>
      </c>
      <c r="C413" s="78" t="inlineStr">
        <is>
          <t>Scheduled</t>
        </is>
      </c>
      <c r="D413" s="78" t="inlineStr">
        <is>
          <t>Study reveal</t>
        </is>
      </c>
      <c r="E413" s="78" t="inlineStr">
        <is>
          <t>II · Confrontation</t>
        </is>
      </c>
      <c r="F413" s="78" t="inlineStr">
        <is>
          <t>Evidence</t>
        </is>
      </c>
      <c r="G413" s="78" t="inlineStr">
        <is>
          <t>8–15s</t>
        </is>
      </c>
      <c r="H413" s="79" t="inlineStr">
        <is>
          <t>They came 0, 5, 10, or 15 times. They never spoke to anyone.</t>
        </is>
      </c>
      <c r="I413" s="79" t="inlineStr">
        <is>
          <t>0 | 5 | 10 | 15 visits</t>
        </is>
      </c>
      <c r="J413" s="79" t="n"/>
    </row>
    <row r="414" ht="15" customHeight="1" s="62">
      <c r="A414" s="78" t="n">
        <v>59</v>
      </c>
      <c r="B414" s="79" t="inlineStr">
        <is>
          <t>The mere-exposure effect</t>
        </is>
      </c>
      <c r="C414" s="78" t="inlineStr">
        <is>
          <t>Scheduled</t>
        </is>
      </c>
      <c r="D414" s="78" t="inlineStr">
        <is>
          <t>Study reveal</t>
        </is>
      </c>
      <c r="E414" s="78" t="inlineStr">
        <is>
          <t>II · Confrontation</t>
        </is>
      </c>
      <c r="F414" s="78" t="inlineStr">
        <is>
          <t>Escalation</t>
        </is>
      </c>
      <c r="G414" s="78" t="inlineStr">
        <is>
          <t>15–22s</t>
        </is>
      </c>
      <c r="H414" s="79" t="inlineStr">
        <is>
          <t>At the end, students rated the most-seen woman more favourably.</t>
        </is>
      </c>
      <c r="I414" s="79" t="inlineStr">
        <is>
          <t>15 visits → rated ⬆</t>
        </is>
      </c>
      <c r="J414" s="79" t="n"/>
    </row>
    <row r="415" ht="15" customHeight="1" s="62">
      <c r="A415" s="78" t="n">
        <v>59</v>
      </c>
      <c r="B415" s="79" t="inlineStr">
        <is>
          <t>The mere-exposure effect</t>
        </is>
      </c>
      <c r="C415" s="78" t="inlineStr">
        <is>
          <t>Scheduled</t>
        </is>
      </c>
      <c r="D415" s="78" t="inlineStr">
        <is>
          <t>Study reveal</t>
        </is>
      </c>
      <c r="E415" s="78" t="inlineStr">
        <is>
          <t>II · Confrontation</t>
        </is>
      </c>
      <c r="F415" s="78" t="inlineStr">
        <is>
          <t>Turn</t>
        </is>
      </c>
      <c r="G415" s="78" t="inlineStr">
        <is>
          <t>22–26s</t>
        </is>
      </c>
      <c r="H415" s="79" t="inlineStr">
        <is>
          <t>But familiarity doesn't create love. It just makes things feel safer.</t>
        </is>
      </c>
      <c r="I415" s="79" t="inlineStr">
        <is>
          <t>FAMILIAR = SAFER</t>
        </is>
      </c>
      <c r="J415" s="79" t="n"/>
    </row>
    <row r="416" ht="15" customHeight="1" s="62">
      <c r="A416" s="78" t="n">
        <v>59</v>
      </c>
      <c r="B416" s="79" t="inlineStr">
        <is>
          <t>The mere-exposure effect</t>
        </is>
      </c>
      <c r="C416" s="78" t="inlineStr">
        <is>
          <t>Scheduled</t>
        </is>
      </c>
      <c r="D416" s="78" t="inlineStr">
        <is>
          <t>Study reveal</t>
        </is>
      </c>
      <c r="E416" s="78" t="inlineStr">
        <is>
          <t>III · Resolution</t>
        </is>
      </c>
      <c r="F416" s="78" t="inlineStr">
        <is>
          <t>Payoff</t>
        </is>
      </c>
      <c r="G416" s="78" t="inlineStr">
        <is>
          <t>26–32s</t>
        </is>
      </c>
      <c r="H416" s="79" t="inlineStr">
        <is>
          <t>That's the mere-exposure effect.</t>
        </is>
      </c>
      <c r="I416" s="79" t="inlineStr">
        <is>
          <t>THE MERE-EXPOSURE EFFECT</t>
        </is>
      </c>
      <c r="J416" s="79" t="n"/>
    </row>
    <row r="417" ht="23.85" customHeight="1" s="62">
      <c r="A417" s="81" t="n">
        <v>59</v>
      </c>
      <c r="B417" s="82" t="inlineStr">
        <is>
          <t>The mere-exposure effect</t>
        </is>
      </c>
      <c r="C417" s="81" t="inlineStr">
        <is>
          <t>Scheduled</t>
        </is>
      </c>
      <c r="D417" s="81" t="inlineStr">
        <is>
          <t>Study reveal</t>
        </is>
      </c>
      <c r="E417" s="81" t="inlineStr">
        <is>
          <t>III · Resolution</t>
        </is>
      </c>
      <c r="F417" s="81" t="inlineStr">
        <is>
          <t>Outro</t>
        </is>
      </c>
      <c r="G417" s="81" t="inlineStr">
        <is>
          <t>32–36s</t>
        </is>
      </c>
      <c r="H417" s="82" t="inlineStr">
        <is>
          <t>Want to fit in somewhere new? Just keep showing up. Follow for tomorrow's social trick.</t>
        </is>
      </c>
      <c r="I417" s="82" t="inlineStr">
        <is>
          <t>KEEP SHOWING UP</t>
        </is>
      </c>
      <c r="J417" s="82" t="n"/>
    </row>
    <row r="418" ht="23.85" customHeight="1" s="62">
      <c r="A418" s="83" t="n">
        <v>60</v>
      </c>
      <c r="B418" s="84" t="inlineStr">
        <is>
          <t>Attachment labels online</t>
        </is>
      </c>
      <c r="C418" s="83" t="inlineStr">
        <is>
          <t>Idea</t>
        </is>
      </c>
      <c r="D418" s="83" t="inlineStr">
        <is>
          <t>Contrarian</t>
        </is>
      </c>
      <c r="E418" s="83" t="inlineStr">
        <is>
          <t>I · Setup</t>
        </is>
      </c>
      <c r="F418" s="83" t="inlineStr">
        <is>
          <t>Hook</t>
        </is>
      </c>
      <c r="G418" s="83" t="inlineStr">
        <is>
          <t>0–3s</t>
        </is>
      </c>
      <c r="H418" s="85" t="inlineStr">
        <is>
          <t>One unanswered text does not reveal your attachment style.</t>
        </is>
      </c>
      <c r="I418" s="84" t="inlineStr">
        <is>
          <t>1 TEXT ≠ YOUR STYLE</t>
        </is>
      </c>
      <c r="J418" s="84" t="inlineStr">
        <is>
          <t>Fraley &amp; Spieker 2003: attachment varies on continuous dimensions, not categories</t>
        </is>
      </c>
    </row>
    <row r="419" ht="15" customHeight="1" s="62">
      <c r="A419" s="83" t="n">
        <v>60</v>
      </c>
      <c r="B419" s="84" t="inlineStr">
        <is>
          <t>Attachment labels online</t>
        </is>
      </c>
      <c r="C419" s="83" t="inlineStr">
        <is>
          <t>Idea</t>
        </is>
      </c>
      <c r="D419" s="83" t="inlineStr">
        <is>
          <t>Contrarian</t>
        </is>
      </c>
      <c r="E419" s="83" t="inlineStr">
        <is>
          <t>I · Setup</t>
        </is>
      </c>
      <c r="F419" s="83" t="inlineStr">
        <is>
          <t>Setup</t>
        </is>
      </c>
      <c r="G419" s="83" t="inlineStr">
        <is>
          <t>3–8s</t>
        </is>
      </c>
      <c r="H419" s="84" t="inlineStr">
        <is>
          <t>Online, everyone's 'anxious' or 'avoidant' from a single bad week.</t>
        </is>
      </c>
      <c r="I419" s="84" t="inlineStr">
        <is>
          <t>label stamps: ANXIOUS | AVOIDANT</t>
        </is>
      </c>
      <c r="J419" s="84" t="n"/>
    </row>
    <row r="420" ht="23.85" customHeight="1" s="62">
      <c r="A420" s="83" t="n">
        <v>60</v>
      </c>
      <c r="B420" s="84" t="inlineStr">
        <is>
          <t>Attachment labels online</t>
        </is>
      </c>
      <c r="C420" s="83" t="inlineStr">
        <is>
          <t>Idea</t>
        </is>
      </c>
      <c r="D420" s="83" t="inlineStr">
        <is>
          <t>Contrarian</t>
        </is>
      </c>
      <c r="E420" s="83" t="inlineStr">
        <is>
          <t>II · Confrontation</t>
        </is>
      </c>
      <c r="F420" s="83" t="inlineStr">
        <is>
          <t>Evidence</t>
        </is>
      </c>
      <c r="G420" s="83" t="inlineStr">
        <is>
          <t>8–15s</t>
        </is>
      </c>
      <c r="H420" s="84" t="inlineStr">
        <is>
          <t>In 2003, Chris Fraley and Susan Spieker tested whether attachment comes in types.</t>
        </is>
      </c>
      <c r="I420" s="84" t="inlineStr">
        <is>
          <t>FRALEY &amp; SPIEKER, 2003</t>
        </is>
      </c>
      <c r="J420" s="84" t="n"/>
    </row>
    <row r="421" ht="15" customHeight="1" s="62">
      <c r="A421" s="83" t="n">
        <v>60</v>
      </c>
      <c r="B421" s="84" t="inlineStr">
        <is>
          <t>Attachment labels online</t>
        </is>
      </c>
      <c r="C421" s="83" t="inlineStr">
        <is>
          <t>Idea</t>
        </is>
      </c>
      <c r="D421" s="83" t="inlineStr">
        <is>
          <t>Contrarian</t>
        </is>
      </c>
      <c r="E421" s="83" t="inlineStr">
        <is>
          <t>II · Confrontation</t>
        </is>
      </c>
      <c r="F421" s="83" t="inlineStr">
        <is>
          <t>Escalation</t>
        </is>
      </c>
      <c r="G421" s="83" t="inlineStr">
        <is>
          <t>15–22s</t>
        </is>
      </c>
      <c r="H421" s="84" t="inlineStr">
        <is>
          <t>The data looked like sliding scales, not neat boxes.</t>
        </is>
      </c>
      <c r="I421" s="84" t="inlineStr">
        <is>
          <t>SCALE, NOT BOXES</t>
        </is>
      </c>
      <c r="J421" s="84" t="n"/>
    </row>
    <row r="422" ht="15" customHeight="1" s="62">
      <c r="A422" s="83" t="n">
        <v>60</v>
      </c>
      <c r="B422" s="84" t="inlineStr">
        <is>
          <t>Attachment labels online</t>
        </is>
      </c>
      <c r="C422" s="83" t="inlineStr">
        <is>
          <t>Idea</t>
        </is>
      </c>
      <c r="D422" s="83" t="inlineStr">
        <is>
          <t>Contrarian</t>
        </is>
      </c>
      <c r="E422" s="83" t="inlineStr">
        <is>
          <t>II · Confrontation</t>
        </is>
      </c>
      <c r="F422" s="83" t="inlineStr">
        <is>
          <t>Turn</t>
        </is>
      </c>
      <c r="G422" s="83" t="inlineStr">
        <is>
          <t>22–26s</t>
        </is>
      </c>
      <c r="H422" s="84" t="inlineStr">
        <is>
          <t>But labels feel good because they explain everything at once.</t>
        </is>
      </c>
      <c r="I422" s="84" t="inlineStr">
        <is>
          <t>EASY ≠ ACCURATE</t>
        </is>
      </c>
      <c r="J422" s="84" t="n"/>
    </row>
    <row r="423" ht="15" customHeight="1" s="62">
      <c r="A423" s="83" t="n">
        <v>60</v>
      </c>
      <c r="B423" s="84" t="inlineStr">
        <is>
          <t>Attachment labels online</t>
        </is>
      </c>
      <c r="C423" s="83" t="inlineStr">
        <is>
          <t>Idea</t>
        </is>
      </c>
      <c r="D423" s="83" t="inlineStr">
        <is>
          <t>Contrarian</t>
        </is>
      </c>
      <c r="E423" s="83" t="inlineStr">
        <is>
          <t>III · Resolution</t>
        </is>
      </c>
      <c r="F423" s="83" t="inlineStr">
        <is>
          <t>Payoff</t>
        </is>
      </c>
      <c r="G423" s="83" t="inlineStr">
        <is>
          <t>26–32s</t>
        </is>
      </c>
      <c r="H423" s="84" t="inlineStr">
        <is>
          <t>Attachment labels online oversimplify real people.</t>
        </is>
      </c>
      <c r="I423" s="84" t="inlineStr">
        <is>
          <t>DROP THE LABEL</t>
        </is>
      </c>
      <c r="J423" s="84" t="n"/>
    </row>
    <row r="424" ht="23.85" customHeight="1" s="62">
      <c r="A424" s="86" t="n">
        <v>60</v>
      </c>
      <c r="B424" s="87" t="inlineStr">
        <is>
          <t>Attachment labels online</t>
        </is>
      </c>
      <c r="C424" s="86" t="inlineStr">
        <is>
          <t>Idea</t>
        </is>
      </c>
      <c r="D424" s="86" t="inlineStr">
        <is>
          <t>Contrarian</t>
        </is>
      </c>
      <c r="E424" s="86" t="inlineStr">
        <is>
          <t>III · Resolution</t>
        </is>
      </c>
      <c r="F424" s="86" t="inlineStr">
        <is>
          <t>Outro</t>
        </is>
      </c>
      <c r="G424" s="86" t="inlineStr">
        <is>
          <t>32–36s</t>
        </is>
      </c>
      <c r="H424" s="87" t="inlineStr">
        <is>
          <t>Describe the behaviour, not the type. Share this with someone who diagnoses everyone. Follow for more.</t>
        </is>
      </c>
      <c r="I424" s="87" t="inlineStr">
        <is>
          <t>BEHAVIOUR, NOT TYPE</t>
        </is>
      </c>
      <c r="J424" s="87" t="n"/>
    </row>
    <row r="425" ht="23.85" customHeight="1" s="62">
      <c r="A425" s="78" t="n">
        <v>61</v>
      </c>
      <c r="B425" s="79" t="inlineStr">
        <is>
          <t>Conformity</t>
        </is>
      </c>
      <c r="C425" s="78" t="inlineStr">
        <is>
          <t>Scheduled</t>
        </is>
      </c>
      <c r="D425" s="78" t="inlineStr">
        <is>
          <t>Forced choice</t>
        </is>
      </c>
      <c r="E425" s="78" t="inlineStr">
        <is>
          <t>I · Setup</t>
        </is>
      </c>
      <c r="F425" s="78" t="inlineStr">
        <is>
          <t>Hook</t>
        </is>
      </c>
      <c r="G425" s="78" t="inlineStr">
        <is>
          <t>0–3s</t>
        </is>
      </c>
      <c r="H425" s="80" t="inlineStr">
        <is>
          <t>Which line matches? Now, what if everyone else in the room said B?</t>
        </is>
      </c>
      <c r="I425" s="79" t="inlineStr">
        <is>
          <t>line test: A B C</t>
        </is>
      </c>
      <c r="J425" s="79" t="inlineStr">
        <is>
          <t>Asch 1951/1956: ~75% conformed at least once; ~1/3 of critical trials</t>
        </is>
      </c>
    </row>
    <row r="426" ht="15" customHeight="1" s="62">
      <c r="A426" s="78" t="n">
        <v>61</v>
      </c>
      <c r="B426" s="79" t="inlineStr">
        <is>
          <t>Conformity</t>
        </is>
      </c>
      <c r="C426" s="78" t="inlineStr">
        <is>
          <t>Scheduled</t>
        </is>
      </c>
      <c r="D426" s="78" t="inlineStr">
        <is>
          <t>Forced choice</t>
        </is>
      </c>
      <c r="E426" s="78" t="inlineStr">
        <is>
          <t>I · Setup</t>
        </is>
      </c>
      <c r="F426" s="78" t="inlineStr">
        <is>
          <t>Setup</t>
        </is>
      </c>
      <c r="G426" s="78" t="inlineStr">
        <is>
          <t>3–8s</t>
        </is>
      </c>
      <c r="H426" s="79" t="inlineStr">
        <is>
          <t>In 1951, Solomon Asch put one real student in a room with actors.</t>
        </is>
      </c>
      <c r="I426" s="79" t="inlineStr">
        <is>
          <t>ASCH, 1951</t>
        </is>
      </c>
      <c r="J426" s="79" t="n"/>
    </row>
    <row r="427" ht="15" customHeight="1" s="62">
      <c r="A427" s="78" t="n">
        <v>61</v>
      </c>
      <c r="B427" s="79" t="inlineStr">
        <is>
          <t>Conformity</t>
        </is>
      </c>
      <c r="C427" s="78" t="inlineStr">
        <is>
          <t>Scheduled</t>
        </is>
      </c>
      <c r="D427" s="78" t="inlineStr">
        <is>
          <t>Forced choice</t>
        </is>
      </c>
      <c r="E427" s="78" t="inlineStr">
        <is>
          <t>II · Confrontation</t>
        </is>
      </c>
      <c r="F427" s="78" t="inlineStr">
        <is>
          <t>Evidence</t>
        </is>
      </c>
      <c r="G427" s="78" t="inlineStr">
        <is>
          <t>8–15s</t>
        </is>
      </c>
      <c r="H427" s="79" t="inlineStr">
        <is>
          <t>The actors all gave the same obviously wrong answer.</t>
        </is>
      </c>
      <c r="I427" s="79" t="inlineStr">
        <is>
          <t>everyone: 'B' (wrong)</t>
        </is>
      </c>
      <c r="J427" s="79" t="n"/>
    </row>
    <row r="428" ht="15" customHeight="1" s="62">
      <c r="A428" s="78" t="n">
        <v>61</v>
      </c>
      <c r="B428" s="79" t="inlineStr">
        <is>
          <t>Conformity</t>
        </is>
      </c>
      <c r="C428" s="78" t="inlineStr">
        <is>
          <t>Scheduled</t>
        </is>
      </c>
      <c r="D428" s="78" t="inlineStr">
        <is>
          <t>Forced choice</t>
        </is>
      </c>
      <c r="E428" s="78" t="inlineStr">
        <is>
          <t>II · Confrontation</t>
        </is>
      </c>
      <c r="F428" s="78" t="inlineStr">
        <is>
          <t>Escalation</t>
        </is>
      </c>
      <c r="G428" s="78" t="inlineStr">
        <is>
          <t>15–22s</t>
        </is>
      </c>
      <c r="H428" s="79" t="inlineStr">
        <is>
          <t>About three in four people went along with the group at least once.</t>
        </is>
      </c>
      <c r="I428" s="79" t="inlineStr">
        <is>
          <t>~75% CONFORMED ONCE</t>
        </is>
      </c>
      <c r="J428" s="79" t="n"/>
    </row>
    <row r="429" ht="15" customHeight="1" s="62">
      <c r="A429" s="78" t="n">
        <v>61</v>
      </c>
      <c r="B429" s="79" t="inlineStr">
        <is>
          <t>Conformity</t>
        </is>
      </c>
      <c r="C429" s="78" t="inlineStr">
        <is>
          <t>Scheduled</t>
        </is>
      </c>
      <c r="D429" s="78" t="inlineStr">
        <is>
          <t>Forced choice</t>
        </is>
      </c>
      <c r="E429" s="78" t="inlineStr">
        <is>
          <t>II · Confrontation</t>
        </is>
      </c>
      <c r="F429" s="78" t="inlineStr">
        <is>
          <t>Turn</t>
        </is>
      </c>
      <c r="G429" s="78" t="inlineStr">
        <is>
          <t>22–26s</t>
        </is>
      </c>
      <c r="H429" s="79" t="inlineStr">
        <is>
          <t>But with just one ally who disagreed, conformity dropped sharply.</t>
        </is>
      </c>
      <c r="I429" s="79" t="inlineStr">
        <is>
          <t>ONE ALLY = FREEDOM</t>
        </is>
      </c>
      <c r="J429" s="79" t="n"/>
    </row>
    <row r="430" ht="15" customHeight="1" s="62">
      <c r="A430" s="78" t="n">
        <v>61</v>
      </c>
      <c r="B430" s="79" t="inlineStr">
        <is>
          <t>Conformity</t>
        </is>
      </c>
      <c r="C430" s="78" t="inlineStr">
        <is>
          <t>Scheduled</t>
        </is>
      </c>
      <c r="D430" s="78" t="inlineStr">
        <is>
          <t>Forced choice</t>
        </is>
      </c>
      <c r="E430" s="78" t="inlineStr">
        <is>
          <t>III · Resolution</t>
        </is>
      </c>
      <c r="F430" s="78" t="inlineStr">
        <is>
          <t>Payoff</t>
        </is>
      </c>
      <c r="G430" s="78" t="inlineStr">
        <is>
          <t>26–32s</t>
        </is>
      </c>
      <c r="H430" s="79" t="inlineStr">
        <is>
          <t>It's conformity.</t>
        </is>
      </c>
      <c r="I430" s="79" t="inlineStr">
        <is>
          <t>CONFORMITY</t>
        </is>
      </c>
      <c r="J430" s="79" t="n"/>
    </row>
    <row r="431" ht="23.85" customHeight="1" s="62">
      <c r="A431" s="81" t="n">
        <v>61</v>
      </c>
      <c r="B431" s="82" t="inlineStr">
        <is>
          <t>Conformity</t>
        </is>
      </c>
      <c r="C431" s="81" t="inlineStr">
        <is>
          <t>Scheduled</t>
        </is>
      </c>
      <c r="D431" s="81" t="inlineStr">
        <is>
          <t>Forced choice</t>
        </is>
      </c>
      <c r="E431" s="81" t="inlineStr">
        <is>
          <t>III · Resolution</t>
        </is>
      </c>
      <c r="F431" s="81" t="inlineStr">
        <is>
          <t>Outro</t>
        </is>
      </c>
      <c r="G431" s="81" t="inlineStr">
        <is>
          <t>32–36s</t>
        </is>
      </c>
      <c r="H431" s="82" t="inlineStr">
        <is>
          <t>In a meeting, be the first to disagree. You give others permission. Follow for tomorrow's social experiment.</t>
        </is>
      </c>
      <c r="I431" s="82" t="inlineStr">
        <is>
          <t>BE THE FIRST TO DISAGREE</t>
        </is>
      </c>
      <c r="J431" s="82" t="n"/>
    </row>
    <row r="432" ht="23.85" customHeight="1" s="62">
      <c r="A432" s="83" t="n">
        <v>62</v>
      </c>
      <c r="B432" s="84" t="inlineStr">
        <is>
          <t>Informational social influence</t>
        </is>
      </c>
      <c r="C432" s="83" t="inlineStr">
        <is>
          <t>Scheduled</t>
        </is>
      </c>
      <c r="D432" s="83" t="inlineStr">
        <is>
          <t>Study reveal</t>
        </is>
      </c>
      <c r="E432" s="83" t="inlineStr">
        <is>
          <t>I · Setup</t>
        </is>
      </c>
      <c r="F432" s="83" t="inlineStr">
        <is>
          <t>Hook</t>
        </is>
      </c>
      <c r="G432" s="83" t="inlineStr">
        <is>
          <t>0–3s</t>
        </is>
      </c>
      <c r="H432" s="85" t="inlineStr">
        <is>
          <t>In a dark room, strangers started seeing the same illusion together.</t>
        </is>
      </c>
      <c r="I432" s="84" t="inlineStr">
        <is>
          <t>dark room, single dot of light</t>
        </is>
      </c>
      <c r="J432" s="84" t="inlineStr">
        <is>
          <t>Sherif 1935 autokinetic effect: group estimates converged</t>
        </is>
      </c>
    </row>
    <row r="433" ht="15" customHeight="1" s="62">
      <c r="A433" s="83" t="n">
        <v>62</v>
      </c>
      <c r="B433" s="84" t="inlineStr">
        <is>
          <t>Informational social influence</t>
        </is>
      </c>
      <c r="C433" s="83" t="inlineStr">
        <is>
          <t>Scheduled</t>
        </is>
      </c>
      <c r="D433" s="83" t="inlineStr">
        <is>
          <t>Study reveal</t>
        </is>
      </c>
      <c r="E433" s="83" t="inlineStr">
        <is>
          <t>I · Setup</t>
        </is>
      </c>
      <c r="F433" s="83" t="inlineStr">
        <is>
          <t>Setup</t>
        </is>
      </c>
      <c r="G433" s="83" t="inlineStr">
        <is>
          <t>3–8s</t>
        </is>
      </c>
      <c r="H433" s="84" t="inlineStr">
        <is>
          <t>In 1935, Muzafer Sherif showed people a still dot of light in darkness.</t>
        </is>
      </c>
      <c r="I433" s="84" t="inlineStr">
        <is>
          <t>SHERIF, 1935</t>
        </is>
      </c>
      <c r="J433" s="84" t="n"/>
    </row>
    <row r="434" ht="15" customHeight="1" s="62">
      <c r="A434" s="83" t="n">
        <v>62</v>
      </c>
      <c r="B434" s="84" t="inlineStr">
        <is>
          <t>Informational social influence</t>
        </is>
      </c>
      <c r="C434" s="83" t="inlineStr">
        <is>
          <t>Scheduled</t>
        </is>
      </c>
      <c r="D434" s="83" t="inlineStr">
        <is>
          <t>Study reveal</t>
        </is>
      </c>
      <c r="E434" s="83" t="inlineStr">
        <is>
          <t>II · Confrontation</t>
        </is>
      </c>
      <c r="F434" s="83" t="inlineStr">
        <is>
          <t>Evidence</t>
        </is>
      </c>
      <c r="G434" s="83" t="inlineStr">
        <is>
          <t>8–15s</t>
        </is>
      </c>
      <c r="H434" s="84" t="inlineStr">
        <is>
          <t>It looks like it moves, but it doesn't. People guessed how far.</t>
        </is>
      </c>
      <c r="I434" s="84" t="inlineStr">
        <is>
          <t>'IT MOVED 4 INCHES'</t>
        </is>
      </c>
      <c r="J434" s="84" t="n"/>
    </row>
    <row r="435" ht="15" customHeight="1" s="62">
      <c r="A435" s="83" t="n">
        <v>62</v>
      </c>
      <c r="B435" s="84" t="inlineStr">
        <is>
          <t>Informational social influence</t>
        </is>
      </c>
      <c r="C435" s="83" t="inlineStr">
        <is>
          <t>Scheduled</t>
        </is>
      </c>
      <c r="D435" s="83" t="inlineStr">
        <is>
          <t>Study reveal</t>
        </is>
      </c>
      <c r="E435" s="83" t="inlineStr">
        <is>
          <t>II · Confrontation</t>
        </is>
      </c>
      <c r="F435" s="83" t="inlineStr">
        <is>
          <t>Escalation</t>
        </is>
      </c>
      <c r="G435" s="83" t="inlineStr">
        <is>
          <t>15–22s</t>
        </is>
      </c>
      <c r="H435" s="84" t="inlineStr">
        <is>
          <t>In groups, their guesses slowly merged into one shared answer.</t>
        </is>
      </c>
      <c r="I435" s="84" t="inlineStr">
        <is>
          <t>guesses converge →•←</t>
        </is>
      </c>
      <c r="J435" s="84" t="n"/>
    </row>
    <row r="436" ht="23.85" customHeight="1" s="62">
      <c r="A436" s="83" t="n">
        <v>62</v>
      </c>
      <c r="B436" s="84" t="inlineStr">
        <is>
          <t>Informational social influence</t>
        </is>
      </c>
      <c r="C436" s="83" t="inlineStr">
        <is>
          <t>Scheduled</t>
        </is>
      </c>
      <c r="D436" s="83" t="inlineStr">
        <is>
          <t>Study reveal</t>
        </is>
      </c>
      <c r="E436" s="83" t="inlineStr">
        <is>
          <t>II · Confrontation</t>
        </is>
      </c>
      <c r="F436" s="83" t="inlineStr">
        <is>
          <t>Turn</t>
        </is>
      </c>
      <c r="G436" s="83" t="inlineStr">
        <is>
          <t>22–26s</t>
        </is>
      </c>
      <c r="H436" s="84" t="inlineStr">
        <is>
          <t>But nobody was pressured. They were just uncertain, so they used each other.</t>
        </is>
      </c>
      <c r="I436" s="84" t="inlineStr">
        <is>
          <t>UNCERTAIN → COPY</t>
        </is>
      </c>
      <c r="J436" s="84" t="n"/>
    </row>
    <row r="437" ht="15" customHeight="1" s="62">
      <c r="A437" s="83" t="n">
        <v>62</v>
      </c>
      <c r="B437" s="84" t="inlineStr">
        <is>
          <t>Informational social influence</t>
        </is>
      </c>
      <c r="C437" s="83" t="inlineStr">
        <is>
          <t>Scheduled</t>
        </is>
      </c>
      <c r="D437" s="83" t="inlineStr">
        <is>
          <t>Study reveal</t>
        </is>
      </c>
      <c r="E437" s="83" t="inlineStr">
        <is>
          <t>III · Resolution</t>
        </is>
      </c>
      <c r="F437" s="83" t="inlineStr">
        <is>
          <t>Payoff</t>
        </is>
      </c>
      <c r="G437" s="83" t="inlineStr">
        <is>
          <t>26–32s</t>
        </is>
      </c>
      <c r="H437" s="84" t="inlineStr">
        <is>
          <t>That's informational social influence.</t>
        </is>
      </c>
      <c r="I437" s="84" t="inlineStr">
        <is>
          <t>INFORMATIONAL INFLUENCE</t>
        </is>
      </c>
      <c r="J437" s="84" t="n"/>
    </row>
    <row r="438" ht="23.85" customHeight="1" s="62">
      <c r="A438" s="86" t="n">
        <v>62</v>
      </c>
      <c r="B438" s="87" t="inlineStr">
        <is>
          <t>Informational social influence</t>
        </is>
      </c>
      <c r="C438" s="86" t="inlineStr">
        <is>
          <t>Scheduled</t>
        </is>
      </c>
      <c r="D438" s="86" t="inlineStr">
        <is>
          <t>Study reveal</t>
        </is>
      </c>
      <c r="E438" s="86" t="inlineStr">
        <is>
          <t>III · Resolution</t>
        </is>
      </c>
      <c r="F438" s="86" t="inlineStr">
        <is>
          <t>Outro</t>
        </is>
      </c>
      <c r="G438" s="86" t="inlineStr">
        <is>
          <t>32–36s</t>
        </is>
      </c>
      <c r="H438" s="87" t="inlineStr">
        <is>
          <t>When you're copying the crowd, ask: do they know, or are they guessing too? Follow for more.</t>
        </is>
      </c>
      <c r="I438" s="87" t="inlineStr">
        <is>
          <t>DO THEY KNOW?</t>
        </is>
      </c>
      <c r="J438" s="87" t="n"/>
    </row>
    <row r="439" ht="23.85" customHeight="1" s="62">
      <c r="A439" s="78" t="n">
        <v>63</v>
      </c>
      <c r="B439" s="79" t="inlineStr">
        <is>
          <t>Normative social influence</t>
        </is>
      </c>
      <c r="C439" s="78" t="inlineStr">
        <is>
          <t>Scheduled</t>
        </is>
      </c>
      <c r="D439" s="78" t="inlineStr">
        <is>
          <t>You-callout</t>
        </is>
      </c>
      <c r="E439" s="78" t="inlineStr">
        <is>
          <t>I · Setup</t>
        </is>
      </c>
      <c r="F439" s="78" t="inlineStr">
        <is>
          <t>Hook</t>
        </is>
      </c>
      <c r="G439" s="78" t="inlineStr">
        <is>
          <t>0–3s</t>
        </is>
      </c>
      <c r="H439" s="80" t="inlineStr">
        <is>
          <t>You've agreed with something just to avoid the awkward silence.</t>
        </is>
      </c>
      <c r="I439" s="79" t="inlineStr">
        <is>
          <t>'yeah... totally' 😬</t>
        </is>
      </c>
      <c r="J439" s="79" t="inlineStr">
        <is>
          <t>Asch variation: conformity dropped when answers were written privately</t>
        </is>
      </c>
    </row>
    <row r="440" ht="23.85" customHeight="1" s="62">
      <c r="A440" s="78" t="n">
        <v>63</v>
      </c>
      <c r="B440" s="79" t="inlineStr">
        <is>
          <t>Normative social influence</t>
        </is>
      </c>
      <c r="C440" s="78" t="inlineStr">
        <is>
          <t>Scheduled</t>
        </is>
      </c>
      <c r="D440" s="78" t="inlineStr">
        <is>
          <t>You-callout</t>
        </is>
      </c>
      <c r="E440" s="78" t="inlineStr">
        <is>
          <t>I · Setup</t>
        </is>
      </c>
      <c r="F440" s="78" t="inlineStr">
        <is>
          <t>Setup</t>
        </is>
      </c>
      <c r="G440" s="78" t="inlineStr">
        <is>
          <t>3–8s</t>
        </is>
      </c>
      <c r="H440" s="79" t="inlineStr">
        <is>
          <t>In Solomon Asch's line studies, people went along with obviously wrong answers.</t>
        </is>
      </c>
      <c r="I440" s="79" t="inlineStr">
        <is>
          <t>ASCH | LINE TEST</t>
        </is>
      </c>
      <c r="J440" s="79" t="n"/>
    </row>
    <row r="441" ht="23.85" customHeight="1" s="62">
      <c r="A441" s="78" t="n">
        <v>63</v>
      </c>
      <c r="B441" s="79" t="inlineStr">
        <is>
          <t>Normative social influence</t>
        </is>
      </c>
      <c r="C441" s="78" t="inlineStr">
        <is>
          <t>Scheduled</t>
        </is>
      </c>
      <c r="D441" s="78" t="inlineStr">
        <is>
          <t>You-callout</t>
        </is>
      </c>
      <c r="E441" s="78" t="inlineStr">
        <is>
          <t>II · Confrontation</t>
        </is>
      </c>
      <c r="F441" s="78" t="inlineStr">
        <is>
          <t>Evidence</t>
        </is>
      </c>
      <c r="G441" s="78" t="inlineStr">
        <is>
          <t>8–15s</t>
        </is>
      </c>
      <c r="H441" s="79" t="inlineStr">
        <is>
          <t>But in a variation where they wrote their answer privately, conformity dropped a lot.</t>
        </is>
      </c>
      <c r="I441" s="79" t="inlineStr">
        <is>
          <t>PUBLIC ⬆ | PRIVATE ⬇</t>
        </is>
      </c>
      <c r="J441" s="79" t="n"/>
    </row>
    <row r="442" ht="15" customHeight="1" s="62">
      <c r="A442" s="78" t="n">
        <v>63</v>
      </c>
      <c r="B442" s="79" t="inlineStr">
        <is>
          <t>Normative social influence</t>
        </is>
      </c>
      <c r="C442" s="78" t="inlineStr">
        <is>
          <t>Scheduled</t>
        </is>
      </c>
      <c r="D442" s="78" t="inlineStr">
        <is>
          <t>You-callout</t>
        </is>
      </c>
      <c r="E442" s="78" t="inlineStr">
        <is>
          <t>II · Confrontation</t>
        </is>
      </c>
      <c r="F442" s="78" t="inlineStr">
        <is>
          <t>Escalation</t>
        </is>
      </c>
      <c r="G442" s="78" t="inlineStr">
        <is>
          <t>15–22s</t>
        </is>
      </c>
      <c r="H442" s="79" t="inlineStr">
        <is>
          <t>They knew the right answer. They just didn't want to stand out.</t>
        </is>
      </c>
      <c r="I442" s="79" t="inlineStr">
        <is>
          <t>KNEW IT. DIDN'T SAY IT.</t>
        </is>
      </c>
      <c r="J442" s="79" t="n"/>
    </row>
    <row r="443" ht="15" customHeight="1" s="62">
      <c r="A443" s="78" t="n">
        <v>63</v>
      </c>
      <c r="B443" s="79" t="inlineStr">
        <is>
          <t>Normative social influence</t>
        </is>
      </c>
      <c r="C443" s="78" t="inlineStr">
        <is>
          <t>Scheduled</t>
        </is>
      </c>
      <c r="D443" s="78" t="inlineStr">
        <is>
          <t>You-callout</t>
        </is>
      </c>
      <c r="E443" s="78" t="inlineStr">
        <is>
          <t>II · Confrontation</t>
        </is>
      </c>
      <c r="F443" s="78" t="inlineStr">
        <is>
          <t>Turn</t>
        </is>
      </c>
      <c r="G443" s="78" t="inlineStr">
        <is>
          <t>22–26s</t>
        </is>
      </c>
      <c r="H443" s="79" t="inlineStr">
        <is>
          <t>That's the difference: changing what you say, not what you believe.</t>
        </is>
      </c>
      <c r="I443" s="79" t="inlineStr">
        <is>
          <t>SAY ≠ BELIEVE</t>
        </is>
      </c>
      <c r="J443" s="79" t="n"/>
    </row>
    <row r="444" ht="15" customHeight="1" s="62">
      <c r="A444" s="78" t="n">
        <v>63</v>
      </c>
      <c r="B444" s="79" t="inlineStr">
        <is>
          <t>Normative social influence</t>
        </is>
      </c>
      <c r="C444" s="78" t="inlineStr">
        <is>
          <t>Scheduled</t>
        </is>
      </c>
      <c r="D444" s="78" t="inlineStr">
        <is>
          <t>You-callout</t>
        </is>
      </c>
      <c r="E444" s="78" t="inlineStr">
        <is>
          <t>III · Resolution</t>
        </is>
      </c>
      <c r="F444" s="78" t="inlineStr">
        <is>
          <t>Payoff</t>
        </is>
      </c>
      <c r="G444" s="78" t="inlineStr">
        <is>
          <t>26–32s</t>
        </is>
      </c>
      <c r="H444" s="79" t="inlineStr">
        <is>
          <t>Normative social influence.</t>
        </is>
      </c>
      <c r="I444" s="79" t="inlineStr">
        <is>
          <t>NORMATIVE INFLUENCE</t>
        </is>
      </c>
      <c r="J444" s="79" t="n"/>
    </row>
    <row r="445" ht="23.85" customHeight="1" s="62">
      <c r="A445" s="81" t="n">
        <v>63</v>
      </c>
      <c r="B445" s="82" t="inlineStr">
        <is>
          <t>Normative social influence</t>
        </is>
      </c>
      <c r="C445" s="81" t="inlineStr">
        <is>
          <t>Scheduled</t>
        </is>
      </c>
      <c r="D445" s="81" t="inlineStr">
        <is>
          <t>You-callout</t>
        </is>
      </c>
      <c r="E445" s="81" t="inlineStr">
        <is>
          <t>III · Resolution</t>
        </is>
      </c>
      <c r="F445" s="81" t="inlineStr">
        <is>
          <t>Outro</t>
        </is>
      </c>
      <c r="G445" s="81" t="inlineStr">
        <is>
          <t>32–36s</t>
        </is>
      </c>
      <c r="H445" s="82" t="inlineStr">
        <is>
          <t>Notice when you nod along just to fit in, and try one honest 'I see it differently'. Follow for more.</t>
        </is>
      </c>
      <c r="I445" s="82" t="inlineStr">
        <is>
          <t>'I SEE IT DIFFERENTLY'</t>
        </is>
      </c>
      <c r="J445" s="82" t="n"/>
    </row>
    <row r="446" ht="23.85" customHeight="1" s="62">
      <c r="A446" s="83" t="n">
        <v>64</v>
      </c>
      <c r="B446" s="84" t="inlineStr">
        <is>
          <t>Social proof</t>
        </is>
      </c>
      <c r="C446" s="83" t="inlineStr">
        <is>
          <t>Scripted</t>
        </is>
      </c>
      <c r="D446" s="83" t="inlineStr">
        <is>
          <t>Study reveal</t>
        </is>
      </c>
      <c r="E446" s="83" t="inlineStr">
        <is>
          <t>I · Setup</t>
        </is>
      </c>
      <c r="F446" s="83" t="inlineStr">
        <is>
          <t>Hook</t>
        </is>
      </c>
      <c r="G446" s="83" t="inlineStr">
        <is>
          <t>0–3s</t>
        </is>
      </c>
      <c r="H446" s="85" t="inlineStr">
        <is>
          <t>Fifteen strangers stared at an empty window. Most of the street joined them.</t>
        </is>
      </c>
      <c r="I446" s="84" t="inlineStr">
        <is>
          <t>15 people looking up ⬆</t>
        </is>
      </c>
      <c r="J446" s="84" t="inlineStr">
        <is>
          <t>Milgram, Bickman &amp; Berkowitz 1969: 1 looking up → ~42% copied; 15 → ~86%</t>
        </is>
      </c>
    </row>
    <row r="447" ht="23.85" customHeight="1" s="62">
      <c r="A447" s="83" t="n">
        <v>64</v>
      </c>
      <c r="B447" s="84" t="inlineStr">
        <is>
          <t>Social proof</t>
        </is>
      </c>
      <c r="C447" s="83" t="inlineStr">
        <is>
          <t>Scripted</t>
        </is>
      </c>
      <c r="D447" s="83" t="inlineStr">
        <is>
          <t>Study reveal</t>
        </is>
      </c>
      <c r="E447" s="83" t="inlineStr">
        <is>
          <t>I · Setup</t>
        </is>
      </c>
      <c r="F447" s="83" t="inlineStr">
        <is>
          <t>Setup</t>
        </is>
      </c>
      <c r="G447" s="83" t="inlineStr">
        <is>
          <t>3–8s</t>
        </is>
      </c>
      <c r="H447" s="84" t="inlineStr">
        <is>
          <t>In 1969, Stanley Milgram had actors stop on a New York street and look up.</t>
        </is>
      </c>
      <c r="I447" s="84" t="inlineStr">
        <is>
          <t>MILGRAM ET AL., 1969</t>
        </is>
      </c>
      <c r="J447" s="84" t="n"/>
    </row>
    <row r="448" ht="15" customHeight="1" s="62">
      <c r="A448" s="83" t="n">
        <v>64</v>
      </c>
      <c r="B448" s="84" t="inlineStr">
        <is>
          <t>Social proof</t>
        </is>
      </c>
      <c r="C448" s="83" t="inlineStr">
        <is>
          <t>Scripted</t>
        </is>
      </c>
      <c r="D448" s="83" t="inlineStr">
        <is>
          <t>Study reveal</t>
        </is>
      </c>
      <c r="E448" s="83" t="inlineStr">
        <is>
          <t>II · Confrontation</t>
        </is>
      </c>
      <c r="F448" s="83" t="inlineStr">
        <is>
          <t>Evidence</t>
        </is>
      </c>
      <c r="G448" s="83" t="inlineStr">
        <is>
          <t>8–15s</t>
        </is>
      </c>
      <c r="H448" s="84" t="inlineStr">
        <is>
          <t>With one actor, about 42 percent of passersby looked up too.</t>
        </is>
      </c>
      <c r="I448" s="84" t="inlineStr">
        <is>
          <t>1 ACTOR → 42%</t>
        </is>
      </c>
      <c r="J448" s="84" t="n"/>
    </row>
    <row r="449" ht="15" customHeight="1" s="62">
      <c r="A449" s="83" t="n">
        <v>64</v>
      </c>
      <c r="B449" s="84" t="inlineStr">
        <is>
          <t>Social proof</t>
        </is>
      </c>
      <c r="C449" s="83" t="inlineStr">
        <is>
          <t>Scripted</t>
        </is>
      </c>
      <c r="D449" s="83" t="inlineStr">
        <is>
          <t>Study reveal</t>
        </is>
      </c>
      <c r="E449" s="83" t="inlineStr">
        <is>
          <t>II · Confrontation</t>
        </is>
      </c>
      <c r="F449" s="83" t="inlineStr">
        <is>
          <t>Escalation</t>
        </is>
      </c>
      <c r="G449" s="83" t="inlineStr">
        <is>
          <t>15–22s</t>
        </is>
      </c>
      <c r="H449" s="84" t="inlineStr">
        <is>
          <t>With fifteen, about 86 percent did.</t>
        </is>
      </c>
      <c r="I449" s="84" t="inlineStr">
        <is>
          <t>15 ACTORS → 86%</t>
        </is>
      </c>
      <c r="J449" s="84" t="n"/>
    </row>
    <row r="450" ht="15" customHeight="1" s="62">
      <c r="A450" s="83" t="n">
        <v>64</v>
      </c>
      <c r="B450" s="84" t="inlineStr">
        <is>
          <t>Social proof</t>
        </is>
      </c>
      <c r="C450" s="83" t="inlineStr">
        <is>
          <t>Scripted</t>
        </is>
      </c>
      <c r="D450" s="83" t="inlineStr">
        <is>
          <t>Study reveal</t>
        </is>
      </c>
      <c r="E450" s="83" t="inlineStr">
        <is>
          <t>II · Confrontation</t>
        </is>
      </c>
      <c r="F450" s="83" t="inlineStr">
        <is>
          <t>Turn</t>
        </is>
      </c>
      <c r="G450" s="83" t="inlineStr">
        <is>
          <t>22–26s</t>
        </is>
      </c>
      <c r="H450" s="84" t="inlineStr">
        <is>
          <t>But there was nothing there. The crowd was the only evidence.</t>
        </is>
      </c>
      <c r="I450" s="84" t="inlineStr">
        <is>
          <t>NOTHING THERE</t>
        </is>
      </c>
      <c r="J450" s="84" t="n"/>
    </row>
    <row r="451" ht="15" customHeight="1" s="62">
      <c r="A451" s="83" t="n">
        <v>64</v>
      </c>
      <c r="B451" s="84" t="inlineStr">
        <is>
          <t>Social proof</t>
        </is>
      </c>
      <c r="C451" s="83" t="inlineStr">
        <is>
          <t>Scripted</t>
        </is>
      </c>
      <c r="D451" s="83" t="inlineStr">
        <is>
          <t>Study reveal</t>
        </is>
      </c>
      <c r="E451" s="83" t="inlineStr">
        <is>
          <t>III · Resolution</t>
        </is>
      </c>
      <c r="F451" s="83" t="inlineStr">
        <is>
          <t>Payoff</t>
        </is>
      </c>
      <c r="G451" s="83" t="inlineStr">
        <is>
          <t>26–32s</t>
        </is>
      </c>
      <c r="H451" s="84" t="inlineStr">
        <is>
          <t>That's social proof. And a long line isn't proof the food is better.</t>
        </is>
      </c>
      <c r="I451" s="84" t="inlineStr">
        <is>
          <t>SOCIAL PROOF | two queues</t>
        </is>
      </c>
      <c r="J451" s="84" t="n"/>
    </row>
    <row r="452" ht="23.85" customHeight="1" s="62">
      <c r="A452" s="86" t="n">
        <v>64</v>
      </c>
      <c r="B452" s="87" t="inlineStr">
        <is>
          <t>Social proof</t>
        </is>
      </c>
      <c r="C452" s="86" t="inlineStr">
        <is>
          <t>Scripted</t>
        </is>
      </c>
      <c r="D452" s="86" t="inlineStr">
        <is>
          <t>Study reveal</t>
        </is>
      </c>
      <c r="E452" s="86" t="inlineStr">
        <is>
          <t>III · Resolution</t>
        </is>
      </c>
      <c r="F452" s="86" t="inlineStr">
        <is>
          <t>Outro</t>
        </is>
      </c>
      <c r="G452" s="86" t="inlineStr">
        <is>
          <t>32–36s</t>
        </is>
      </c>
      <c r="H452" s="87" t="inlineStr">
        <is>
          <t>Next time you join a queue, ask what you actually know. Follow, tomorrow it's about reviews.</t>
        </is>
      </c>
      <c r="I452" s="87" t="inlineStr">
        <is>
          <t>WHAT DO YOU KNOW?</t>
        </is>
      </c>
      <c r="J452" s="87" t="n"/>
    </row>
    <row r="453" ht="23.85" customHeight="1" s="62">
      <c r="A453" s="78" t="n">
        <v>65</v>
      </c>
      <c r="B453" s="79" t="inlineStr">
        <is>
          <t>The bystander effect</t>
        </is>
      </c>
      <c r="C453" s="78" t="inlineStr">
        <is>
          <t>Scripted</t>
        </is>
      </c>
      <c r="D453" s="78" t="inlineStr">
        <is>
          <t>Study reveal</t>
        </is>
      </c>
      <c r="E453" s="78" t="inlineStr">
        <is>
          <t>I · Setup</t>
        </is>
      </c>
      <c r="F453" s="78" t="inlineStr">
        <is>
          <t>Hook</t>
        </is>
      </c>
      <c r="G453" s="78" t="inlineStr">
        <is>
          <t>0–3s</t>
        </is>
      </c>
      <c r="H453" s="80" t="inlineStr">
        <is>
          <t>If you need help, a crowd can be the worst place to be.</t>
        </is>
      </c>
      <c r="I453" s="79" t="inlineStr">
        <is>
          <t>CROWD ≠ HELP</t>
        </is>
      </c>
      <c r="J453" s="79" t="inlineStr">
        <is>
          <t>Darley &amp; Latané 1968: alone 85% helped; with 4 others ~31%</t>
        </is>
      </c>
    </row>
    <row r="454" ht="15" customHeight="1" s="62">
      <c r="A454" s="78" t="n">
        <v>65</v>
      </c>
      <c r="B454" s="79" t="inlineStr">
        <is>
          <t>The bystander effect</t>
        </is>
      </c>
      <c r="C454" s="78" t="inlineStr">
        <is>
          <t>Scripted</t>
        </is>
      </c>
      <c r="D454" s="78" t="inlineStr">
        <is>
          <t>Study reveal</t>
        </is>
      </c>
      <c r="E454" s="78" t="inlineStr">
        <is>
          <t>I · Setup</t>
        </is>
      </c>
      <c r="F454" s="78" t="inlineStr">
        <is>
          <t>Setup</t>
        </is>
      </c>
      <c r="G454" s="78" t="inlineStr">
        <is>
          <t>3–8s</t>
        </is>
      </c>
      <c r="H454" s="79" t="inlineStr">
        <is>
          <t>In 1968, John Darley and Bibb Latané staged a seizure over an intercom.</t>
        </is>
      </c>
      <c r="I454" s="79" t="inlineStr">
        <is>
          <t>DARLEY &amp; LATANÉ, 1968</t>
        </is>
      </c>
      <c r="J454" s="79" t="n"/>
    </row>
    <row r="455" ht="15" customHeight="1" s="62">
      <c r="A455" s="78" t="n">
        <v>65</v>
      </c>
      <c r="B455" s="79" t="inlineStr">
        <is>
          <t>The bystander effect</t>
        </is>
      </c>
      <c r="C455" s="78" t="inlineStr">
        <is>
          <t>Scripted</t>
        </is>
      </c>
      <c r="D455" s="78" t="inlineStr">
        <is>
          <t>Study reveal</t>
        </is>
      </c>
      <c r="E455" s="78" t="inlineStr">
        <is>
          <t>II · Confrontation</t>
        </is>
      </c>
      <c r="F455" s="78" t="inlineStr">
        <is>
          <t>Evidence</t>
        </is>
      </c>
      <c r="G455" s="78" t="inlineStr">
        <is>
          <t>8–15s</t>
        </is>
      </c>
      <c r="H455" s="79" t="inlineStr">
        <is>
          <t>When people thought they were alone, 85 percent rushed to help.</t>
        </is>
      </c>
      <c r="I455" s="79" t="inlineStr">
        <is>
          <t>ALONE → 85%</t>
        </is>
      </c>
      <c r="J455" s="79" t="n"/>
    </row>
    <row r="456" ht="15" customHeight="1" s="62">
      <c r="A456" s="78" t="n">
        <v>65</v>
      </c>
      <c r="B456" s="79" t="inlineStr">
        <is>
          <t>The bystander effect</t>
        </is>
      </c>
      <c r="C456" s="78" t="inlineStr">
        <is>
          <t>Scripted</t>
        </is>
      </c>
      <c r="D456" s="78" t="inlineStr">
        <is>
          <t>Study reveal</t>
        </is>
      </c>
      <c r="E456" s="78" t="inlineStr">
        <is>
          <t>II · Confrontation</t>
        </is>
      </c>
      <c r="F456" s="78" t="inlineStr">
        <is>
          <t>Escalation</t>
        </is>
      </c>
      <c r="G456" s="78" t="inlineStr">
        <is>
          <t>15–22s</t>
        </is>
      </c>
      <c r="H456" s="79" t="inlineStr">
        <is>
          <t>When they thought four others could hear, only 31 percent did.</t>
        </is>
      </c>
      <c r="I456" s="79" t="inlineStr">
        <is>
          <t>+4 OTHERS → 31%</t>
        </is>
      </c>
      <c r="J456" s="79" t="n"/>
    </row>
    <row r="457" ht="15" customHeight="1" s="62">
      <c r="A457" s="78" t="n">
        <v>65</v>
      </c>
      <c r="B457" s="79" t="inlineStr">
        <is>
          <t>The bystander effect</t>
        </is>
      </c>
      <c r="C457" s="78" t="inlineStr">
        <is>
          <t>Scripted</t>
        </is>
      </c>
      <c r="D457" s="78" t="inlineStr">
        <is>
          <t>Study reveal</t>
        </is>
      </c>
      <c r="E457" s="78" t="inlineStr">
        <is>
          <t>II · Confrontation</t>
        </is>
      </c>
      <c r="F457" s="78" t="inlineStr">
        <is>
          <t>Turn</t>
        </is>
      </c>
      <c r="G457" s="78" t="inlineStr">
        <is>
          <t>22–26s</t>
        </is>
      </c>
      <c r="H457" s="79" t="inlineStr">
        <is>
          <t>But nobody was cruel. Everyone assumed someone else would act.</t>
        </is>
      </c>
      <c r="I457" s="79" t="inlineStr">
        <is>
          <t>'SOMEONE ELSE WILL'</t>
        </is>
      </c>
      <c r="J457" s="79" t="n"/>
    </row>
    <row r="458" ht="15" customHeight="1" s="62">
      <c r="A458" s="78" t="n">
        <v>65</v>
      </c>
      <c r="B458" s="79" t="inlineStr">
        <is>
          <t>The bystander effect</t>
        </is>
      </c>
      <c r="C458" s="78" t="inlineStr">
        <is>
          <t>Scripted</t>
        </is>
      </c>
      <c r="D458" s="78" t="inlineStr">
        <is>
          <t>Study reveal</t>
        </is>
      </c>
      <c r="E458" s="78" t="inlineStr">
        <is>
          <t>III · Resolution</t>
        </is>
      </c>
      <c r="F458" s="78" t="inlineStr">
        <is>
          <t>Payoff</t>
        </is>
      </c>
      <c r="G458" s="78" t="inlineStr">
        <is>
          <t>26–32s</t>
        </is>
      </c>
      <c r="H458" s="79" t="inlineStr">
        <is>
          <t>It's the bystander effect.</t>
        </is>
      </c>
      <c r="I458" s="79" t="inlineStr">
        <is>
          <t>THE BYSTANDER EFFECT</t>
        </is>
      </c>
      <c r="J458" s="79" t="n"/>
    </row>
    <row r="459" ht="23.85" customHeight="1" s="62">
      <c r="A459" s="81" t="n">
        <v>65</v>
      </c>
      <c r="B459" s="82" t="inlineStr">
        <is>
          <t>The bystander effect</t>
        </is>
      </c>
      <c r="C459" s="81" t="inlineStr">
        <is>
          <t>Scripted</t>
        </is>
      </c>
      <c r="D459" s="81" t="inlineStr">
        <is>
          <t>Study reveal</t>
        </is>
      </c>
      <c r="E459" s="81" t="inlineStr">
        <is>
          <t>III · Resolution</t>
        </is>
      </c>
      <c r="F459" s="81" t="inlineStr">
        <is>
          <t>Outro</t>
        </is>
      </c>
      <c r="G459" s="81" t="inlineStr">
        <is>
          <t>32–36s</t>
        </is>
      </c>
      <c r="H459" s="82" t="inlineStr">
        <is>
          <t>If you need help, point at one person: 'You in the blue jacket, call 911.' Save this. It could matter.</t>
        </is>
      </c>
      <c r="I459" s="82" t="inlineStr">
        <is>
          <t>POINT AT ONE PERSON</t>
        </is>
      </c>
      <c r="J459" s="82" t="n"/>
    </row>
    <row r="460" ht="35.05" customHeight="1" s="62">
      <c r="A460" s="83" t="n">
        <v>66</v>
      </c>
      <c r="B460" s="84" t="inlineStr">
        <is>
          <t>Social loafing</t>
        </is>
      </c>
      <c r="C460" s="83" t="inlineStr">
        <is>
          <t>Scripted</t>
        </is>
      </c>
      <c r="D460" s="83" t="inlineStr">
        <is>
          <t>Study reveal</t>
        </is>
      </c>
      <c r="E460" s="83" t="inlineStr">
        <is>
          <t>I · Setup</t>
        </is>
      </c>
      <c r="F460" s="83" t="inlineStr">
        <is>
          <t>Hook</t>
        </is>
      </c>
      <c r="G460" s="83" t="inlineStr">
        <is>
          <t>0–3s</t>
        </is>
      </c>
      <c r="H460" s="85" t="inlineStr">
        <is>
          <t>The more people pulling the rope, the less each person pulled.</t>
        </is>
      </c>
      <c r="I460" s="84" t="inlineStr">
        <is>
          <t>🪢 more people, less effort</t>
        </is>
      </c>
      <c r="J460" s="84" t="inlineStr">
        <is>
          <t>Latané, Williams &amp; Harkins 1979: individual noise effort dropped in groups; Ringelmann rope-pulling</t>
        </is>
      </c>
    </row>
    <row r="461" ht="23.85" customHeight="1" s="62">
      <c r="A461" s="83" t="n">
        <v>66</v>
      </c>
      <c r="B461" s="84" t="inlineStr">
        <is>
          <t>Social loafing</t>
        </is>
      </c>
      <c r="C461" s="83" t="inlineStr">
        <is>
          <t>Scripted</t>
        </is>
      </c>
      <c r="D461" s="83" t="inlineStr">
        <is>
          <t>Study reveal</t>
        </is>
      </c>
      <c r="E461" s="83" t="inlineStr">
        <is>
          <t>I · Setup</t>
        </is>
      </c>
      <c r="F461" s="83" t="inlineStr">
        <is>
          <t>Setup</t>
        </is>
      </c>
      <c r="G461" s="83" t="inlineStr">
        <is>
          <t>3–8s</t>
        </is>
      </c>
      <c r="H461" s="84" t="inlineStr">
        <is>
          <t>Over a century ago, engineer Max Ringelmann measured people pulling a rope.</t>
        </is>
      </c>
      <c r="I461" s="84" t="inlineStr">
        <is>
          <t>RINGELMANN | rope pull</t>
        </is>
      </c>
      <c r="J461" s="84" t="n"/>
    </row>
    <row r="462" ht="15" customHeight="1" s="62">
      <c r="A462" s="83" t="n">
        <v>66</v>
      </c>
      <c r="B462" s="84" t="inlineStr">
        <is>
          <t>Social loafing</t>
        </is>
      </c>
      <c r="C462" s="83" t="inlineStr">
        <is>
          <t>Scripted</t>
        </is>
      </c>
      <c r="D462" s="83" t="inlineStr">
        <is>
          <t>Study reveal</t>
        </is>
      </c>
      <c r="E462" s="83" t="inlineStr">
        <is>
          <t>II · Confrontation</t>
        </is>
      </c>
      <c r="F462" s="83" t="inlineStr">
        <is>
          <t>Evidence</t>
        </is>
      </c>
      <c r="G462" s="83" t="inlineStr">
        <is>
          <t>8–15s</t>
        </is>
      </c>
      <c r="H462" s="84" t="inlineStr">
        <is>
          <t>Groups pulled less than the sum of their individuals.</t>
        </is>
      </c>
      <c r="I462" s="84" t="inlineStr">
        <is>
          <t>GROUP &lt; SUM</t>
        </is>
      </c>
      <c r="J462" s="84" t="n"/>
    </row>
    <row r="463" ht="23.85" customHeight="1" s="62">
      <c r="A463" s="83" t="n">
        <v>66</v>
      </c>
      <c r="B463" s="84" t="inlineStr">
        <is>
          <t>Social loafing</t>
        </is>
      </c>
      <c r="C463" s="83" t="inlineStr">
        <is>
          <t>Scripted</t>
        </is>
      </c>
      <c r="D463" s="83" t="inlineStr">
        <is>
          <t>Study reveal</t>
        </is>
      </c>
      <c r="E463" s="83" t="inlineStr">
        <is>
          <t>II · Confrontation</t>
        </is>
      </c>
      <c r="F463" s="83" t="inlineStr">
        <is>
          <t>Escalation</t>
        </is>
      </c>
      <c r="G463" s="83" t="inlineStr">
        <is>
          <t>15–22s</t>
        </is>
      </c>
      <c r="H463" s="84" t="inlineStr">
        <is>
          <t>In 1979, Bibb Latané found people even clapped and shouted less in groups.</t>
        </is>
      </c>
      <c r="I463" s="84" t="inlineStr">
        <is>
          <t>LATANÉ ET AL., 1979 | 👏 ⬇</t>
        </is>
      </c>
      <c r="J463" s="84" t="n"/>
    </row>
    <row r="464" ht="15" customHeight="1" s="62">
      <c r="A464" s="83" t="n">
        <v>66</v>
      </c>
      <c r="B464" s="84" t="inlineStr">
        <is>
          <t>Social loafing</t>
        </is>
      </c>
      <c r="C464" s="83" t="inlineStr">
        <is>
          <t>Scripted</t>
        </is>
      </c>
      <c r="D464" s="83" t="inlineStr">
        <is>
          <t>Study reveal</t>
        </is>
      </c>
      <c r="E464" s="83" t="inlineStr">
        <is>
          <t>II · Confrontation</t>
        </is>
      </c>
      <c r="F464" s="83" t="inlineStr">
        <is>
          <t>Turn</t>
        </is>
      </c>
      <c r="G464" s="83" t="inlineStr">
        <is>
          <t>22–26s</t>
        </is>
      </c>
      <c r="H464" s="84" t="inlineStr">
        <is>
          <t>But when each person's effort was visible, the slacking shrank.</t>
        </is>
      </c>
      <c r="I464" s="84" t="inlineStr">
        <is>
          <t>VISIBLE = EFFORT ⬆</t>
        </is>
      </c>
      <c r="J464" s="84" t="n"/>
    </row>
    <row r="465" ht="15" customHeight="1" s="62">
      <c r="A465" s="83" t="n">
        <v>66</v>
      </c>
      <c r="B465" s="84" t="inlineStr">
        <is>
          <t>Social loafing</t>
        </is>
      </c>
      <c r="C465" s="83" t="inlineStr">
        <is>
          <t>Scripted</t>
        </is>
      </c>
      <c r="D465" s="83" t="inlineStr">
        <is>
          <t>Study reveal</t>
        </is>
      </c>
      <c r="E465" s="83" t="inlineStr">
        <is>
          <t>III · Resolution</t>
        </is>
      </c>
      <c r="F465" s="83" t="inlineStr">
        <is>
          <t>Payoff</t>
        </is>
      </c>
      <c r="G465" s="83" t="inlineStr">
        <is>
          <t>26–32s</t>
        </is>
      </c>
      <c r="H465" s="84" t="inlineStr">
        <is>
          <t>It's social loafing.</t>
        </is>
      </c>
      <c r="I465" s="84" t="inlineStr">
        <is>
          <t>SOCIAL LOAFING</t>
        </is>
      </c>
      <c r="J465" s="84" t="n"/>
    </row>
    <row r="466" ht="23.85" customHeight="1" s="62">
      <c r="A466" s="86" t="n">
        <v>66</v>
      </c>
      <c r="B466" s="87" t="inlineStr">
        <is>
          <t>Social loafing</t>
        </is>
      </c>
      <c r="C466" s="86" t="inlineStr">
        <is>
          <t>Scripted</t>
        </is>
      </c>
      <c r="D466" s="86" t="inlineStr">
        <is>
          <t>Study reveal</t>
        </is>
      </c>
      <c r="E466" s="86" t="inlineStr">
        <is>
          <t>III · Resolution</t>
        </is>
      </c>
      <c r="F466" s="86" t="inlineStr">
        <is>
          <t>Outro</t>
        </is>
      </c>
      <c r="G466" s="86" t="inlineStr">
        <is>
          <t>32–36s</t>
        </is>
      </c>
      <c r="H466" s="87" t="inlineStr">
        <is>
          <t>In your next group project, give everyone a named task. Save this, and send it to your group.</t>
        </is>
      </c>
      <c r="I466" s="87" t="inlineStr">
        <is>
          <t>NAME EVERY TASK</t>
        </is>
      </c>
      <c r="J466" s="87" t="n"/>
    </row>
    <row r="467" ht="23.85" customHeight="1" s="62">
      <c r="A467" s="78" t="n">
        <v>67</v>
      </c>
      <c r="B467" s="79" t="inlineStr">
        <is>
          <t>In-group favoritism</t>
        </is>
      </c>
      <c r="C467" s="78" t="inlineStr">
        <is>
          <t>Idea</t>
        </is>
      </c>
      <c r="D467" s="78" t="inlineStr">
        <is>
          <t>Study reveal</t>
        </is>
      </c>
      <c r="E467" s="78" t="inlineStr">
        <is>
          <t>I · Setup</t>
        </is>
      </c>
      <c r="F467" s="78" t="inlineStr">
        <is>
          <t>Hook</t>
        </is>
      </c>
      <c r="G467" s="78" t="inlineStr">
        <is>
          <t>0–3s</t>
        </is>
      </c>
      <c r="H467" s="80" t="inlineStr">
        <is>
          <t>Boys favoured their 'team' based on a painting preference they'd never heard of before.</t>
        </is>
      </c>
      <c r="I467" s="79" t="inlineStr">
        <is>
          <t>KLEE 🎨 vs KANDINSKY 🎨</t>
        </is>
      </c>
      <c r="J467" s="79" t="inlineStr">
        <is>
          <t>Tajfel et al. 1971: minimal groups (Klee vs Kandinsky) still favoured in-group</t>
        </is>
      </c>
    </row>
    <row r="468" ht="15" customHeight="1" s="62">
      <c r="A468" s="78" t="n">
        <v>67</v>
      </c>
      <c r="B468" s="79" t="inlineStr">
        <is>
          <t>In-group favoritism</t>
        </is>
      </c>
      <c r="C468" s="78" t="inlineStr">
        <is>
          <t>Idea</t>
        </is>
      </c>
      <c r="D468" s="78" t="inlineStr">
        <is>
          <t>Study reveal</t>
        </is>
      </c>
      <c r="E468" s="78" t="inlineStr">
        <is>
          <t>I · Setup</t>
        </is>
      </c>
      <c r="F468" s="78" t="inlineStr">
        <is>
          <t>Setup</t>
        </is>
      </c>
      <c r="G468" s="78" t="inlineStr">
        <is>
          <t>3–8s</t>
        </is>
      </c>
      <c r="H468" s="79" t="inlineStr">
        <is>
          <t>In 1971, Henri Tajfel split schoolboys by which painter they preferred.</t>
        </is>
      </c>
      <c r="I468" s="79" t="inlineStr">
        <is>
          <t>TAJFEL, 1971</t>
        </is>
      </c>
      <c r="J468" s="79" t="n"/>
    </row>
    <row r="469" ht="15" customHeight="1" s="62">
      <c r="A469" s="78" t="n">
        <v>67</v>
      </c>
      <c r="B469" s="79" t="inlineStr">
        <is>
          <t>In-group favoritism</t>
        </is>
      </c>
      <c r="C469" s="78" t="inlineStr">
        <is>
          <t>Idea</t>
        </is>
      </c>
      <c r="D469" s="78" t="inlineStr">
        <is>
          <t>Study reveal</t>
        </is>
      </c>
      <c r="E469" s="78" t="inlineStr">
        <is>
          <t>II · Confrontation</t>
        </is>
      </c>
      <c r="F469" s="78" t="inlineStr">
        <is>
          <t>Evidence</t>
        </is>
      </c>
      <c r="G469" s="78" t="inlineStr">
        <is>
          <t>8–15s</t>
        </is>
      </c>
      <c r="H469" s="79" t="inlineStr">
        <is>
          <t>Then they shared out points between anonymous boys.</t>
        </is>
      </c>
      <c r="I469" s="79" t="inlineStr">
        <is>
          <t>points → anonymous boys</t>
        </is>
      </c>
      <c r="J469" s="79" t="n"/>
    </row>
    <row r="470" ht="23.85" customHeight="1" s="62">
      <c r="A470" s="78" t="n">
        <v>67</v>
      </c>
      <c r="B470" s="79" t="inlineStr">
        <is>
          <t>In-group favoritism</t>
        </is>
      </c>
      <c r="C470" s="78" t="inlineStr">
        <is>
          <t>Idea</t>
        </is>
      </c>
      <c r="D470" s="78" t="inlineStr">
        <is>
          <t>Study reveal</t>
        </is>
      </c>
      <c r="E470" s="78" t="inlineStr">
        <is>
          <t>II · Confrontation</t>
        </is>
      </c>
      <c r="F470" s="78" t="inlineStr">
        <is>
          <t>Escalation</t>
        </is>
      </c>
      <c r="G470" s="78" t="inlineStr">
        <is>
          <t>15–22s</t>
        </is>
      </c>
      <c r="H470" s="79" t="inlineStr">
        <is>
          <t>They gave more to their own group, even sacrificing total points to beat the other.</t>
        </is>
      </c>
      <c r="I470" s="79" t="inlineStr">
        <is>
          <t>WIN &gt; MORE</t>
        </is>
      </c>
      <c r="J470" s="79" t="n"/>
    </row>
    <row r="471" ht="15" customHeight="1" s="62">
      <c r="A471" s="78" t="n">
        <v>67</v>
      </c>
      <c r="B471" s="79" t="inlineStr">
        <is>
          <t>In-group favoritism</t>
        </is>
      </c>
      <c r="C471" s="78" t="inlineStr">
        <is>
          <t>Idea</t>
        </is>
      </c>
      <c r="D471" s="78" t="inlineStr">
        <is>
          <t>Study reveal</t>
        </is>
      </c>
      <c r="E471" s="78" t="inlineStr">
        <is>
          <t>II · Confrontation</t>
        </is>
      </c>
      <c r="F471" s="78" t="inlineStr">
        <is>
          <t>Turn</t>
        </is>
      </c>
      <c r="G471" s="78" t="inlineStr">
        <is>
          <t>22–26s</t>
        </is>
      </c>
      <c r="H471" s="79" t="inlineStr">
        <is>
          <t>But the groups were meaningless. Nobody even met.</t>
        </is>
      </c>
      <c r="I471" s="79" t="inlineStr">
        <is>
          <t>MEANINGLESS GROUPS</t>
        </is>
      </c>
      <c r="J471" s="79" t="n"/>
    </row>
    <row r="472" ht="15" customHeight="1" s="62">
      <c r="A472" s="78" t="n">
        <v>67</v>
      </c>
      <c r="B472" s="79" t="inlineStr">
        <is>
          <t>In-group favoritism</t>
        </is>
      </c>
      <c r="C472" s="78" t="inlineStr">
        <is>
          <t>Idea</t>
        </is>
      </c>
      <c r="D472" s="78" t="inlineStr">
        <is>
          <t>Study reveal</t>
        </is>
      </c>
      <c r="E472" s="78" t="inlineStr">
        <is>
          <t>III · Resolution</t>
        </is>
      </c>
      <c r="F472" s="78" t="inlineStr">
        <is>
          <t>Payoff</t>
        </is>
      </c>
      <c r="G472" s="78" t="inlineStr">
        <is>
          <t>26–32s</t>
        </is>
      </c>
      <c r="H472" s="79" t="inlineStr">
        <is>
          <t>That's in-group favouritism.</t>
        </is>
      </c>
      <c r="I472" s="79" t="inlineStr">
        <is>
          <t>IN-GROUP FAVOURITISM</t>
        </is>
      </c>
      <c r="J472" s="79" t="n"/>
    </row>
    <row r="473" ht="23.85" customHeight="1" s="62">
      <c r="A473" s="81" t="n">
        <v>67</v>
      </c>
      <c r="B473" s="82" t="inlineStr">
        <is>
          <t>In-group favoritism</t>
        </is>
      </c>
      <c r="C473" s="81" t="inlineStr">
        <is>
          <t>Idea</t>
        </is>
      </c>
      <c r="D473" s="81" t="inlineStr">
        <is>
          <t>Study reveal</t>
        </is>
      </c>
      <c r="E473" s="81" t="inlineStr">
        <is>
          <t>III · Resolution</t>
        </is>
      </c>
      <c r="F473" s="81" t="inlineStr">
        <is>
          <t>Outro</t>
        </is>
      </c>
      <c r="G473" s="81" t="inlineStr">
        <is>
          <t>32–36s</t>
        </is>
      </c>
      <c r="H473" s="82" t="inlineStr">
        <is>
          <t>Notice when a label alone changes how you judge someone. Follow for tomorrow's social bias.</t>
        </is>
      </c>
      <c r="I473" s="82" t="inlineStr">
        <is>
          <t>WATCH THE LABEL</t>
        </is>
      </c>
      <c r="J473" s="82" t="n"/>
    </row>
    <row r="474" ht="23.85" customHeight="1" s="62">
      <c r="A474" s="83" t="n">
        <v>68</v>
      </c>
      <c r="B474" s="84" t="inlineStr">
        <is>
          <t>Pluralistic ignorance</t>
        </is>
      </c>
      <c r="C474" s="83" t="inlineStr">
        <is>
          <t>Idea</t>
        </is>
      </c>
      <c r="D474" s="83" t="inlineStr">
        <is>
          <t>You-callout</t>
        </is>
      </c>
      <c r="E474" s="83" t="inlineStr">
        <is>
          <t>I · Setup</t>
        </is>
      </c>
      <c r="F474" s="83" t="inlineStr">
        <is>
          <t>Hook</t>
        </is>
      </c>
      <c r="G474" s="83" t="inlineStr">
        <is>
          <t>0–3s</t>
        </is>
      </c>
      <c r="H474" s="85" t="inlineStr">
        <is>
          <t>You're confused in class. So is everyone else. Nobody asks.</t>
        </is>
      </c>
      <c r="I474" s="84" t="inlineStr">
        <is>
          <t>silent classroom, every head: '???'</t>
        </is>
      </c>
      <c r="J474" s="84" t="inlineStr">
        <is>
          <t>Miller &amp; McFarland 1987: students assumed others understood confusing reading</t>
        </is>
      </c>
    </row>
    <row r="475" ht="23.85" customHeight="1" s="62">
      <c r="A475" s="83" t="n">
        <v>68</v>
      </c>
      <c r="B475" s="84" t="inlineStr">
        <is>
          <t>Pluralistic ignorance</t>
        </is>
      </c>
      <c r="C475" s="83" t="inlineStr">
        <is>
          <t>Idea</t>
        </is>
      </c>
      <c r="D475" s="83" t="inlineStr">
        <is>
          <t>You-callout</t>
        </is>
      </c>
      <c r="E475" s="83" t="inlineStr">
        <is>
          <t>I · Setup</t>
        </is>
      </c>
      <c r="F475" s="83" t="inlineStr">
        <is>
          <t>Setup</t>
        </is>
      </c>
      <c r="G475" s="83" t="inlineStr">
        <is>
          <t>3–8s</t>
        </is>
      </c>
      <c r="H475" s="84" t="inlineStr">
        <is>
          <t>In 1987, Dale Miller and Cathy McFarland gave students a deliberately confusing article.</t>
        </is>
      </c>
      <c r="I475" s="84" t="inlineStr">
        <is>
          <t>MILLER &amp; MCFARLAND, 1987</t>
        </is>
      </c>
      <c r="J475" s="84" t="n"/>
    </row>
    <row r="476" ht="15" customHeight="1" s="62">
      <c r="A476" s="83" t="n">
        <v>68</v>
      </c>
      <c r="B476" s="84" t="inlineStr">
        <is>
          <t>Pluralistic ignorance</t>
        </is>
      </c>
      <c r="C476" s="83" t="inlineStr">
        <is>
          <t>Idea</t>
        </is>
      </c>
      <c r="D476" s="83" t="inlineStr">
        <is>
          <t>You-callout</t>
        </is>
      </c>
      <c r="E476" s="83" t="inlineStr">
        <is>
          <t>II · Confrontation</t>
        </is>
      </c>
      <c r="F476" s="83" t="inlineStr">
        <is>
          <t>Evidence</t>
        </is>
      </c>
      <c r="G476" s="83" t="inlineStr">
        <is>
          <t>8–15s</t>
        </is>
      </c>
      <c r="H476" s="84" t="inlineStr">
        <is>
          <t>Students could ask for help. Almost nobody did.</t>
        </is>
      </c>
      <c r="I476" s="84" t="inlineStr">
        <is>
          <t>HELP BUTTON 🔘 (unused)</t>
        </is>
      </c>
      <c r="J476" s="84" t="n"/>
    </row>
    <row r="477" ht="15" customHeight="1" s="62">
      <c r="A477" s="83" t="n">
        <v>68</v>
      </c>
      <c r="B477" s="84" t="inlineStr">
        <is>
          <t>Pluralistic ignorance</t>
        </is>
      </c>
      <c r="C477" s="83" t="inlineStr">
        <is>
          <t>Idea</t>
        </is>
      </c>
      <c r="D477" s="83" t="inlineStr">
        <is>
          <t>You-callout</t>
        </is>
      </c>
      <c r="E477" s="83" t="inlineStr">
        <is>
          <t>II · Confrontation</t>
        </is>
      </c>
      <c r="F477" s="83" t="inlineStr">
        <is>
          <t>Escalation</t>
        </is>
      </c>
      <c r="G477" s="83" t="inlineStr">
        <is>
          <t>15–22s</t>
        </is>
      </c>
      <c r="H477" s="84" t="inlineStr">
        <is>
          <t>Each assumed the others understood it better than they did.</t>
        </is>
      </c>
      <c r="I477" s="84" t="inlineStr">
        <is>
          <t>'EVERYONE ELSE GETS IT'</t>
        </is>
      </c>
      <c r="J477" s="84" t="n"/>
    </row>
    <row r="478" ht="15" customHeight="1" s="62">
      <c r="A478" s="83" t="n">
        <v>68</v>
      </c>
      <c r="B478" s="84" t="inlineStr">
        <is>
          <t>Pluralistic ignorance</t>
        </is>
      </c>
      <c r="C478" s="83" t="inlineStr">
        <is>
          <t>Idea</t>
        </is>
      </c>
      <c r="D478" s="83" t="inlineStr">
        <is>
          <t>You-callout</t>
        </is>
      </c>
      <c r="E478" s="83" t="inlineStr">
        <is>
          <t>II · Confrontation</t>
        </is>
      </c>
      <c r="F478" s="83" t="inlineStr">
        <is>
          <t>Turn</t>
        </is>
      </c>
      <c r="G478" s="83" t="inlineStr">
        <is>
          <t>22–26s</t>
        </is>
      </c>
      <c r="H478" s="84" t="inlineStr">
        <is>
          <t>But everyone was reading silence as proof of understanding.</t>
        </is>
      </c>
      <c r="I478" s="84" t="inlineStr">
        <is>
          <t>SILENCE ≠ UNDERSTANDING</t>
        </is>
      </c>
      <c r="J478" s="84" t="n"/>
    </row>
    <row r="479" ht="15" customHeight="1" s="62">
      <c r="A479" s="83" t="n">
        <v>68</v>
      </c>
      <c r="B479" s="84" t="inlineStr">
        <is>
          <t>Pluralistic ignorance</t>
        </is>
      </c>
      <c r="C479" s="83" t="inlineStr">
        <is>
          <t>Idea</t>
        </is>
      </c>
      <c r="D479" s="83" t="inlineStr">
        <is>
          <t>You-callout</t>
        </is>
      </c>
      <c r="E479" s="83" t="inlineStr">
        <is>
          <t>III · Resolution</t>
        </is>
      </c>
      <c r="F479" s="83" t="inlineStr">
        <is>
          <t>Payoff</t>
        </is>
      </c>
      <c r="G479" s="83" t="inlineStr">
        <is>
          <t>26–32s</t>
        </is>
      </c>
      <c r="H479" s="84" t="inlineStr">
        <is>
          <t>That's pluralistic ignorance.</t>
        </is>
      </c>
      <c r="I479" s="84" t="inlineStr">
        <is>
          <t>PLURALISTIC IGNORANCE</t>
        </is>
      </c>
      <c r="J479" s="84" t="n"/>
    </row>
    <row r="480" ht="23.85" customHeight="1" s="62">
      <c r="A480" s="86" t="n">
        <v>68</v>
      </c>
      <c r="B480" s="87" t="inlineStr">
        <is>
          <t>Pluralistic ignorance</t>
        </is>
      </c>
      <c r="C480" s="86" t="inlineStr">
        <is>
          <t>Idea</t>
        </is>
      </c>
      <c r="D480" s="86" t="inlineStr">
        <is>
          <t>You-callout</t>
        </is>
      </c>
      <c r="E480" s="86" t="inlineStr">
        <is>
          <t>III · Resolution</t>
        </is>
      </c>
      <c r="F480" s="86" t="inlineStr">
        <is>
          <t>Outro</t>
        </is>
      </c>
      <c r="G480" s="86" t="inlineStr">
        <is>
          <t>32–36s</t>
        </is>
      </c>
      <c r="H480" s="87" t="inlineStr">
        <is>
          <t>Ask the question. Half the room will thank you. Follow for more classroom psychology.</t>
        </is>
      </c>
      <c r="I480" s="87" t="inlineStr">
        <is>
          <t>ASK THE QUESTION</t>
        </is>
      </c>
      <c r="J480" s="87" t="n"/>
    </row>
    <row r="481" ht="23.85" customHeight="1" s="62">
      <c r="A481" s="78" t="n">
        <v>69</v>
      </c>
      <c r="B481" s="79" t="inlineStr">
        <is>
          <t>Social facilitation</t>
        </is>
      </c>
      <c r="C481" s="78" t="inlineStr">
        <is>
          <t>Idea</t>
        </is>
      </c>
      <c r="D481" s="78" t="inlineStr">
        <is>
          <t>Study reveal</t>
        </is>
      </c>
      <c r="E481" s="78" t="inlineStr">
        <is>
          <t>I · Setup</t>
        </is>
      </c>
      <c r="F481" s="78" t="inlineStr">
        <is>
          <t>Hook</t>
        </is>
      </c>
      <c r="G481" s="78" t="inlineStr">
        <is>
          <t>0–3s</t>
        </is>
      </c>
      <c r="H481" s="80" t="inlineStr">
        <is>
          <t>Being watched makes good players better and weak players worse.</t>
        </is>
      </c>
      <c r="I481" s="79" t="inlineStr">
        <is>
          <t>👀 → ⬆ or ⬇</t>
        </is>
      </c>
      <c r="J481" s="79" t="inlineStr">
        <is>
          <t>Michaels et al. 1982: good pool players improved, poor ones got worse when watched</t>
        </is>
      </c>
    </row>
    <row r="482" ht="15" customHeight="1" s="62">
      <c r="A482" s="78" t="n">
        <v>69</v>
      </c>
      <c r="B482" s="79" t="inlineStr">
        <is>
          <t>Social facilitation</t>
        </is>
      </c>
      <c r="C482" s="78" t="inlineStr">
        <is>
          <t>Idea</t>
        </is>
      </c>
      <c r="D482" s="78" t="inlineStr">
        <is>
          <t>Study reveal</t>
        </is>
      </c>
      <c r="E482" s="78" t="inlineStr">
        <is>
          <t>I · Setup</t>
        </is>
      </c>
      <c r="F482" s="78" t="inlineStr">
        <is>
          <t>Setup</t>
        </is>
      </c>
      <c r="G482" s="78" t="inlineStr">
        <is>
          <t>3–8s</t>
        </is>
      </c>
      <c r="H482" s="79" t="inlineStr">
        <is>
          <t>In 1982, James Michaels watched pool players in a student union.</t>
        </is>
      </c>
      <c r="I482" s="79" t="inlineStr">
        <is>
          <t>MICHAELS ET AL., 1982 | pool table</t>
        </is>
      </c>
      <c r="J482" s="79" t="n"/>
    </row>
    <row r="483" ht="15" customHeight="1" s="62">
      <c r="A483" s="78" t="n">
        <v>69</v>
      </c>
      <c r="B483" s="79" t="inlineStr">
        <is>
          <t>Social facilitation</t>
        </is>
      </c>
      <c r="C483" s="78" t="inlineStr">
        <is>
          <t>Idea</t>
        </is>
      </c>
      <c r="D483" s="78" t="inlineStr">
        <is>
          <t>Study reveal</t>
        </is>
      </c>
      <c r="E483" s="78" t="inlineStr">
        <is>
          <t>II · Confrontation</t>
        </is>
      </c>
      <c r="F483" s="78" t="inlineStr">
        <is>
          <t>Evidence</t>
        </is>
      </c>
      <c r="G483" s="78" t="inlineStr">
        <is>
          <t>8–15s</t>
        </is>
      </c>
      <c r="H483" s="79" t="inlineStr">
        <is>
          <t>When an audience gathered, strong players' accuracy went up.</t>
        </is>
      </c>
      <c r="I483" s="79" t="inlineStr">
        <is>
          <t>STRONG ⬆</t>
        </is>
      </c>
      <c r="J483" s="79" t="n"/>
    </row>
    <row r="484" ht="15" customHeight="1" s="62">
      <c r="A484" s="78" t="n">
        <v>69</v>
      </c>
      <c r="B484" s="79" t="inlineStr">
        <is>
          <t>Social facilitation</t>
        </is>
      </c>
      <c r="C484" s="78" t="inlineStr">
        <is>
          <t>Idea</t>
        </is>
      </c>
      <c r="D484" s="78" t="inlineStr">
        <is>
          <t>Study reveal</t>
        </is>
      </c>
      <c r="E484" s="78" t="inlineStr">
        <is>
          <t>II · Confrontation</t>
        </is>
      </c>
      <c r="F484" s="78" t="inlineStr">
        <is>
          <t>Escalation</t>
        </is>
      </c>
      <c r="G484" s="78" t="inlineStr">
        <is>
          <t>15–22s</t>
        </is>
      </c>
      <c r="H484" s="79" t="inlineStr">
        <is>
          <t>Weak players' accuracy dropped.</t>
        </is>
      </c>
      <c r="I484" s="79" t="inlineStr">
        <is>
          <t>WEAK ⬇</t>
        </is>
      </c>
      <c r="J484" s="79" t="n"/>
    </row>
    <row r="485" ht="23.85" customHeight="1" s="62">
      <c r="A485" s="78" t="n">
        <v>69</v>
      </c>
      <c r="B485" s="79" t="inlineStr">
        <is>
          <t>Social facilitation</t>
        </is>
      </c>
      <c r="C485" s="78" t="inlineStr">
        <is>
          <t>Idea</t>
        </is>
      </c>
      <c r="D485" s="78" t="inlineStr">
        <is>
          <t>Study reveal</t>
        </is>
      </c>
      <c r="E485" s="78" t="inlineStr">
        <is>
          <t>II · Confrontation</t>
        </is>
      </c>
      <c r="F485" s="78" t="inlineStr">
        <is>
          <t>Turn</t>
        </is>
      </c>
      <c r="G485" s="78" t="inlineStr">
        <is>
          <t>22–26s</t>
        </is>
      </c>
      <c r="H485" s="79" t="inlineStr">
        <is>
          <t>But it's not about talent. An audience boosts whatever response is already dominant.</t>
        </is>
      </c>
      <c r="I485" s="79" t="inlineStr">
        <is>
          <t>AUDIENCE AMPLIFIES HABIT</t>
        </is>
      </c>
      <c r="J485" s="79" t="n"/>
    </row>
    <row r="486" ht="15" customHeight="1" s="62">
      <c r="A486" s="78" t="n">
        <v>69</v>
      </c>
      <c r="B486" s="79" t="inlineStr">
        <is>
          <t>Social facilitation</t>
        </is>
      </c>
      <c r="C486" s="78" t="inlineStr">
        <is>
          <t>Idea</t>
        </is>
      </c>
      <c r="D486" s="78" t="inlineStr">
        <is>
          <t>Study reveal</t>
        </is>
      </c>
      <c r="E486" s="78" t="inlineStr">
        <is>
          <t>III · Resolution</t>
        </is>
      </c>
      <c r="F486" s="78" t="inlineStr">
        <is>
          <t>Payoff</t>
        </is>
      </c>
      <c r="G486" s="78" t="inlineStr">
        <is>
          <t>26–32s</t>
        </is>
      </c>
      <c r="H486" s="79" t="inlineStr">
        <is>
          <t>That's social facilitation.</t>
        </is>
      </c>
      <c r="I486" s="79" t="inlineStr">
        <is>
          <t>SOCIAL FACILITATION</t>
        </is>
      </c>
      <c r="J486" s="79" t="n"/>
    </row>
    <row r="487" ht="23.85" customHeight="1" s="62">
      <c r="A487" s="81" t="n">
        <v>69</v>
      </c>
      <c r="B487" s="82" t="inlineStr">
        <is>
          <t>Social facilitation</t>
        </is>
      </c>
      <c r="C487" s="81" t="inlineStr">
        <is>
          <t>Idea</t>
        </is>
      </c>
      <c r="D487" s="81" t="inlineStr">
        <is>
          <t>Study reveal</t>
        </is>
      </c>
      <c r="E487" s="81" t="inlineStr">
        <is>
          <t>III · Resolution</t>
        </is>
      </c>
      <c r="F487" s="81" t="inlineStr">
        <is>
          <t>Outro</t>
        </is>
      </c>
      <c r="G487" s="81" t="inlineStr">
        <is>
          <t>32–36s</t>
        </is>
      </c>
      <c r="H487" s="82" t="inlineStr">
        <is>
          <t>Practise new skills alone, then perform them with people around. Save this before your next performance.</t>
        </is>
      </c>
      <c r="I487" s="82" t="inlineStr">
        <is>
          <t>PRACTISE ALONE FIRST</t>
        </is>
      </c>
      <c r="J487" s="82" t="n"/>
    </row>
    <row r="488" ht="23.85" customHeight="1" s="62">
      <c r="A488" s="83" t="n">
        <v>70</v>
      </c>
      <c r="B488" s="84" t="inlineStr">
        <is>
          <t>Group polarization</t>
        </is>
      </c>
      <c r="C488" s="83" t="inlineStr">
        <is>
          <t>Idea</t>
        </is>
      </c>
      <c r="D488" s="83" t="inlineStr">
        <is>
          <t>Study reveal</t>
        </is>
      </c>
      <c r="E488" s="83" t="inlineStr">
        <is>
          <t>I · Setup</t>
        </is>
      </c>
      <c r="F488" s="83" t="inlineStr">
        <is>
          <t>Hook</t>
        </is>
      </c>
      <c r="G488" s="83" t="inlineStr">
        <is>
          <t>0–3s</t>
        </is>
      </c>
      <c r="H488" s="85" t="inlineStr">
        <is>
          <t>Put like-minded people in a room, and they come out more extreme.</t>
        </is>
      </c>
      <c r="I488" s="84" t="inlineStr">
        <is>
          <t>👥 → 💥</t>
        </is>
      </c>
      <c r="J488" s="84" t="inlineStr">
        <is>
          <t>Schkade, Sunstein &amp; Hastie 2007 (Colorado): like-minded groups became more extreme</t>
        </is>
      </c>
    </row>
    <row r="489" ht="23.85" customHeight="1" s="62">
      <c r="A489" s="83" t="n">
        <v>70</v>
      </c>
      <c r="B489" s="84" t="inlineStr">
        <is>
          <t>Group polarization</t>
        </is>
      </c>
      <c r="C489" s="83" t="inlineStr">
        <is>
          <t>Idea</t>
        </is>
      </c>
      <c r="D489" s="83" t="inlineStr">
        <is>
          <t>Study reveal</t>
        </is>
      </c>
      <c r="E489" s="83" t="inlineStr">
        <is>
          <t>I · Setup</t>
        </is>
      </c>
      <c r="F489" s="83" t="inlineStr">
        <is>
          <t>Setup</t>
        </is>
      </c>
      <c r="G489" s="83" t="inlineStr">
        <is>
          <t>3–8s</t>
        </is>
      </c>
      <c r="H489" s="84" t="inlineStr">
        <is>
          <t>In 2005, researchers gathered liberals in Boulder and conservatives in Colorado Springs.</t>
        </is>
      </c>
      <c r="I489" s="84" t="inlineStr">
        <is>
          <t>SCHKADE, SUNSTEIN &amp; HASTIE</t>
        </is>
      </c>
      <c r="J489" s="84" t="n"/>
    </row>
    <row r="490" ht="15" customHeight="1" s="62">
      <c r="A490" s="83" t="n">
        <v>70</v>
      </c>
      <c r="B490" s="84" t="inlineStr">
        <is>
          <t>Group polarization</t>
        </is>
      </c>
      <c r="C490" s="83" t="inlineStr">
        <is>
          <t>Idea</t>
        </is>
      </c>
      <c r="D490" s="83" t="inlineStr">
        <is>
          <t>Study reveal</t>
        </is>
      </c>
      <c r="E490" s="83" t="inlineStr">
        <is>
          <t>II · Confrontation</t>
        </is>
      </c>
      <c r="F490" s="83" t="inlineStr">
        <is>
          <t>Evidence</t>
        </is>
      </c>
      <c r="G490" s="83" t="inlineStr">
        <is>
          <t>8–15s</t>
        </is>
      </c>
      <c r="H490" s="84" t="inlineStr">
        <is>
          <t>Each group discussed issues like climate change among themselves.</t>
        </is>
      </c>
      <c r="I490" s="84" t="inlineStr">
        <is>
          <t>BOULDER 🔵 | COLORADO SPRINGS 🔴</t>
        </is>
      </c>
      <c r="J490" s="84" t="n"/>
    </row>
    <row r="491" ht="15" customHeight="1" s="62">
      <c r="A491" s="83" t="n">
        <v>70</v>
      </c>
      <c r="B491" s="84" t="inlineStr">
        <is>
          <t>Group polarization</t>
        </is>
      </c>
      <c r="C491" s="83" t="inlineStr">
        <is>
          <t>Idea</t>
        </is>
      </c>
      <c r="D491" s="83" t="inlineStr">
        <is>
          <t>Study reveal</t>
        </is>
      </c>
      <c r="E491" s="83" t="inlineStr">
        <is>
          <t>II · Confrontation</t>
        </is>
      </c>
      <c r="F491" s="83" t="inlineStr">
        <is>
          <t>Escalation</t>
        </is>
      </c>
      <c r="G491" s="83" t="inlineStr">
        <is>
          <t>15–22s</t>
        </is>
      </c>
      <c r="H491" s="84" t="inlineStr">
        <is>
          <t>After talking, both groups moved further toward their side's extreme.</t>
        </is>
      </c>
      <c r="I491" s="84" t="inlineStr">
        <is>
          <t>OPINIONS PUSHED APART ⬅ ➡</t>
        </is>
      </c>
      <c r="J491" s="84" t="n"/>
    </row>
    <row r="492" ht="23.85" customHeight="1" s="62">
      <c r="A492" s="83" t="n">
        <v>70</v>
      </c>
      <c r="B492" s="84" t="inlineStr">
        <is>
          <t>Group polarization</t>
        </is>
      </c>
      <c r="C492" s="83" t="inlineStr">
        <is>
          <t>Idea</t>
        </is>
      </c>
      <c r="D492" s="83" t="inlineStr">
        <is>
          <t>Study reveal</t>
        </is>
      </c>
      <c r="E492" s="83" t="inlineStr">
        <is>
          <t>II · Confrontation</t>
        </is>
      </c>
      <c r="F492" s="83" t="inlineStr">
        <is>
          <t>Turn</t>
        </is>
      </c>
      <c r="G492" s="83" t="inlineStr">
        <is>
          <t>22–26s</t>
        </is>
      </c>
      <c r="H492" s="84" t="inlineStr">
        <is>
          <t>But nobody heard new evidence. Just more of the same arguments, louder.</t>
        </is>
      </c>
      <c r="I492" s="84" t="inlineStr">
        <is>
          <t>ECHO ⬆</t>
        </is>
      </c>
      <c r="J492" s="84" t="n"/>
    </row>
    <row r="493" ht="15" customHeight="1" s="62">
      <c r="A493" s="83" t="n">
        <v>70</v>
      </c>
      <c r="B493" s="84" t="inlineStr">
        <is>
          <t>Group polarization</t>
        </is>
      </c>
      <c r="C493" s="83" t="inlineStr">
        <is>
          <t>Idea</t>
        </is>
      </c>
      <c r="D493" s="83" t="inlineStr">
        <is>
          <t>Study reveal</t>
        </is>
      </c>
      <c r="E493" s="83" t="inlineStr">
        <is>
          <t>III · Resolution</t>
        </is>
      </c>
      <c r="F493" s="83" t="inlineStr">
        <is>
          <t>Payoff</t>
        </is>
      </c>
      <c r="G493" s="83" t="inlineStr">
        <is>
          <t>26–32s</t>
        </is>
      </c>
      <c r="H493" s="84" t="inlineStr">
        <is>
          <t>That's group polarization.</t>
        </is>
      </c>
      <c r="I493" s="84" t="inlineStr">
        <is>
          <t>GROUP POLARIZATION</t>
        </is>
      </c>
      <c r="J493" s="84" t="n"/>
    </row>
    <row r="494" ht="23.85" customHeight="1" s="62">
      <c r="A494" s="86" t="n">
        <v>70</v>
      </c>
      <c r="B494" s="87" t="inlineStr">
        <is>
          <t>Group polarization</t>
        </is>
      </c>
      <c r="C494" s="86" t="inlineStr">
        <is>
          <t>Idea</t>
        </is>
      </c>
      <c r="D494" s="86" t="inlineStr">
        <is>
          <t>Study reveal</t>
        </is>
      </c>
      <c r="E494" s="86" t="inlineStr">
        <is>
          <t>III · Resolution</t>
        </is>
      </c>
      <c r="F494" s="86" t="inlineStr">
        <is>
          <t>Outro</t>
        </is>
      </c>
      <c r="G494" s="86" t="inlineStr">
        <is>
          <t>32–36s</t>
        </is>
      </c>
      <c r="H494" s="87" t="inlineStr">
        <is>
          <t>Follow at least one smart person you disagree with. And follow us for tomorrow's group bias.</t>
        </is>
      </c>
      <c r="I494" s="87" t="inlineStr">
        <is>
          <t>FOLLOW SOMEONE YOU DISAGREE WITH</t>
        </is>
      </c>
      <c r="J494" s="87" t="n"/>
    </row>
    <row r="495" ht="23.85" customHeight="1" s="62">
      <c r="A495" s="78" t="n">
        <v>71</v>
      </c>
      <c r="B495" s="79" t="inlineStr">
        <is>
          <t>Social comparison</t>
        </is>
      </c>
      <c r="C495" s="78" t="inlineStr">
        <is>
          <t>Scheduled</t>
        </is>
      </c>
      <c r="D495" s="78" t="inlineStr">
        <is>
          <t>Study reveal</t>
        </is>
      </c>
      <c r="E495" s="78" t="inlineStr">
        <is>
          <t>I · Setup</t>
        </is>
      </c>
      <c r="F495" s="78" t="inlineStr">
        <is>
          <t>Hook</t>
        </is>
      </c>
      <c r="G495" s="78" t="inlineStr">
        <is>
          <t>0–3s</t>
        </is>
      </c>
      <c r="H495" s="80" t="inlineStr">
        <is>
          <t>Bronze medallists often look happier than silver medallists.</t>
        </is>
      </c>
      <c r="I495" s="79" t="inlineStr">
        <is>
          <t>🥉 😄 | 🥈 😕</t>
        </is>
      </c>
      <c r="J495" s="79" t="inlineStr">
        <is>
          <t>Medvec, Madey &amp; Gilovich 1995: bronze medallists appeared happier than silver</t>
        </is>
      </c>
    </row>
    <row r="496" ht="15" customHeight="1" s="62">
      <c r="A496" s="78" t="n">
        <v>71</v>
      </c>
      <c r="B496" s="79" t="inlineStr">
        <is>
          <t>Social comparison</t>
        </is>
      </c>
      <c r="C496" s="78" t="inlineStr">
        <is>
          <t>Scheduled</t>
        </is>
      </c>
      <c r="D496" s="78" t="inlineStr">
        <is>
          <t>Study reveal</t>
        </is>
      </c>
      <c r="E496" s="78" t="inlineStr">
        <is>
          <t>I · Setup</t>
        </is>
      </c>
      <c r="F496" s="78" t="inlineStr">
        <is>
          <t>Setup</t>
        </is>
      </c>
      <c r="G496" s="78" t="inlineStr">
        <is>
          <t>3–8s</t>
        </is>
      </c>
      <c r="H496" s="79" t="inlineStr">
        <is>
          <t>In 1995, Victoria Medvec's team rated athletes' faces at the Olympics.</t>
        </is>
      </c>
      <c r="I496" s="79" t="inlineStr">
        <is>
          <t>MEDVEC ET AL., 1995</t>
        </is>
      </c>
      <c r="J496" s="79" t="n"/>
    </row>
    <row r="497" ht="15" customHeight="1" s="62">
      <c r="A497" s="78" t="n">
        <v>71</v>
      </c>
      <c r="B497" s="79" t="inlineStr">
        <is>
          <t>Social comparison</t>
        </is>
      </c>
      <c r="C497" s="78" t="inlineStr">
        <is>
          <t>Scheduled</t>
        </is>
      </c>
      <c r="D497" s="78" t="inlineStr">
        <is>
          <t>Study reveal</t>
        </is>
      </c>
      <c r="E497" s="78" t="inlineStr">
        <is>
          <t>II · Confrontation</t>
        </is>
      </c>
      <c r="F497" s="78" t="inlineStr">
        <is>
          <t>Evidence</t>
        </is>
      </c>
      <c r="G497" s="78" t="inlineStr">
        <is>
          <t>8–15s</t>
        </is>
      </c>
      <c r="H497" s="79" t="inlineStr">
        <is>
          <t>Silver medallists compared themselves to gold: 'I almost won.'</t>
        </is>
      </c>
      <c r="I497" s="79" t="inlineStr">
        <is>
          <t>🥈 → 🥇</t>
        </is>
      </c>
      <c r="J497" s="79" t="n"/>
    </row>
    <row r="498" ht="15" customHeight="1" s="62">
      <c r="A498" s="78" t="n">
        <v>71</v>
      </c>
      <c r="B498" s="79" t="inlineStr">
        <is>
          <t>Social comparison</t>
        </is>
      </c>
      <c r="C498" s="78" t="inlineStr">
        <is>
          <t>Scheduled</t>
        </is>
      </c>
      <c r="D498" s="78" t="inlineStr">
        <is>
          <t>Study reveal</t>
        </is>
      </c>
      <c r="E498" s="78" t="inlineStr">
        <is>
          <t>II · Confrontation</t>
        </is>
      </c>
      <c r="F498" s="78" t="inlineStr">
        <is>
          <t>Escalation</t>
        </is>
      </c>
      <c r="G498" s="78" t="inlineStr">
        <is>
          <t>15–22s</t>
        </is>
      </c>
      <c r="H498" s="79" t="inlineStr">
        <is>
          <t>Bronze compared themselves to fourth: 'I almost got nothing.'</t>
        </is>
      </c>
      <c r="I498" s="79" t="inlineStr">
        <is>
          <t>🥉 → 4th</t>
        </is>
      </c>
      <c r="J498" s="79" t="n"/>
    </row>
    <row r="499" ht="15" customHeight="1" s="62">
      <c r="A499" s="78" t="n">
        <v>71</v>
      </c>
      <c r="B499" s="79" t="inlineStr">
        <is>
          <t>Social comparison</t>
        </is>
      </c>
      <c r="C499" s="78" t="inlineStr">
        <is>
          <t>Scheduled</t>
        </is>
      </c>
      <c r="D499" s="78" t="inlineStr">
        <is>
          <t>Study reveal</t>
        </is>
      </c>
      <c r="E499" s="78" t="inlineStr">
        <is>
          <t>II · Confrontation</t>
        </is>
      </c>
      <c r="F499" s="78" t="inlineStr">
        <is>
          <t>Turn</t>
        </is>
      </c>
      <c r="G499" s="78" t="inlineStr">
        <is>
          <t>22–26s</t>
        </is>
      </c>
      <c r="H499" s="79" t="inlineStr">
        <is>
          <t>But it's the same podium. Only the measuring stick changed.</t>
        </is>
      </c>
      <c r="I499" s="79" t="inlineStr">
        <is>
          <t>SAME PODIUM</t>
        </is>
      </c>
      <c r="J499" s="79" t="n"/>
    </row>
    <row r="500" ht="15" customHeight="1" s="62">
      <c r="A500" s="78" t="n">
        <v>71</v>
      </c>
      <c r="B500" s="79" t="inlineStr">
        <is>
          <t>Social comparison</t>
        </is>
      </c>
      <c r="C500" s="78" t="inlineStr">
        <is>
          <t>Scheduled</t>
        </is>
      </c>
      <c r="D500" s="78" t="inlineStr">
        <is>
          <t>Study reveal</t>
        </is>
      </c>
      <c r="E500" s="78" t="inlineStr">
        <is>
          <t>III · Resolution</t>
        </is>
      </c>
      <c r="F500" s="78" t="inlineStr">
        <is>
          <t>Payoff</t>
        </is>
      </c>
      <c r="G500" s="78" t="inlineStr">
        <is>
          <t>26–32s</t>
        </is>
      </c>
      <c r="H500" s="79" t="inlineStr">
        <is>
          <t>That's social comparison.</t>
        </is>
      </c>
      <c r="I500" s="79" t="inlineStr">
        <is>
          <t>SOCIAL COMPARISON</t>
        </is>
      </c>
      <c r="J500" s="79" t="n"/>
    </row>
    <row r="501" ht="23.85" customHeight="1" s="62">
      <c r="A501" s="81" t="n">
        <v>71</v>
      </c>
      <c r="B501" s="82" t="inlineStr">
        <is>
          <t>Social comparison</t>
        </is>
      </c>
      <c r="C501" s="81" t="inlineStr">
        <is>
          <t>Scheduled</t>
        </is>
      </c>
      <c r="D501" s="81" t="inlineStr">
        <is>
          <t>Study reveal</t>
        </is>
      </c>
      <c r="E501" s="81" t="inlineStr">
        <is>
          <t>III · Resolution</t>
        </is>
      </c>
      <c r="F501" s="81" t="inlineStr">
        <is>
          <t>Outro</t>
        </is>
      </c>
      <c r="G501" s="81" t="inlineStr">
        <is>
          <t>32–36s</t>
        </is>
      </c>
      <c r="H501" s="82" t="inlineStr">
        <is>
          <t>Ask who you're comparing yourself to today. Then pick a fairer one. Follow for more.</t>
        </is>
      </c>
      <c r="I501" s="82" t="inlineStr">
        <is>
          <t>PICK A FAIRER COMPARISON</t>
        </is>
      </c>
      <c r="J501" s="82" t="n"/>
    </row>
    <row r="502" ht="23.85" customHeight="1" s="62">
      <c r="A502" s="83" t="n">
        <v>72</v>
      </c>
      <c r="B502" s="84" t="inlineStr">
        <is>
          <t>The better-than-average effect</t>
        </is>
      </c>
      <c r="C502" s="83" t="inlineStr">
        <is>
          <t>Scheduled</t>
        </is>
      </c>
      <c r="D502" s="83" t="inlineStr">
        <is>
          <t>Study reveal</t>
        </is>
      </c>
      <c r="E502" s="83" t="inlineStr">
        <is>
          <t>I · Setup</t>
        </is>
      </c>
      <c r="F502" s="83" t="inlineStr">
        <is>
          <t>Hook</t>
        </is>
      </c>
      <c r="G502" s="83" t="inlineStr">
        <is>
          <t>0–3s</t>
        </is>
      </c>
      <c r="H502" s="85" t="inlineStr">
        <is>
          <t>93 percent of drivers think they're above average. That's impossible.</t>
        </is>
      </c>
      <c r="I502" s="84" t="inlineStr">
        <is>
          <t>93% 🚗 'ABOVE AVERAGE'</t>
        </is>
      </c>
      <c r="J502" s="84" t="inlineStr">
        <is>
          <t>Svenson 1981: ~93% of US drivers rated themselves above median</t>
        </is>
      </c>
    </row>
    <row r="503" ht="15" customHeight="1" s="62">
      <c r="A503" s="83" t="n">
        <v>72</v>
      </c>
      <c r="B503" s="84" t="inlineStr">
        <is>
          <t>The better-than-average effect</t>
        </is>
      </c>
      <c r="C503" s="83" t="inlineStr">
        <is>
          <t>Scheduled</t>
        </is>
      </c>
      <c r="D503" s="83" t="inlineStr">
        <is>
          <t>Study reveal</t>
        </is>
      </c>
      <c r="E503" s="83" t="inlineStr">
        <is>
          <t>I · Setup</t>
        </is>
      </c>
      <c r="F503" s="83" t="inlineStr">
        <is>
          <t>Setup</t>
        </is>
      </c>
      <c r="G503" s="83" t="inlineStr">
        <is>
          <t>3–8s</t>
        </is>
      </c>
      <c r="H503" s="84" t="inlineStr">
        <is>
          <t>In 1981, Ola Svenson asked American students to rate their driving.</t>
        </is>
      </c>
      <c r="I503" s="84" t="inlineStr">
        <is>
          <t>SVENSON, 1981</t>
        </is>
      </c>
      <c r="J503" s="84" t="n"/>
    </row>
    <row r="504" ht="15" customHeight="1" s="62">
      <c r="A504" s="83" t="n">
        <v>72</v>
      </c>
      <c r="B504" s="84" t="inlineStr">
        <is>
          <t>The better-than-average effect</t>
        </is>
      </c>
      <c r="C504" s="83" t="inlineStr">
        <is>
          <t>Scheduled</t>
        </is>
      </c>
      <c r="D504" s="83" t="inlineStr">
        <is>
          <t>Study reveal</t>
        </is>
      </c>
      <c r="E504" s="83" t="inlineStr">
        <is>
          <t>II · Confrontation</t>
        </is>
      </c>
      <c r="F504" s="83" t="inlineStr">
        <is>
          <t>Evidence</t>
        </is>
      </c>
      <c r="G504" s="83" t="inlineStr">
        <is>
          <t>8–15s</t>
        </is>
      </c>
      <c r="H504" s="84" t="inlineStr">
        <is>
          <t>About 93 percent placed themselves in the top half.</t>
        </is>
      </c>
      <c r="I504" s="84" t="inlineStr">
        <is>
          <t>TOP HALF: 93%</t>
        </is>
      </c>
      <c r="J504" s="84" t="n"/>
    </row>
    <row r="505" ht="15" customHeight="1" s="62">
      <c r="A505" s="83" t="n">
        <v>72</v>
      </c>
      <c r="B505" s="84" t="inlineStr">
        <is>
          <t>The better-than-average effect</t>
        </is>
      </c>
      <c r="C505" s="83" t="inlineStr">
        <is>
          <t>Scheduled</t>
        </is>
      </c>
      <c r="D505" s="83" t="inlineStr">
        <is>
          <t>Study reveal</t>
        </is>
      </c>
      <c r="E505" s="83" t="inlineStr">
        <is>
          <t>II · Confrontation</t>
        </is>
      </c>
      <c r="F505" s="83" t="inlineStr">
        <is>
          <t>Escalation</t>
        </is>
      </c>
      <c r="G505" s="83" t="inlineStr">
        <is>
          <t>15–22s</t>
        </is>
      </c>
      <c r="H505" s="84" t="inlineStr">
        <is>
          <t>Only half of any group can be above the middle.</t>
        </is>
      </c>
      <c r="I505" s="84" t="inlineStr">
        <is>
          <t>MAX POSSIBLE: 50%</t>
        </is>
      </c>
      <c r="J505" s="84" t="n"/>
    </row>
    <row r="506" ht="23.85" customHeight="1" s="62">
      <c r="A506" s="83" t="n">
        <v>72</v>
      </c>
      <c r="B506" s="84" t="inlineStr">
        <is>
          <t>The better-than-average effect</t>
        </is>
      </c>
      <c r="C506" s="83" t="inlineStr">
        <is>
          <t>Scheduled</t>
        </is>
      </c>
      <c r="D506" s="83" t="inlineStr">
        <is>
          <t>Study reveal</t>
        </is>
      </c>
      <c r="E506" s="83" t="inlineStr">
        <is>
          <t>II · Confrontation</t>
        </is>
      </c>
      <c r="F506" s="83" t="inlineStr">
        <is>
          <t>Turn</t>
        </is>
      </c>
      <c r="G506" s="83" t="inlineStr">
        <is>
          <t>22–26s</t>
        </is>
      </c>
      <c r="H506" s="84" t="inlineStr">
        <is>
          <t>But it's not just driving. People do this with kindness, intelligence and humour.</t>
        </is>
      </c>
      <c r="I506" s="84" t="inlineStr">
        <is>
          <t>KIND 🙂 SMART 🧠 FUNNY 😂</t>
        </is>
      </c>
      <c r="J506" s="84" t="n"/>
    </row>
    <row r="507" ht="15" customHeight="1" s="62">
      <c r="A507" s="83" t="n">
        <v>72</v>
      </c>
      <c r="B507" s="84" t="inlineStr">
        <is>
          <t>The better-than-average effect</t>
        </is>
      </c>
      <c r="C507" s="83" t="inlineStr">
        <is>
          <t>Scheduled</t>
        </is>
      </c>
      <c r="D507" s="83" t="inlineStr">
        <is>
          <t>Study reveal</t>
        </is>
      </c>
      <c r="E507" s="83" t="inlineStr">
        <is>
          <t>III · Resolution</t>
        </is>
      </c>
      <c r="F507" s="83" t="inlineStr">
        <is>
          <t>Payoff</t>
        </is>
      </c>
      <c r="G507" s="83" t="inlineStr">
        <is>
          <t>26–32s</t>
        </is>
      </c>
      <c r="H507" s="84" t="inlineStr">
        <is>
          <t>It's the better-than-average effect.</t>
        </is>
      </c>
      <c r="I507" s="84" t="inlineStr">
        <is>
          <t>THE BETTER-THAN-AVERAGE EFFECT</t>
        </is>
      </c>
      <c r="J507" s="84" t="n"/>
    </row>
    <row r="508" ht="23.85" customHeight="1" s="62">
      <c r="A508" s="86" t="n">
        <v>72</v>
      </c>
      <c r="B508" s="87" t="inlineStr">
        <is>
          <t>The better-than-average effect</t>
        </is>
      </c>
      <c r="C508" s="86" t="inlineStr">
        <is>
          <t>Scheduled</t>
        </is>
      </c>
      <c r="D508" s="86" t="inlineStr">
        <is>
          <t>Study reveal</t>
        </is>
      </c>
      <c r="E508" s="86" t="inlineStr">
        <is>
          <t>III · Resolution</t>
        </is>
      </c>
      <c r="F508" s="86" t="inlineStr">
        <is>
          <t>Outro</t>
        </is>
      </c>
      <c r="G508" s="86" t="inlineStr">
        <is>
          <t>32–36s</t>
        </is>
      </c>
      <c r="H508" s="87" t="inlineStr">
        <is>
          <t>Rate yourself 1 to 10 at something, then ask a friend. Comment the gap, and follow for more.</t>
        </is>
      </c>
      <c r="I508" s="87" t="inlineStr">
        <is>
          <t>COMMENT YOUR GAP</t>
        </is>
      </c>
      <c r="J508" s="87" t="n"/>
    </row>
    <row r="509" ht="23.85" customHeight="1" s="62">
      <c r="A509" s="78" t="n">
        <v>73</v>
      </c>
      <c r="B509" s="79" t="inlineStr">
        <is>
          <t>Impostor feelings</t>
        </is>
      </c>
      <c r="C509" s="78" t="inlineStr">
        <is>
          <t>Scheduled</t>
        </is>
      </c>
      <c r="D509" s="78" t="inlineStr">
        <is>
          <t>You-callout</t>
        </is>
      </c>
      <c r="E509" s="78" t="inlineStr">
        <is>
          <t>I · Setup</t>
        </is>
      </c>
      <c r="F509" s="78" t="inlineStr">
        <is>
          <t>Hook</t>
        </is>
      </c>
      <c r="G509" s="78" t="inlineStr">
        <is>
          <t>0–3s</t>
        </is>
      </c>
      <c r="H509" s="80" t="inlineStr">
        <is>
          <t>You got the job, the grade, the praise, and you still feel like a fraud.</t>
        </is>
      </c>
      <c r="I509" s="79" t="inlineStr">
        <is>
          <t>🏆 + 'I don't deserve this'</t>
        </is>
      </c>
      <c r="J509" s="79" t="inlineStr">
        <is>
          <t>Clance &amp; Imes 1978 coined 'impostor phenomenon'; not a clinical diagnosis</t>
        </is>
      </c>
    </row>
    <row r="510" ht="23.85" customHeight="1" s="62">
      <c r="A510" s="78" t="n">
        <v>73</v>
      </c>
      <c r="B510" s="79" t="inlineStr">
        <is>
          <t>Impostor feelings</t>
        </is>
      </c>
      <c r="C510" s="78" t="inlineStr">
        <is>
          <t>Scheduled</t>
        </is>
      </c>
      <c r="D510" s="78" t="inlineStr">
        <is>
          <t>You-callout</t>
        </is>
      </c>
      <c r="E510" s="78" t="inlineStr">
        <is>
          <t>I · Setup</t>
        </is>
      </c>
      <c r="F510" s="78" t="inlineStr">
        <is>
          <t>Setup</t>
        </is>
      </c>
      <c r="G510" s="78" t="inlineStr">
        <is>
          <t>3–8s</t>
        </is>
      </c>
      <c r="H510" s="79" t="inlineStr">
        <is>
          <t>In 1978, Pauline Clance and Suzanne Imes described this in high-achieving women.</t>
        </is>
      </c>
      <c r="I510" s="79" t="inlineStr">
        <is>
          <t>CLANCE &amp; IMES, 1978</t>
        </is>
      </c>
      <c r="J510" s="79" t="n"/>
    </row>
    <row r="511" ht="23.85" customHeight="1" s="62">
      <c r="A511" s="78" t="n">
        <v>73</v>
      </c>
      <c r="B511" s="79" t="inlineStr">
        <is>
          <t>Impostor feelings</t>
        </is>
      </c>
      <c r="C511" s="78" t="inlineStr">
        <is>
          <t>Scheduled</t>
        </is>
      </c>
      <c r="D511" s="78" t="inlineStr">
        <is>
          <t>You-callout</t>
        </is>
      </c>
      <c r="E511" s="78" t="inlineStr">
        <is>
          <t>II · Confrontation</t>
        </is>
      </c>
      <c r="F511" s="78" t="inlineStr">
        <is>
          <t>Evidence</t>
        </is>
      </c>
      <c r="G511" s="78" t="inlineStr">
        <is>
          <t>8–15s</t>
        </is>
      </c>
      <c r="H511" s="79" t="inlineStr">
        <is>
          <t>They called it the impostor phenomenon. Later research found it in all kinds of people.</t>
        </is>
      </c>
      <c r="I511" s="79" t="inlineStr">
        <is>
          <t>IMPOSTOR PHENOMENON</t>
        </is>
      </c>
      <c r="J511" s="79" t="n"/>
    </row>
    <row r="512" ht="15" customHeight="1" s="62">
      <c r="A512" s="78" t="n">
        <v>73</v>
      </c>
      <c r="B512" s="79" t="inlineStr">
        <is>
          <t>Impostor feelings</t>
        </is>
      </c>
      <c r="C512" s="78" t="inlineStr">
        <is>
          <t>Scheduled</t>
        </is>
      </c>
      <c r="D512" s="78" t="inlineStr">
        <is>
          <t>You-callout</t>
        </is>
      </c>
      <c r="E512" s="78" t="inlineStr">
        <is>
          <t>II · Confrontation</t>
        </is>
      </c>
      <c r="F512" s="78" t="inlineStr">
        <is>
          <t>Escalation</t>
        </is>
      </c>
      <c r="G512" s="78" t="inlineStr">
        <is>
          <t>15–22s</t>
        </is>
      </c>
      <c r="H512" s="79" t="inlineStr">
        <is>
          <t>Success gets explained as luck. Mistakes get explained as the truth.</t>
        </is>
      </c>
      <c r="I512" s="79" t="inlineStr">
        <is>
          <t>WIN = LUCK | LOSS = TRUTH</t>
        </is>
      </c>
      <c r="J512" s="79" t="n"/>
    </row>
    <row r="513" ht="15" customHeight="1" s="62">
      <c r="A513" s="78" t="n">
        <v>73</v>
      </c>
      <c r="B513" s="79" t="inlineStr">
        <is>
          <t>Impostor feelings</t>
        </is>
      </c>
      <c r="C513" s="78" t="inlineStr">
        <is>
          <t>Scheduled</t>
        </is>
      </c>
      <c r="D513" s="78" t="inlineStr">
        <is>
          <t>You-callout</t>
        </is>
      </c>
      <c r="E513" s="78" t="inlineStr">
        <is>
          <t>II · Confrontation</t>
        </is>
      </c>
      <c r="F513" s="78" t="inlineStr">
        <is>
          <t>Turn</t>
        </is>
      </c>
      <c r="G513" s="78" t="inlineStr">
        <is>
          <t>22–26s</t>
        </is>
      </c>
      <c r="H513" s="79" t="inlineStr">
        <is>
          <t>But it's a feeling, not a diagnosis, and not evidence.</t>
        </is>
      </c>
      <c r="I513" s="79" t="inlineStr">
        <is>
          <t>FEELING ≠ EVIDENCE</t>
        </is>
      </c>
      <c r="J513" s="79" t="n"/>
    </row>
    <row r="514" ht="15" customHeight="1" s="62">
      <c r="A514" s="78" t="n">
        <v>73</v>
      </c>
      <c r="B514" s="79" t="inlineStr">
        <is>
          <t>Impostor feelings</t>
        </is>
      </c>
      <c r="C514" s="78" t="inlineStr">
        <is>
          <t>Scheduled</t>
        </is>
      </c>
      <c r="D514" s="78" t="inlineStr">
        <is>
          <t>You-callout</t>
        </is>
      </c>
      <c r="E514" s="78" t="inlineStr">
        <is>
          <t>III · Resolution</t>
        </is>
      </c>
      <c r="F514" s="78" t="inlineStr">
        <is>
          <t>Payoff</t>
        </is>
      </c>
      <c r="G514" s="78" t="inlineStr">
        <is>
          <t>26–32s</t>
        </is>
      </c>
      <c r="H514" s="79" t="inlineStr">
        <is>
          <t>Impostor feelings.</t>
        </is>
      </c>
      <c r="I514" s="79" t="inlineStr">
        <is>
          <t>IMPOSTOR FEELINGS</t>
        </is>
      </c>
      <c r="J514" s="79" t="n"/>
    </row>
    <row r="515" ht="23.85" customHeight="1" s="62">
      <c r="A515" s="81" t="n">
        <v>73</v>
      </c>
      <c r="B515" s="82" t="inlineStr">
        <is>
          <t>Impostor feelings</t>
        </is>
      </c>
      <c r="C515" s="81" t="inlineStr">
        <is>
          <t>Scheduled</t>
        </is>
      </c>
      <c r="D515" s="81" t="inlineStr">
        <is>
          <t>You-callout</t>
        </is>
      </c>
      <c r="E515" s="81" t="inlineStr">
        <is>
          <t>III · Resolution</t>
        </is>
      </c>
      <c r="F515" s="81" t="inlineStr">
        <is>
          <t>Outro</t>
        </is>
      </c>
      <c r="G515" s="81" t="inlineStr">
        <is>
          <t>32–36s</t>
        </is>
      </c>
      <c r="H515" s="82" t="inlineStr">
        <is>
          <t>Write down three things you did to earn your last win. Save this for the next time doubt hits.</t>
        </is>
      </c>
      <c r="I515" s="82" t="inlineStr">
        <is>
          <t>WRITE 3 THINGS YOU DID</t>
        </is>
      </c>
      <c r="J515" s="82" t="n"/>
    </row>
    <row r="516" ht="23.85" customHeight="1" s="62">
      <c r="A516" s="83" t="n">
        <v>74</v>
      </c>
      <c r="B516" s="84" t="inlineStr">
        <is>
          <t>Perfectionism and starting</t>
        </is>
      </c>
      <c r="C516" s="83" t="inlineStr">
        <is>
          <t>Idea</t>
        </is>
      </c>
      <c r="D516" s="83" t="inlineStr">
        <is>
          <t>Contrarian</t>
        </is>
      </c>
      <c r="E516" s="83" t="inlineStr">
        <is>
          <t>I · Setup</t>
        </is>
      </c>
      <c r="F516" s="83" t="inlineStr">
        <is>
          <t>Hook</t>
        </is>
      </c>
      <c r="G516" s="83" t="inlineStr">
        <is>
          <t>0–3s</t>
        </is>
      </c>
      <c r="H516" s="85" t="inlineStr">
        <is>
          <t>Perfectionists aren't great at finishing. They're great at not starting.</t>
        </is>
      </c>
      <c r="I516" s="84" t="inlineStr">
        <is>
          <t>BLANK PAGE 📄</t>
        </is>
      </c>
      <c r="J516" s="84" t="inlineStr">
        <is>
          <t>Sirois et al. 2017 meta-analysis: perfectionistic concerns linked to procrastination</t>
        </is>
      </c>
    </row>
    <row r="517" ht="15" customHeight="1" s="62">
      <c r="A517" s="83" t="n">
        <v>74</v>
      </c>
      <c r="B517" s="84" t="inlineStr">
        <is>
          <t>Perfectionism and starting</t>
        </is>
      </c>
      <c r="C517" s="83" t="inlineStr">
        <is>
          <t>Idea</t>
        </is>
      </c>
      <c r="D517" s="83" t="inlineStr">
        <is>
          <t>Contrarian</t>
        </is>
      </c>
      <c r="E517" s="83" t="inlineStr">
        <is>
          <t>I · Setup</t>
        </is>
      </c>
      <c r="F517" s="83" t="inlineStr">
        <is>
          <t>Setup</t>
        </is>
      </c>
      <c r="G517" s="83" t="inlineStr">
        <is>
          <t>3–8s</t>
        </is>
      </c>
      <c r="H517" s="84" t="inlineStr">
        <is>
          <t>The first draft has to be flawless, so it never gets written.</t>
        </is>
      </c>
      <c r="I517" s="84" t="inlineStr">
        <is>
          <t>cursor blinking... blinking...</t>
        </is>
      </c>
      <c r="J517" s="84" t="n"/>
    </row>
    <row r="518" ht="23.85" customHeight="1" s="62">
      <c r="A518" s="83" t="n">
        <v>74</v>
      </c>
      <c r="B518" s="84" t="inlineStr">
        <is>
          <t>Perfectionism and starting</t>
        </is>
      </c>
      <c r="C518" s="83" t="inlineStr">
        <is>
          <t>Idea</t>
        </is>
      </c>
      <c r="D518" s="83" t="inlineStr">
        <is>
          <t>Contrarian</t>
        </is>
      </c>
      <c r="E518" s="83" t="inlineStr">
        <is>
          <t>II · Confrontation</t>
        </is>
      </c>
      <c r="F518" s="83" t="inlineStr">
        <is>
          <t>Evidence</t>
        </is>
      </c>
      <c r="G518" s="83" t="inlineStr">
        <is>
          <t>8–15s</t>
        </is>
      </c>
      <c r="H518" s="84" t="inlineStr">
        <is>
          <t>A 2017 meta-analysis by Fuschia Sirois linked perfectionistic worry to more procrastination.</t>
        </is>
      </c>
      <c r="I518" s="84" t="inlineStr">
        <is>
          <t>SIROIS ET AL., 2017</t>
        </is>
      </c>
      <c r="J518" s="84" t="n"/>
    </row>
    <row r="519" ht="15" customHeight="1" s="62">
      <c r="A519" s="83" t="n">
        <v>74</v>
      </c>
      <c r="B519" s="84" t="inlineStr">
        <is>
          <t>Perfectionism and starting</t>
        </is>
      </c>
      <c r="C519" s="83" t="inlineStr">
        <is>
          <t>Idea</t>
        </is>
      </c>
      <c r="D519" s="83" t="inlineStr">
        <is>
          <t>Contrarian</t>
        </is>
      </c>
      <c r="E519" s="83" t="inlineStr">
        <is>
          <t>II · Confrontation</t>
        </is>
      </c>
      <c r="F519" s="83" t="inlineStr">
        <is>
          <t>Escalation</t>
        </is>
      </c>
      <c r="G519" s="83" t="inlineStr">
        <is>
          <t>15–22s</t>
        </is>
      </c>
      <c r="H519" s="84" t="inlineStr">
        <is>
          <t>Fear of a bad result makes starting feel dangerous.</t>
        </is>
      </c>
      <c r="I519" s="84" t="inlineStr">
        <is>
          <t>FEAR → DELAY</t>
        </is>
      </c>
      <c r="J519" s="84" t="n"/>
    </row>
    <row r="520" ht="15" customHeight="1" s="62">
      <c r="A520" s="83" t="n">
        <v>74</v>
      </c>
      <c r="B520" s="84" t="inlineStr">
        <is>
          <t>Perfectionism and starting</t>
        </is>
      </c>
      <c r="C520" s="83" t="inlineStr">
        <is>
          <t>Idea</t>
        </is>
      </c>
      <c r="D520" s="83" t="inlineStr">
        <is>
          <t>Contrarian</t>
        </is>
      </c>
      <c r="E520" s="83" t="inlineStr">
        <is>
          <t>II · Confrontation</t>
        </is>
      </c>
      <c r="F520" s="83" t="inlineStr">
        <is>
          <t>Turn</t>
        </is>
      </c>
      <c r="G520" s="83" t="inlineStr">
        <is>
          <t>22–26s</t>
        </is>
      </c>
      <c r="H520" s="84" t="inlineStr">
        <is>
          <t>But a rough draft you can fix beats a perfect one that doesn't exist.</t>
        </is>
      </c>
      <c r="I520" s="84" t="inlineStr">
        <is>
          <t>MESSY ✓ &gt; PERFECT ∅</t>
        </is>
      </c>
      <c r="J520" s="84" t="n"/>
    </row>
    <row r="521" ht="15" customHeight="1" s="62">
      <c r="A521" s="83" t="n">
        <v>74</v>
      </c>
      <c r="B521" s="84" t="inlineStr">
        <is>
          <t>Perfectionism and starting</t>
        </is>
      </c>
      <c r="C521" s="83" t="inlineStr">
        <is>
          <t>Idea</t>
        </is>
      </c>
      <c r="D521" s="83" t="inlineStr">
        <is>
          <t>Contrarian</t>
        </is>
      </c>
      <c r="E521" s="83" t="inlineStr">
        <is>
          <t>III · Resolution</t>
        </is>
      </c>
      <c r="F521" s="83" t="inlineStr">
        <is>
          <t>Payoff</t>
        </is>
      </c>
      <c r="G521" s="83" t="inlineStr">
        <is>
          <t>26–32s</t>
        </is>
      </c>
      <c r="H521" s="84" t="inlineStr">
        <is>
          <t>Perfectionism and starting.</t>
        </is>
      </c>
      <c r="I521" s="84" t="inlineStr">
        <is>
          <t>PERFECTIONISM</t>
        </is>
      </c>
      <c r="J521" s="84" t="n"/>
    </row>
    <row r="522" ht="23.85" customHeight="1" s="62">
      <c r="A522" s="86" t="n">
        <v>74</v>
      </c>
      <c r="B522" s="87" t="inlineStr">
        <is>
          <t>Perfectionism and starting</t>
        </is>
      </c>
      <c r="C522" s="86" t="inlineStr">
        <is>
          <t>Idea</t>
        </is>
      </c>
      <c r="D522" s="86" t="inlineStr">
        <is>
          <t>Contrarian</t>
        </is>
      </c>
      <c r="E522" s="86" t="inlineStr">
        <is>
          <t>III · Resolution</t>
        </is>
      </c>
      <c r="F522" s="86" t="inlineStr">
        <is>
          <t>Outro</t>
        </is>
      </c>
      <c r="G522" s="86" t="inlineStr">
        <is>
          <t>32–36s</t>
        </is>
      </c>
      <c r="H522" s="87" t="inlineStr">
        <is>
          <t>Give yourself permission to write the worst first draft. Set a 10-minute timer now. Follow for more.</t>
        </is>
      </c>
      <c r="I522" s="87" t="inlineStr">
        <is>
          <t>WORST FIRST DRAFT ⏱</t>
        </is>
      </c>
      <c r="J522" s="87" t="n"/>
    </row>
    <row r="523" ht="35.05" customHeight="1" s="62">
      <c r="A523" s="78" t="n">
        <v>75</v>
      </c>
      <c r="B523" s="79" t="inlineStr">
        <is>
          <t>Contingent self-worth</t>
        </is>
      </c>
      <c r="C523" s="78" t="inlineStr">
        <is>
          <t>Idea</t>
        </is>
      </c>
      <c r="D523" s="78" t="inlineStr">
        <is>
          <t>Study reveal</t>
        </is>
      </c>
      <c r="E523" s="78" t="inlineStr">
        <is>
          <t>I · Setup</t>
        </is>
      </c>
      <c r="F523" s="78" t="inlineStr">
        <is>
          <t>Hook</t>
        </is>
      </c>
      <c r="G523" s="78" t="inlineStr">
        <is>
          <t>0–3s</t>
        </is>
      </c>
      <c r="H523" s="80" t="inlineStr">
        <is>
          <t>When one grade decides your worth, every rejection hits twice as hard.</t>
        </is>
      </c>
      <c r="I523" s="79" t="inlineStr">
        <is>
          <t>GRADE = YOU?</t>
        </is>
      </c>
      <c r="J523" s="79" t="inlineStr">
        <is>
          <t>Crocker et al. 2003: students basing worth on academics had larger self-esteem drops after rejections</t>
        </is>
      </c>
    </row>
    <row r="524" ht="23.85" customHeight="1" s="62">
      <c r="A524" s="78" t="n">
        <v>75</v>
      </c>
      <c r="B524" s="79" t="inlineStr">
        <is>
          <t>Contingent self-worth</t>
        </is>
      </c>
      <c r="C524" s="78" t="inlineStr">
        <is>
          <t>Idea</t>
        </is>
      </c>
      <c r="D524" s="78" t="inlineStr">
        <is>
          <t>Study reveal</t>
        </is>
      </c>
      <c r="E524" s="78" t="inlineStr">
        <is>
          <t>I · Setup</t>
        </is>
      </c>
      <c r="F524" s="78" t="inlineStr">
        <is>
          <t>Setup</t>
        </is>
      </c>
      <c r="G524" s="78" t="inlineStr">
        <is>
          <t>3–8s</t>
        </is>
      </c>
      <c r="H524" s="79" t="inlineStr">
        <is>
          <t>In 2003, Jennifer Crocker's team followed students applying to grad school.</t>
        </is>
      </c>
      <c r="I524" s="79" t="inlineStr">
        <is>
          <t>CROCKER ET AL., 2003</t>
        </is>
      </c>
      <c r="J524" s="79" t="n"/>
    </row>
    <row r="525" ht="23.85" customHeight="1" s="62">
      <c r="A525" s="78" t="n">
        <v>75</v>
      </c>
      <c r="B525" s="79" t="inlineStr">
        <is>
          <t>Contingent self-worth</t>
        </is>
      </c>
      <c r="C525" s="78" t="inlineStr">
        <is>
          <t>Idea</t>
        </is>
      </c>
      <c r="D525" s="78" t="inlineStr">
        <is>
          <t>Study reveal</t>
        </is>
      </c>
      <c r="E525" s="78" t="inlineStr">
        <is>
          <t>II · Confrontation</t>
        </is>
      </c>
      <c r="F525" s="78" t="inlineStr">
        <is>
          <t>Evidence</t>
        </is>
      </c>
      <c r="G525" s="78" t="inlineStr">
        <is>
          <t>8–15s</t>
        </is>
      </c>
      <c r="H525" s="79" t="inlineStr">
        <is>
          <t>Those whose self-worth depended on academics had bigger self-esteem drops on rejection days.</t>
        </is>
      </c>
      <c r="I525" s="79" t="inlineStr">
        <is>
          <t>REJECTION → 📉📉</t>
        </is>
      </c>
      <c r="J525" s="79" t="n"/>
    </row>
    <row r="526" ht="15" customHeight="1" s="62">
      <c r="A526" s="78" t="n">
        <v>75</v>
      </c>
      <c r="B526" s="79" t="inlineStr">
        <is>
          <t>Contingent self-worth</t>
        </is>
      </c>
      <c r="C526" s="78" t="inlineStr">
        <is>
          <t>Idea</t>
        </is>
      </c>
      <c r="D526" s="78" t="inlineStr">
        <is>
          <t>Study reveal</t>
        </is>
      </c>
      <c r="E526" s="78" t="inlineStr">
        <is>
          <t>II · Confrontation</t>
        </is>
      </c>
      <c r="F526" s="78" t="inlineStr">
        <is>
          <t>Escalation</t>
        </is>
      </c>
      <c r="G526" s="78" t="inlineStr">
        <is>
          <t>15–22s</t>
        </is>
      </c>
      <c r="H526" s="79" t="inlineStr">
        <is>
          <t>And bigger highs on acceptance days. A rollercoaster.</t>
        </is>
      </c>
      <c r="I526" s="79" t="inlineStr">
        <is>
          <t>ACCEPTANCE → 📈📈</t>
        </is>
      </c>
      <c r="J526" s="79" t="n"/>
    </row>
    <row r="527" ht="15" customHeight="1" s="62">
      <c r="A527" s="78" t="n">
        <v>75</v>
      </c>
      <c r="B527" s="79" t="inlineStr">
        <is>
          <t>Contingent self-worth</t>
        </is>
      </c>
      <c r="C527" s="78" t="inlineStr">
        <is>
          <t>Idea</t>
        </is>
      </c>
      <c r="D527" s="78" t="inlineStr">
        <is>
          <t>Study reveal</t>
        </is>
      </c>
      <c r="E527" s="78" t="inlineStr">
        <is>
          <t>II · Confrontation</t>
        </is>
      </c>
      <c r="F527" s="78" t="inlineStr">
        <is>
          <t>Turn</t>
        </is>
      </c>
      <c r="G527" s="78" t="inlineStr">
        <is>
          <t>22–26s</t>
        </is>
      </c>
      <c r="H527" s="79" t="inlineStr">
        <is>
          <t>But you're more than one result. It's one card, not the whole deck.</t>
        </is>
      </c>
      <c r="I527" s="79" t="inlineStr">
        <is>
          <t>ONE CARD, NOT THE DECK</t>
        </is>
      </c>
      <c r="J527" s="79" t="n"/>
    </row>
    <row r="528" ht="15" customHeight="1" s="62">
      <c r="A528" s="78" t="n">
        <v>75</v>
      </c>
      <c r="B528" s="79" t="inlineStr">
        <is>
          <t>Contingent self-worth</t>
        </is>
      </c>
      <c r="C528" s="78" t="inlineStr">
        <is>
          <t>Idea</t>
        </is>
      </c>
      <c r="D528" s="78" t="inlineStr">
        <is>
          <t>Study reveal</t>
        </is>
      </c>
      <c r="E528" s="78" t="inlineStr">
        <is>
          <t>III · Resolution</t>
        </is>
      </c>
      <c r="F528" s="78" t="inlineStr">
        <is>
          <t>Payoff</t>
        </is>
      </c>
      <c r="G528" s="78" t="inlineStr">
        <is>
          <t>26–32s</t>
        </is>
      </c>
      <c r="H528" s="79" t="inlineStr">
        <is>
          <t>That's contingent self-worth.</t>
        </is>
      </c>
      <c r="I528" s="79" t="inlineStr">
        <is>
          <t>CONTINGENT SELF-WORTH</t>
        </is>
      </c>
      <c r="J528" s="79" t="n"/>
    </row>
    <row r="529" ht="23.85" customHeight="1" s="62">
      <c r="A529" s="81" t="n">
        <v>75</v>
      </c>
      <c r="B529" s="82" t="inlineStr">
        <is>
          <t>Contingent self-worth</t>
        </is>
      </c>
      <c r="C529" s="81" t="inlineStr">
        <is>
          <t>Idea</t>
        </is>
      </c>
      <c r="D529" s="81" t="inlineStr">
        <is>
          <t>Study reveal</t>
        </is>
      </c>
      <c r="E529" s="81" t="inlineStr">
        <is>
          <t>III · Resolution</t>
        </is>
      </c>
      <c r="F529" s="81" t="inlineStr">
        <is>
          <t>Outro</t>
        </is>
      </c>
      <c r="G529" s="81" t="inlineStr">
        <is>
          <t>32–36s</t>
        </is>
      </c>
      <c r="H529" s="82" t="inlineStr">
        <is>
          <t>List three things you value about yourself that no grade measures. Save this for results day.</t>
        </is>
      </c>
      <c r="I529" s="82" t="inlineStr">
        <is>
          <t>LIST 3 THINGS</t>
        </is>
      </c>
      <c r="J529" s="82" t="n"/>
    </row>
    <row r="530" ht="23.85" customHeight="1" s="62">
      <c r="A530" s="83" t="n">
        <v>76</v>
      </c>
      <c r="B530" s="84" t="inlineStr">
        <is>
          <t>Self-serving explanations</t>
        </is>
      </c>
      <c r="C530" s="83" t="inlineStr">
        <is>
          <t>Idea</t>
        </is>
      </c>
      <c r="D530" s="83" t="inlineStr">
        <is>
          <t>You-callout</t>
        </is>
      </c>
      <c r="E530" s="83" t="inlineStr">
        <is>
          <t>I · Setup</t>
        </is>
      </c>
      <c r="F530" s="83" t="inlineStr">
        <is>
          <t>Hook</t>
        </is>
      </c>
      <c r="G530" s="83" t="inlineStr">
        <is>
          <t>0–3s</t>
        </is>
      </c>
      <c r="H530" s="85" t="inlineStr">
        <is>
          <t>When you win, it's skill. When you lose, it's the referee.</t>
        </is>
      </c>
      <c r="I530" s="84" t="inlineStr">
        <is>
          <t>WIN: 'skill' 💪 | LOSS: 'ref!' 😤</t>
        </is>
      </c>
      <c r="J530" s="84" t="inlineStr">
        <is>
          <t>Miller &amp; Ross 1975; Lau &amp; Russell 1980: wins attributed internally, losses externally</t>
        </is>
      </c>
    </row>
    <row r="531" ht="23.85" customHeight="1" s="62">
      <c r="A531" s="83" t="n">
        <v>76</v>
      </c>
      <c r="B531" s="84" t="inlineStr">
        <is>
          <t>Self-serving explanations</t>
        </is>
      </c>
      <c r="C531" s="83" t="inlineStr">
        <is>
          <t>Idea</t>
        </is>
      </c>
      <c r="D531" s="83" t="inlineStr">
        <is>
          <t>You-callout</t>
        </is>
      </c>
      <c r="E531" s="83" t="inlineStr">
        <is>
          <t>I · Setup</t>
        </is>
      </c>
      <c r="F531" s="83" t="inlineStr">
        <is>
          <t>Setup</t>
        </is>
      </c>
      <c r="G531" s="83" t="inlineStr">
        <is>
          <t>3–8s</t>
        </is>
      </c>
      <c r="H531" s="84" t="inlineStr">
        <is>
          <t>In 1980, Richard Lau and Dan Russell studied newspaper quotes from sports teams.</t>
        </is>
      </c>
      <c r="I531" s="84" t="inlineStr">
        <is>
          <t>LAU &amp; RUSSELL, 1980 | sports pages</t>
        </is>
      </c>
      <c r="J531" s="84" t="n"/>
    </row>
    <row r="532" ht="15" customHeight="1" s="62">
      <c r="A532" s="83" t="n">
        <v>76</v>
      </c>
      <c r="B532" s="84" t="inlineStr">
        <is>
          <t>Self-serving explanations</t>
        </is>
      </c>
      <c r="C532" s="83" t="inlineStr">
        <is>
          <t>Idea</t>
        </is>
      </c>
      <c r="D532" s="83" t="inlineStr">
        <is>
          <t>You-callout</t>
        </is>
      </c>
      <c r="E532" s="83" t="inlineStr">
        <is>
          <t>II · Confrontation</t>
        </is>
      </c>
      <c r="F532" s="83" t="inlineStr">
        <is>
          <t>Evidence</t>
        </is>
      </c>
      <c r="G532" s="83" t="inlineStr">
        <is>
          <t>8–15s</t>
        </is>
      </c>
      <c r="H532" s="84" t="inlineStr">
        <is>
          <t>Winners credited their talent and effort.</t>
        </is>
      </c>
      <c r="I532" s="84" t="inlineStr">
        <is>
          <t>WINNERS → 'WE WORKED HARD'</t>
        </is>
      </c>
      <c r="J532" s="84" t="n"/>
    </row>
    <row r="533" ht="15" customHeight="1" s="62">
      <c r="A533" s="83" t="n">
        <v>76</v>
      </c>
      <c r="B533" s="84" t="inlineStr">
        <is>
          <t>Self-serving explanations</t>
        </is>
      </c>
      <c r="C533" s="83" t="inlineStr">
        <is>
          <t>Idea</t>
        </is>
      </c>
      <c r="D533" s="83" t="inlineStr">
        <is>
          <t>You-callout</t>
        </is>
      </c>
      <c r="E533" s="83" t="inlineStr">
        <is>
          <t>II · Confrontation</t>
        </is>
      </c>
      <c r="F533" s="83" t="inlineStr">
        <is>
          <t>Escalation</t>
        </is>
      </c>
      <c r="G533" s="83" t="inlineStr">
        <is>
          <t>15–22s</t>
        </is>
      </c>
      <c r="H533" s="84" t="inlineStr">
        <is>
          <t>Losers blamed luck, injuries and officials.</t>
        </is>
      </c>
      <c r="I533" s="84" t="inlineStr">
        <is>
          <t>LOSERS → 'BAD LUCK'</t>
        </is>
      </c>
      <c r="J533" s="84" t="n"/>
    </row>
    <row r="534" ht="15" customHeight="1" s="62">
      <c r="A534" s="83" t="n">
        <v>76</v>
      </c>
      <c r="B534" s="84" t="inlineStr">
        <is>
          <t>Self-serving explanations</t>
        </is>
      </c>
      <c r="C534" s="83" t="inlineStr">
        <is>
          <t>Idea</t>
        </is>
      </c>
      <c r="D534" s="83" t="inlineStr">
        <is>
          <t>You-callout</t>
        </is>
      </c>
      <c r="E534" s="83" t="inlineStr">
        <is>
          <t>II · Confrontation</t>
        </is>
      </c>
      <c r="F534" s="83" t="inlineStr">
        <is>
          <t>Turn</t>
        </is>
      </c>
      <c r="G534" s="83" t="inlineStr">
        <is>
          <t>22–26s</t>
        </is>
      </c>
      <c r="H534" s="84" t="inlineStr">
        <is>
          <t>But you do it too, at work, in exams, in relationships.</t>
        </is>
      </c>
      <c r="I534" s="84" t="inlineStr">
        <is>
          <t>YOU DO IT TOO</t>
        </is>
      </c>
      <c r="J534" s="84" t="n"/>
    </row>
    <row r="535" ht="15" customHeight="1" s="62">
      <c r="A535" s="83" t="n">
        <v>76</v>
      </c>
      <c r="B535" s="84" t="inlineStr">
        <is>
          <t>Self-serving explanations</t>
        </is>
      </c>
      <c r="C535" s="83" t="inlineStr">
        <is>
          <t>Idea</t>
        </is>
      </c>
      <c r="D535" s="83" t="inlineStr">
        <is>
          <t>You-callout</t>
        </is>
      </c>
      <c r="E535" s="83" t="inlineStr">
        <is>
          <t>III · Resolution</t>
        </is>
      </c>
      <c r="F535" s="83" t="inlineStr">
        <is>
          <t>Payoff</t>
        </is>
      </c>
      <c r="G535" s="83" t="inlineStr">
        <is>
          <t>26–32s</t>
        </is>
      </c>
      <c r="H535" s="84" t="inlineStr">
        <is>
          <t>It's the self-serving bias.</t>
        </is>
      </c>
      <c r="I535" s="84" t="inlineStr">
        <is>
          <t>THE SELF-SERVING BIAS</t>
        </is>
      </c>
      <c r="J535" s="84" t="n"/>
    </row>
    <row r="536" ht="23.85" customHeight="1" s="62">
      <c r="A536" s="86" t="n">
        <v>76</v>
      </c>
      <c r="B536" s="87" t="inlineStr">
        <is>
          <t>Self-serving explanations</t>
        </is>
      </c>
      <c r="C536" s="86" t="inlineStr">
        <is>
          <t>Idea</t>
        </is>
      </c>
      <c r="D536" s="86" t="inlineStr">
        <is>
          <t>You-callout</t>
        </is>
      </c>
      <c r="E536" s="86" t="inlineStr">
        <is>
          <t>III · Resolution</t>
        </is>
      </c>
      <c r="F536" s="86" t="inlineStr">
        <is>
          <t>Outro</t>
        </is>
      </c>
      <c r="G536" s="86" t="inlineStr">
        <is>
          <t>32–36s</t>
        </is>
      </c>
      <c r="H536" s="87" t="inlineStr">
        <is>
          <t>After your next win, name one lucky break. After a loss, name one thing you controlled. Follow for more.</t>
        </is>
      </c>
      <c r="I536" s="87" t="inlineStr">
        <is>
          <t>1 LUCKY BREAK | 1 THING YOU CONTROLLED</t>
        </is>
      </c>
      <c r="J536" s="87" t="n"/>
    </row>
    <row r="537" ht="35.05" customHeight="1" s="62">
      <c r="A537" s="78" t="n">
        <v>77</v>
      </c>
      <c r="B537" s="79" t="inlineStr">
        <is>
          <t>Confidence versus accuracy</t>
        </is>
      </c>
      <c r="C537" s="78" t="inlineStr">
        <is>
          <t>Idea</t>
        </is>
      </c>
      <c r="D537" s="78" t="inlineStr">
        <is>
          <t>Study reveal</t>
        </is>
      </c>
      <c r="E537" s="78" t="inlineStr">
        <is>
          <t>I · Setup</t>
        </is>
      </c>
      <c r="F537" s="78" t="inlineStr">
        <is>
          <t>Hook</t>
        </is>
      </c>
      <c r="G537" s="78" t="inlineStr">
        <is>
          <t>0–3s</t>
        </is>
      </c>
      <c r="H537" s="80" t="inlineStr">
        <is>
          <t>The most confident experts were often the worst at predicting.</t>
        </is>
      </c>
      <c r="I537" s="79" t="inlineStr">
        <is>
          <t>CONFIDENT ≠ CORRECT</t>
        </is>
      </c>
      <c r="J537" s="79" t="inlineStr">
        <is>
          <t>Tetlock 2005 'Expert Political Judgment': 284 experts, ~28,000 forecasts; confident experts often poor</t>
        </is>
      </c>
    </row>
    <row r="538" ht="15" customHeight="1" s="62">
      <c r="A538" s="78" t="n">
        <v>77</v>
      </c>
      <c r="B538" s="79" t="inlineStr">
        <is>
          <t>Confidence versus accuracy</t>
        </is>
      </c>
      <c r="C538" s="78" t="inlineStr">
        <is>
          <t>Idea</t>
        </is>
      </c>
      <c r="D538" s="78" t="inlineStr">
        <is>
          <t>Study reveal</t>
        </is>
      </c>
      <c r="E538" s="78" t="inlineStr">
        <is>
          <t>I · Setup</t>
        </is>
      </c>
      <c r="F538" s="78" t="inlineStr">
        <is>
          <t>Setup</t>
        </is>
      </c>
      <c r="G538" s="78" t="inlineStr">
        <is>
          <t>3–8s</t>
        </is>
      </c>
      <c r="H538" s="79" t="inlineStr">
        <is>
          <t>In 2005, Philip Tetlock published 20 years of tracking expert predictions.</t>
        </is>
      </c>
      <c r="I538" s="79" t="inlineStr">
        <is>
          <t>TETLOCK, 2005 | 20 years</t>
        </is>
      </c>
      <c r="J538" s="79" t="n"/>
    </row>
    <row r="539" ht="23.85" customHeight="1" s="62">
      <c r="A539" s="78" t="n">
        <v>77</v>
      </c>
      <c r="B539" s="79" t="inlineStr">
        <is>
          <t>Confidence versus accuracy</t>
        </is>
      </c>
      <c r="C539" s="78" t="inlineStr">
        <is>
          <t>Idea</t>
        </is>
      </c>
      <c r="D539" s="78" t="inlineStr">
        <is>
          <t>Study reveal</t>
        </is>
      </c>
      <c r="E539" s="78" t="inlineStr">
        <is>
          <t>II · Confrontation</t>
        </is>
      </c>
      <c r="F539" s="78" t="inlineStr">
        <is>
          <t>Evidence</t>
        </is>
      </c>
      <c r="G539" s="78" t="inlineStr">
        <is>
          <t>8–15s</t>
        </is>
      </c>
      <c r="H539" s="79" t="inlineStr">
        <is>
          <t>Hundreds of experts made thousands of forecasts about politics and economics.</t>
        </is>
      </c>
      <c r="I539" s="79" t="inlineStr">
        <is>
          <t>284 EXPERTS | ~28,000 FORECASTS</t>
        </is>
      </c>
      <c r="J539" s="79" t="n"/>
    </row>
    <row r="540" ht="23.85" customHeight="1" s="62">
      <c r="A540" s="78" t="n">
        <v>77</v>
      </c>
      <c r="B540" s="79" t="inlineStr">
        <is>
          <t>Confidence versus accuracy</t>
        </is>
      </c>
      <c r="C540" s="78" t="inlineStr">
        <is>
          <t>Idea</t>
        </is>
      </c>
      <c r="D540" s="78" t="inlineStr">
        <is>
          <t>Study reveal</t>
        </is>
      </c>
      <c r="E540" s="78" t="inlineStr">
        <is>
          <t>II · Confrontation</t>
        </is>
      </c>
      <c r="F540" s="78" t="inlineStr">
        <is>
          <t>Escalation</t>
        </is>
      </c>
      <c r="G540" s="78" t="inlineStr">
        <is>
          <t>15–22s</t>
        </is>
      </c>
      <c r="H540" s="79" t="inlineStr">
        <is>
          <t>Many did barely better than simple guessing, and the boldest often did worse.</t>
        </is>
      </c>
      <c r="I540" s="79" t="inlineStr">
        <is>
          <t>BOLD 🔊 → ✗</t>
        </is>
      </c>
      <c r="J540" s="79" t="n"/>
    </row>
    <row r="541" ht="15" customHeight="1" s="62">
      <c r="A541" s="78" t="n">
        <v>77</v>
      </c>
      <c r="B541" s="79" t="inlineStr">
        <is>
          <t>Confidence versus accuracy</t>
        </is>
      </c>
      <c r="C541" s="78" t="inlineStr">
        <is>
          <t>Idea</t>
        </is>
      </c>
      <c r="D541" s="78" t="inlineStr">
        <is>
          <t>Study reveal</t>
        </is>
      </c>
      <c r="E541" s="78" t="inlineStr">
        <is>
          <t>II · Confrontation</t>
        </is>
      </c>
      <c r="F541" s="78" t="inlineStr">
        <is>
          <t>Turn</t>
        </is>
      </c>
      <c r="G541" s="78" t="inlineStr">
        <is>
          <t>22–26s</t>
        </is>
      </c>
      <c r="H541" s="79" t="inlineStr">
        <is>
          <t>But certainty sounds like competence, so we keep listening to it.</t>
        </is>
      </c>
      <c r="I541" s="79" t="inlineStr">
        <is>
          <t>LOUD = 'SMART'?</t>
        </is>
      </c>
      <c r="J541" s="79" t="n"/>
    </row>
    <row r="542" ht="15" customHeight="1" s="62">
      <c r="A542" s="78" t="n">
        <v>77</v>
      </c>
      <c r="B542" s="79" t="inlineStr">
        <is>
          <t>Confidence versus accuracy</t>
        </is>
      </c>
      <c r="C542" s="78" t="inlineStr">
        <is>
          <t>Idea</t>
        </is>
      </c>
      <c r="D542" s="78" t="inlineStr">
        <is>
          <t>Study reveal</t>
        </is>
      </c>
      <c r="E542" s="78" t="inlineStr">
        <is>
          <t>III · Resolution</t>
        </is>
      </c>
      <c r="F542" s="78" t="inlineStr">
        <is>
          <t>Payoff</t>
        </is>
      </c>
      <c r="G542" s="78" t="inlineStr">
        <is>
          <t>26–32s</t>
        </is>
      </c>
      <c r="H542" s="79" t="inlineStr">
        <is>
          <t>Confidence versus accuracy.</t>
        </is>
      </c>
      <c r="I542" s="79" t="inlineStr">
        <is>
          <t>CONFIDENCE vs ACCURACY</t>
        </is>
      </c>
      <c r="J542" s="79" t="n"/>
    </row>
    <row r="543" ht="23.85" customHeight="1" s="62">
      <c r="A543" s="81" t="n">
        <v>77</v>
      </c>
      <c r="B543" s="82" t="inlineStr">
        <is>
          <t>Confidence versus accuracy</t>
        </is>
      </c>
      <c r="C543" s="81" t="inlineStr">
        <is>
          <t>Idea</t>
        </is>
      </c>
      <c r="D543" s="81" t="inlineStr">
        <is>
          <t>Study reveal</t>
        </is>
      </c>
      <c r="E543" s="81" t="inlineStr">
        <is>
          <t>III · Resolution</t>
        </is>
      </c>
      <c r="F543" s="81" t="inlineStr">
        <is>
          <t>Outro</t>
        </is>
      </c>
      <c r="G543" s="81" t="inlineStr">
        <is>
          <t>32–36s</t>
        </is>
      </c>
      <c r="H543" s="82" t="inlineStr">
        <is>
          <t>Next time someone sounds certain, ask: what's your track record? Save this for the next 'expert' you see.</t>
        </is>
      </c>
      <c r="I543" s="82" t="inlineStr">
        <is>
          <t>ASK FOR THE TRACK RECORD</t>
        </is>
      </c>
      <c r="J543" s="82" t="n"/>
    </row>
    <row r="544" ht="23.85" customHeight="1" s="62">
      <c r="A544" s="83" t="n">
        <v>78</v>
      </c>
      <c r="B544" s="84" t="inlineStr">
        <is>
          <t>Values versus approval</t>
        </is>
      </c>
      <c r="C544" s="83" t="inlineStr">
        <is>
          <t>Idea</t>
        </is>
      </c>
      <c r="D544" s="83" t="inlineStr">
        <is>
          <t>Study reveal</t>
        </is>
      </c>
      <c r="E544" s="83" t="inlineStr">
        <is>
          <t>I · Setup</t>
        </is>
      </c>
      <c r="F544" s="83" t="inlineStr">
        <is>
          <t>Hook</t>
        </is>
      </c>
      <c r="G544" s="83" t="inlineStr">
        <is>
          <t>0–3s</t>
        </is>
      </c>
      <c r="H544" s="85" t="inlineStr">
        <is>
          <t>People flipped a coin to be fair, then ignored it about 90 percent of the time.</t>
        </is>
      </c>
      <c r="I544" s="84" t="inlineStr">
        <is>
          <t>🪙 → ignored</t>
        </is>
      </c>
      <c r="J544" s="84" t="inlineStr">
        <is>
          <t>Batson et al. 1997: ~90% who flipped a coin still assigned themselves the positive task</t>
        </is>
      </c>
    </row>
    <row r="545" ht="23.85" customHeight="1" s="62">
      <c r="A545" s="83" t="n">
        <v>78</v>
      </c>
      <c r="B545" s="84" t="inlineStr">
        <is>
          <t>Values versus approval</t>
        </is>
      </c>
      <c r="C545" s="83" t="inlineStr">
        <is>
          <t>Idea</t>
        </is>
      </c>
      <c r="D545" s="83" t="inlineStr">
        <is>
          <t>Study reveal</t>
        </is>
      </c>
      <c r="E545" s="83" t="inlineStr">
        <is>
          <t>I · Setup</t>
        </is>
      </c>
      <c r="F545" s="83" t="inlineStr">
        <is>
          <t>Setup</t>
        </is>
      </c>
      <c r="G545" s="83" t="inlineStr">
        <is>
          <t>3–8s</t>
        </is>
      </c>
      <c r="H545" s="84" t="inlineStr">
        <is>
          <t>In 1997, Daniel Batson let people assign a fun task to themselves or a stranger.</t>
        </is>
      </c>
      <c r="I545" s="84" t="inlineStr">
        <is>
          <t>BATSON ET AL., 1997</t>
        </is>
      </c>
      <c r="J545" s="84" t="n"/>
    </row>
    <row r="546" ht="15" customHeight="1" s="62">
      <c r="A546" s="83" t="n">
        <v>78</v>
      </c>
      <c r="B546" s="84" t="inlineStr">
        <is>
          <t>Values versus approval</t>
        </is>
      </c>
      <c r="C546" s="83" t="inlineStr">
        <is>
          <t>Idea</t>
        </is>
      </c>
      <c r="D546" s="83" t="inlineStr">
        <is>
          <t>Study reveal</t>
        </is>
      </c>
      <c r="E546" s="83" t="inlineStr">
        <is>
          <t>II · Confrontation</t>
        </is>
      </c>
      <c r="F546" s="83" t="inlineStr">
        <is>
          <t>Evidence</t>
        </is>
      </c>
      <c r="G546" s="83" t="inlineStr">
        <is>
          <t>8–15s</t>
        </is>
      </c>
      <c r="H546" s="84" t="inlineStr">
        <is>
          <t>Most agreed flipping a coin was the fair way. About half flipped it.</t>
        </is>
      </c>
      <c r="I546" s="84" t="inlineStr">
        <is>
          <t>'A COIN IS FAIR'</t>
        </is>
      </c>
      <c r="J546" s="84" t="n"/>
    </row>
    <row r="547" ht="15" customHeight="1" s="62">
      <c r="A547" s="83" t="n">
        <v>78</v>
      </c>
      <c r="B547" s="84" t="inlineStr">
        <is>
          <t>Values versus approval</t>
        </is>
      </c>
      <c r="C547" s="83" t="inlineStr">
        <is>
          <t>Idea</t>
        </is>
      </c>
      <c r="D547" s="83" t="inlineStr">
        <is>
          <t>Study reveal</t>
        </is>
      </c>
      <c r="E547" s="83" t="inlineStr">
        <is>
          <t>II · Confrontation</t>
        </is>
      </c>
      <c r="F547" s="83" t="inlineStr">
        <is>
          <t>Escalation</t>
        </is>
      </c>
      <c r="G547" s="83" t="inlineStr">
        <is>
          <t>15–22s</t>
        </is>
      </c>
      <c r="H547" s="84" t="inlineStr">
        <is>
          <t>Of those who flipped, about 90 percent still gave themselves the fun task.</t>
        </is>
      </c>
      <c r="I547" s="84" t="inlineStr">
        <is>
          <t>~90% STILL CHOSE THEMSELVES</t>
        </is>
      </c>
      <c r="J547" s="84" t="n"/>
    </row>
    <row r="548" ht="15" customHeight="1" s="62">
      <c r="A548" s="83" t="n">
        <v>78</v>
      </c>
      <c r="B548" s="84" t="inlineStr">
        <is>
          <t>Values versus approval</t>
        </is>
      </c>
      <c r="C548" s="83" t="inlineStr">
        <is>
          <t>Idea</t>
        </is>
      </c>
      <c r="D548" s="83" t="inlineStr">
        <is>
          <t>Study reveal</t>
        </is>
      </c>
      <c r="E548" s="83" t="inlineStr">
        <is>
          <t>II · Confrontation</t>
        </is>
      </c>
      <c r="F548" s="83" t="inlineStr">
        <is>
          <t>Turn</t>
        </is>
      </c>
      <c r="G548" s="83" t="inlineStr">
        <is>
          <t>22–26s</t>
        </is>
      </c>
      <c r="H548" s="84" t="inlineStr">
        <is>
          <t>But they got to look fair, without being fair.</t>
        </is>
      </c>
      <c r="I548" s="84" t="inlineStr">
        <is>
          <t>LOOK FAIR ≠ BE FAIR</t>
        </is>
      </c>
      <c r="J548" s="84" t="n"/>
    </row>
    <row r="549" ht="15" customHeight="1" s="62">
      <c r="A549" s="83" t="n">
        <v>78</v>
      </c>
      <c r="B549" s="84" t="inlineStr">
        <is>
          <t>Values versus approval</t>
        </is>
      </c>
      <c r="C549" s="83" t="inlineStr">
        <is>
          <t>Idea</t>
        </is>
      </c>
      <c r="D549" s="83" t="inlineStr">
        <is>
          <t>Study reveal</t>
        </is>
      </c>
      <c r="E549" s="83" t="inlineStr">
        <is>
          <t>III · Resolution</t>
        </is>
      </c>
      <c r="F549" s="83" t="inlineStr">
        <is>
          <t>Payoff</t>
        </is>
      </c>
      <c r="G549" s="83" t="inlineStr">
        <is>
          <t>26–32s</t>
        </is>
      </c>
      <c r="H549" s="84" t="inlineStr">
        <is>
          <t>Values versus approval: what would you choose if nobody saw?</t>
        </is>
      </c>
      <c r="I549" s="84" t="inlineStr">
        <is>
          <t>CAMERA ON | CAMERA OFF</t>
        </is>
      </c>
      <c r="J549" s="84" t="n"/>
    </row>
    <row r="550" ht="23.85" customHeight="1" s="62">
      <c r="A550" s="86" t="n">
        <v>78</v>
      </c>
      <c r="B550" s="87" t="inlineStr">
        <is>
          <t>Values versus approval</t>
        </is>
      </c>
      <c r="C550" s="86" t="inlineStr">
        <is>
          <t>Idea</t>
        </is>
      </c>
      <c r="D550" s="86" t="inlineStr">
        <is>
          <t>Study reveal</t>
        </is>
      </c>
      <c r="E550" s="86" t="inlineStr">
        <is>
          <t>III · Resolution</t>
        </is>
      </c>
      <c r="F550" s="86" t="inlineStr">
        <is>
          <t>Outro</t>
        </is>
      </c>
      <c r="G550" s="86" t="inlineStr">
        <is>
          <t>32–36s</t>
        </is>
      </c>
      <c r="H550" s="87" t="inlineStr">
        <is>
          <t>Pick one value and act on it today with nobody watching. Follow for tomorrow's honesty test.</t>
        </is>
      </c>
      <c r="I550" s="87" t="inlineStr">
        <is>
          <t>ACT ON IT UNSEEN</t>
        </is>
      </c>
      <c r="J550" s="87" t="n"/>
    </row>
    <row r="551" ht="23.85" customHeight="1" s="62">
      <c r="A551" s="78" t="n">
        <v>79</v>
      </c>
      <c r="B551" s="79" t="inlineStr">
        <is>
          <t>Identity and behavior</t>
        </is>
      </c>
      <c r="C551" s="78" t="inlineStr">
        <is>
          <t>Idea</t>
        </is>
      </c>
      <c r="D551" s="78" t="inlineStr">
        <is>
          <t>Study reveal</t>
        </is>
      </c>
      <c r="E551" s="78" t="inlineStr">
        <is>
          <t>I · Setup</t>
        </is>
      </c>
      <c r="F551" s="78" t="inlineStr">
        <is>
          <t>Hook</t>
        </is>
      </c>
      <c r="G551" s="78" t="inlineStr">
        <is>
          <t>0–3s</t>
        </is>
      </c>
      <c r="H551" s="80" t="inlineStr">
        <is>
          <t>Asking people to 'be a voter' got more of them to vote than asking them 'to vote'.</t>
        </is>
      </c>
      <c r="I551" s="79" t="inlineStr">
        <is>
          <t>'BE A VOTER' &gt; 'VOTE'</t>
        </is>
      </c>
      <c r="J551" s="79" t="inlineStr">
        <is>
          <t>Bryan et al. 2011: 'be a voter' vs 'vote' raised turnout (replications mixed — verify)</t>
        </is>
      </c>
    </row>
    <row r="552" ht="15" customHeight="1" s="62">
      <c r="A552" s="78" t="n">
        <v>79</v>
      </c>
      <c r="B552" s="79" t="inlineStr">
        <is>
          <t>Identity and behavior</t>
        </is>
      </c>
      <c r="C552" s="78" t="inlineStr">
        <is>
          <t>Idea</t>
        </is>
      </c>
      <c r="D552" s="78" t="inlineStr">
        <is>
          <t>Study reveal</t>
        </is>
      </c>
      <c r="E552" s="78" t="inlineStr">
        <is>
          <t>I · Setup</t>
        </is>
      </c>
      <c r="F552" s="78" t="inlineStr">
        <is>
          <t>Setup</t>
        </is>
      </c>
      <c r="G552" s="78" t="inlineStr">
        <is>
          <t>3–8s</t>
        </is>
      </c>
      <c r="H552" s="79" t="inlineStr">
        <is>
          <t>In 2011, Christopher Bryan's team surveyed people before an election.</t>
        </is>
      </c>
      <c r="I552" s="79" t="inlineStr">
        <is>
          <t>BRYAN ET AL., 2011</t>
        </is>
      </c>
      <c r="J552" s="79" t="n"/>
    </row>
    <row r="553" ht="15" customHeight="1" s="62">
      <c r="A553" s="78" t="n">
        <v>79</v>
      </c>
      <c r="B553" s="79" t="inlineStr">
        <is>
          <t>Identity and behavior</t>
        </is>
      </c>
      <c r="C553" s="78" t="inlineStr">
        <is>
          <t>Idea</t>
        </is>
      </c>
      <c r="D553" s="78" t="inlineStr">
        <is>
          <t>Study reveal</t>
        </is>
      </c>
      <c r="E553" s="78" t="inlineStr">
        <is>
          <t>II · Confrontation</t>
        </is>
      </c>
      <c r="F553" s="78" t="inlineStr">
        <is>
          <t>Evidence</t>
        </is>
      </c>
      <c r="G553" s="78" t="inlineStr">
        <is>
          <t>8–15s</t>
        </is>
      </c>
      <c r="H553" s="79" t="inlineStr">
        <is>
          <t>Half were asked about 'voting'. Half about 'being a voter'.</t>
        </is>
      </c>
      <c r="I553" s="79" t="inlineStr">
        <is>
          <t>VERB | NOUN</t>
        </is>
      </c>
      <c r="J553" s="79" t="n"/>
    </row>
    <row r="554" ht="15" customHeight="1" s="62">
      <c r="A554" s="78" t="n">
        <v>79</v>
      </c>
      <c r="B554" s="79" t="inlineStr">
        <is>
          <t>Identity and behavior</t>
        </is>
      </c>
      <c r="C554" s="78" t="inlineStr">
        <is>
          <t>Idea</t>
        </is>
      </c>
      <c r="D554" s="78" t="inlineStr">
        <is>
          <t>Study reveal</t>
        </is>
      </c>
      <c r="E554" s="78" t="inlineStr">
        <is>
          <t>II · Confrontation</t>
        </is>
      </c>
      <c r="F554" s="78" t="inlineStr">
        <is>
          <t>Escalation</t>
        </is>
      </c>
      <c r="G554" s="78" t="inlineStr">
        <is>
          <t>15–22s</t>
        </is>
      </c>
      <c r="H554" s="79" t="inlineStr">
        <is>
          <t>The 'voter' group turned out more, in their records.</t>
        </is>
      </c>
      <c r="I554" s="79" t="inlineStr">
        <is>
          <t>TURNOUT ⬆</t>
        </is>
      </c>
      <c r="J554" s="79" t="n"/>
    </row>
    <row r="555" ht="23.85" customHeight="1" s="62">
      <c r="A555" s="78" t="n">
        <v>79</v>
      </c>
      <c r="B555" s="79" t="inlineStr">
        <is>
          <t>Identity and behavior</t>
        </is>
      </c>
      <c r="C555" s="78" t="inlineStr">
        <is>
          <t>Idea</t>
        </is>
      </c>
      <c r="D555" s="78" t="inlineStr">
        <is>
          <t>Study reveal</t>
        </is>
      </c>
      <c r="E555" s="78" t="inlineStr">
        <is>
          <t>II · Confrontation</t>
        </is>
      </c>
      <c r="F555" s="78" t="inlineStr">
        <is>
          <t>Turn</t>
        </is>
      </c>
      <c r="G555" s="78" t="inlineStr">
        <is>
          <t>22–26s</t>
        </is>
      </c>
      <c r="H555" s="79" t="inlineStr">
        <is>
          <t>But later studies found it doesn't always replicate, so the bigger lesson is evidence.</t>
        </is>
      </c>
      <c r="I555" s="79" t="inlineStr">
        <is>
          <t>IDENTITY NEEDS EVIDENCE</t>
        </is>
      </c>
      <c r="J555" s="79" t="n"/>
    </row>
    <row r="556" ht="15" customHeight="1" s="62">
      <c r="A556" s="78" t="n">
        <v>79</v>
      </c>
      <c r="B556" s="79" t="inlineStr">
        <is>
          <t>Identity and behavior</t>
        </is>
      </c>
      <c r="C556" s="78" t="inlineStr">
        <is>
          <t>Idea</t>
        </is>
      </c>
      <c r="D556" s="78" t="inlineStr">
        <is>
          <t>Study reveal</t>
        </is>
      </c>
      <c r="E556" s="78" t="inlineStr">
        <is>
          <t>III · Resolution</t>
        </is>
      </c>
      <c r="F556" s="78" t="inlineStr">
        <is>
          <t>Payoff</t>
        </is>
      </c>
      <c r="G556" s="78" t="inlineStr">
        <is>
          <t>26–32s</t>
        </is>
      </c>
      <c r="H556" s="79" t="inlineStr">
        <is>
          <t>Identity and behaviour: every small action is a vote for who you are.</t>
        </is>
      </c>
      <c r="I556" s="79" t="inlineStr">
        <is>
          <t>IDENTITY ↔ BEHAVIOUR</t>
        </is>
      </c>
      <c r="J556" s="79" t="n"/>
    </row>
    <row r="557" ht="23.85" customHeight="1" s="62">
      <c r="A557" s="81" t="n">
        <v>79</v>
      </c>
      <c r="B557" s="82" t="inlineStr">
        <is>
          <t>Identity and behavior</t>
        </is>
      </c>
      <c r="C557" s="81" t="inlineStr">
        <is>
          <t>Idea</t>
        </is>
      </c>
      <c r="D557" s="81" t="inlineStr">
        <is>
          <t>Study reveal</t>
        </is>
      </c>
      <c r="E557" s="81" t="inlineStr">
        <is>
          <t>III · Resolution</t>
        </is>
      </c>
      <c r="F557" s="81" t="inlineStr">
        <is>
          <t>Outro</t>
        </is>
      </c>
      <c r="G557" s="81" t="inlineStr">
        <is>
          <t>32–36s</t>
        </is>
      </c>
      <c r="H557" s="82" t="inlineStr">
        <is>
          <t>Do one tiny action today that proves who you want to be. Comment it, and follow for more.</t>
        </is>
      </c>
      <c r="I557" s="82" t="inlineStr">
        <is>
          <t>ONE TINY PROOF</t>
        </is>
      </c>
      <c r="J557" s="82" t="n"/>
    </row>
    <row r="558" ht="35.05" customHeight="1" s="62">
      <c r="A558" s="83" t="n">
        <v>80</v>
      </c>
      <c r="B558" s="84" t="inlineStr">
        <is>
          <t>The illusion of transparency</t>
        </is>
      </c>
      <c r="C558" s="83" t="inlineStr">
        <is>
          <t>Idea</t>
        </is>
      </c>
      <c r="D558" s="83" t="inlineStr">
        <is>
          <t>Study reveal</t>
        </is>
      </c>
      <c r="E558" s="83" t="inlineStr">
        <is>
          <t>I · Setup</t>
        </is>
      </c>
      <c r="F558" s="83" t="inlineStr">
        <is>
          <t>Hook</t>
        </is>
      </c>
      <c r="G558" s="83" t="inlineStr">
        <is>
          <t>0–3s</t>
        </is>
      </c>
      <c r="H558" s="85" t="inlineStr">
        <is>
          <t>You think everyone can see how nervous you are. They can't.</t>
        </is>
      </c>
      <c r="I558" s="84" t="inlineStr">
        <is>
          <t>INSIDE: 😰 | OUTSIDE: 🙂</t>
        </is>
      </c>
      <c r="J558" s="84" t="inlineStr">
        <is>
          <t>Savitsky &amp; Gilovich 2003: speakers overestimated visible nervousness; telling them helped</t>
        </is>
      </c>
    </row>
    <row r="559" ht="23.85" customHeight="1" s="62">
      <c r="A559" s="83" t="n">
        <v>80</v>
      </c>
      <c r="B559" s="84" t="inlineStr">
        <is>
          <t>The illusion of transparency</t>
        </is>
      </c>
      <c r="C559" s="83" t="inlineStr">
        <is>
          <t>Idea</t>
        </is>
      </c>
      <c r="D559" s="83" t="inlineStr">
        <is>
          <t>Study reveal</t>
        </is>
      </c>
      <c r="E559" s="83" t="inlineStr">
        <is>
          <t>I · Setup</t>
        </is>
      </c>
      <c r="F559" s="83" t="inlineStr">
        <is>
          <t>Setup</t>
        </is>
      </c>
      <c r="G559" s="83" t="inlineStr">
        <is>
          <t>3–8s</t>
        </is>
      </c>
      <c r="H559" s="84" t="inlineStr">
        <is>
          <t>In 2003, Kenneth Savitsky and Thomas Gilovich had students give a speech.</t>
        </is>
      </c>
      <c r="I559" s="84" t="inlineStr">
        <is>
          <t>SAVITSKY &amp; GILOVICH, 2003</t>
        </is>
      </c>
      <c r="J559" s="84" t="n"/>
    </row>
    <row r="560" ht="23.85" customHeight="1" s="62">
      <c r="A560" s="83" t="n">
        <v>80</v>
      </c>
      <c r="B560" s="84" t="inlineStr">
        <is>
          <t>The illusion of transparency</t>
        </is>
      </c>
      <c r="C560" s="83" t="inlineStr">
        <is>
          <t>Idea</t>
        </is>
      </c>
      <c r="D560" s="83" t="inlineStr">
        <is>
          <t>Study reveal</t>
        </is>
      </c>
      <c r="E560" s="83" t="inlineStr">
        <is>
          <t>II · Confrontation</t>
        </is>
      </c>
      <c r="F560" s="83" t="inlineStr">
        <is>
          <t>Evidence</t>
        </is>
      </c>
      <c r="G560" s="83" t="inlineStr">
        <is>
          <t>8–15s</t>
        </is>
      </c>
      <c r="H560" s="84" t="inlineStr">
        <is>
          <t>Speakers rated themselves as visibly nervous. Audiences saw them as much calmer.</t>
        </is>
      </c>
      <c r="I560" s="84" t="inlineStr">
        <is>
          <t>SELF: 8/10 | AUDIENCE: 4/10</t>
        </is>
      </c>
      <c r="J560" s="84" t="n"/>
    </row>
    <row r="561" ht="15" customHeight="1" s="62">
      <c r="A561" s="83" t="n">
        <v>80</v>
      </c>
      <c r="B561" s="84" t="inlineStr">
        <is>
          <t>The illusion of transparency</t>
        </is>
      </c>
      <c r="C561" s="83" t="inlineStr">
        <is>
          <t>Idea</t>
        </is>
      </c>
      <c r="D561" s="83" t="inlineStr">
        <is>
          <t>Study reveal</t>
        </is>
      </c>
      <c r="E561" s="83" t="inlineStr">
        <is>
          <t>II · Confrontation</t>
        </is>
      </c>
      <c r="F561" s="83" t="inlineStr">
        <is>
          <t>Escalation</t>
        </is>
      </c>
      <c r="G561" s="83" t="inlineStr">
        <is>
          <t>15–22s</t>
        </is>
      </c>
      <c r="H561" s="84" t="inlineStr">
        <is>
          <t>And when speakers learned this beforehand, they gave better speeches.</t>
        </is>
      </c>
      <c r="I561" s="84" t="inlineStr">
        <is>
          <t>KNOWING → BETTER SPEECH</t>
        </is>
      </c>
      <c r="J561" s="84" t="n"/>
    </row>
    <row r="562" ht="15" customHeight="1" s="62">
      <c r="A562" s="83" t="n">
        <v>80</v>
      </c>
      <c r="B562" s="84" t="inlineStr">
        <is>
          <t>The illusion of transparency</t>
        </is>
      </c>
      <c r="C562" s="83" t="inlineStr">
        <is>
          <t>Idea</t>
        </is>
      </c>
      <c r="D562" s="83" t="inlineStr">
        <is>
          <t>Study reveal</t>
        </is>
      </c>
      <c r="E562" s="83" t="inlineStr">
        <is>
          <t>II · Confrontation</t>
        </is>
      </c>
      <c r="F562" s="83" t="inlineStr">
        <is>
          <t>Turn</t>
        </is>
      </c>
      <c r="G562" s="83" t="inlineStr">
        <is>
          <t>22–26s</t>
        </is>
      </c>
      <c r="H562" s="84" t="inlineStr">
        <is>
          <t>Your inner panic feels loud, but it leaks out far less than you think.</t>
        </is>
      </c>
      <c r="I562" s="84" t="inlineStr">
        <is>
          <t>IT DOESN'T LEAK</t>
        </is>
      </c>
      <c r="J562" s="84" t="n"/>
    </row>
    <row r="563" ht="15" customHeight="1" s="62">
      <c r="A563" s="83" t="n">
        <v>80</v>
      </c>
      <c r="B563" s="84" t="inlineStr">
        <is>
          <t>The illusion of transparency</t>
        </is>
      </c>
      <c r="C563" s="83" t="inlineStr">
        <is>
          <t>Idea</t>
        </is>
      </c>
      <c r="D563" s="83" t="inlineStr">
        <is>
          <t>Study reveal</t>
        </is>
      </c>
      <c r="E563" s="83" t="inlineStr">
        <is>
          <t>III · Resolution</t>
        </is>
      </c>
      <c r="F563" s="83" t="inlineStr">
        <is>
          <t>Payoff</t>
        </is>
      </c>
      <c r="G563" s="83" t="inlineStr">
        <is>
          <t>26–32s</t>
        </is>
      </c>
      <c r="H563" s="84" t="inlineStr">
        <is>
          <t>That's the illusion of transparency.</t>
        </is>
      </c>
      <c r="I563" s="84" t="inlineStr">
        <is>
          <t>THE ILLUSION OF TRANSPARENCY</t>
        </is>
      </c>
      <c r="J563" s="84" t="n"/>
    </row>
    <row r="564" ht="15" customHeight="1" s="62">
      <c r="A564" s="86" t="n">
        <v>80</v>
      </c>
      <c r="B564" s="87" t="inlineStr">
        <is>
          <t>The illusion of transparency</t>
        </is>
      </c>
      <c r="C564" s="86" t="inlineStr">
        <is>
          <t>Idea</t>
        </is>
      </c>
      <c r="D564" s="86" t="inlineStr">
        <is>
          <t>Study reveal</t>
        </is>
      </c>
      <c r="E564" s="86" t="inlineStr">
        <is>
          <t>III · Resolution</t>
        </is>
      </c>
      <c r="F564" s="86" t="inlineStr">
        <is>
          <t>Outro</t>
        </is>
      </c>
      <c r="G564" s="86" t="inlineStr">
        <is>
          <t>32–36s</t>
        </is>
      </c>
      <c r="H564" s="87" t="inlineStr">
        <is>
          <t>Watch this again before your next presentation. Save it now.</t>
        </is>
      </c>
      <c r="I564" s="87" t="inlineStr">
        <is>
          <t>SAVE FOR YOUR NEXT SPEECH</t>
        </is>
      </c>
      <c r="J564" s="87" t="n"/>
    </row>
    <row r="565" ht="23.85" customHeight="1" s="62">
      <c r="A565" s="78" t="n">
        <v>81</v>
      </c>
      <c r="B565" s="79" t="inlineStr">
        <is>
          <t>Infinite scroll</t>
        </is>
      </c>
      <c r="C565" s="78" t="inlineStr">
        <is>
          <t>Idea</t>
        </is>
      </c>
      <c r="D565" s="78" t="inlineStr">
        <is>
          <t>Pattern interrupt</t>
        </is>
      </c>
      <c r="E565" s="78" t="inlineStr">
        <is>
          <t>I · Setup</t>
        </is>
      </c>
      <c r="F565" s="78" t="inlineStr">
        <is>
          <t>Hook</t>
        </is>
      </c>
      <c r="G565" s="78" t="inlineStr">
        <is>
          <t>0–3s</t>
        </is>
      </c>
      <c r="H565" s="80" t="inlineStr">
        <is>
          <t>The man who invented infinite scroll later said he regretted it.</t>
        </is>
      </c>
      <c r="I565" s="79" t="inlineStr">
        <is>
          <t>∞ SCROLL</t>
        </is>
      </c>
      <c r="J565" s="79" t="inlineStr">
        <is>
          <t>Aza Raskin designed infinite scroll (2006) and has publicly expressed regret</t>
        </is>
      </c>
    </row>
    <row r="566" ht="15" customHeight="1" s="62">
      <c r="A566" s="78" t="n">
        <v>81</v>
      </c>
      <c r="B566" s="79" t="inlineStr">
        <is>
          <t>Infinite scroll</t>
        </is>
      </c>
      <c r="C566" s="78" t="inlineStr">
        <is>
          <t>Idea</t>
        </is>
      </c>
      <c r="D566" s="78" t="inlineStr">
        <is>
          <t>Pattern interrupt</t>
        </is>
      </c>
      <c r="E566" s="78" t="inlineStr">
        <is>
          <t>I · Setup</t>
        </is>
      </c>
      <c r="F566" s="78" t="inlineStr">
        <is>
          <t>Setup</t>
        </is>
      </c>
      <c r="G566" s="78" t="inlineStr">
        <is>
          <t>3–8s</t>
        </is>
      </c>
      <c r="H566" s="79" t="inlineStr">
        <is>
          <t>In 2006, designer Aza Raskin created a page that never ends.</t>
        </is>
      </c>
      <c r="I566" s="79" t="inlineStr">
        <is>
          <t>AZA RASKIN, 2006</t>
        </is>
      </c>
      <c r="J566" s="79" t="n"/>
    </row>
    <row r="567" ht="15" customHeight="1" s="62">
      <c r="A567" s="78" t="n">
        <v>81</v>
      </c>
      <c r="B567" s="79" t="inlineStr">
        <is>
          <t>Infinite scroll</t>
        </is>
      </c>
      <c r="C567" s="78" t="inlineStr">
        <is>
          <t>Idea</t>
        </is>
      </c>
      <c r="D567" s="78" t="inlineStr">
        <is>
          <t>Pattern interrupt</t>
        </is>
      </c>
      <c r="E567" s="78" t="inlineStr">
        <is>
          <t>II · Confrontation</t>
        </is>
      </c>
      <c r="F567" s="78" t="inlineStr">
        <is>
          <t>Evidence</t>
        </is>
      </c>
      <c r="G567" s="78" t="inlineStr">
        <is>
          <t>8–15s</t>
        </is>
      </c>
      <c r="H567" s="79" t="inlineStr">
        <is>
          <t>No bottom. No 'next page'. No natural moment to stop.</t>
        </is>
      </c>
      <c r="I567" s="79" t="inlineStr">
        <is>
          <t>NO BOTTOM ⬇⬇⬇</t>
        </is>
      </c>
      <c r="J567" s="79" t="n"/>
    </row>
    <row r="568" ht="15" customHeight="1" s="62">
      <c r="A568" s="78" t="n">
        <v>81</v>
      </c>
      <c r="B568" s="79" t="inlineStr">
        <is>
          <t>Infinite scroll</t>
        </is>
      </c>
      <c r="C568" s="78" t="inlineStr">
        <is>
          <t>Idea</t>
        </is>
      </c>
      <c r="D568" s="78" t="inlineStr">
        <is>
          <t>Pattern interrupt</t>
        </is>
      </c>
      <c r="E568" s="78" t="inlineStr">
        <is>
          <t>II · Confrontation</t>
        </is>
      </c>
      <c r="F568" s="78" t="inlineStr">
        <is>
          <t>Escalation</t>
        </is>
      </c>
      <c r="G568" s="78" t="inlineStr">
        <is>
          <t>15–22s</t>
        </is>
      </c>
      <c r="H568" s="79" t="inlineStr">
        <is>
          <t>Raskin later spoke publicly about how much time it pulls from people.</t>
        </is>
      </c>
      <c r="I568" s="79" t="inlineStr">
        <is>
          <t>TIME PULLED ⏳</t>
        </is>
      </c>
      <c r="J568" s="79" t="n"/>
    </row>
    <row r="569" ht="23.85" customHeight="1" s="62">
      <c r="A569" s="78" t="n">
        <v>81</v>
      </c>
      <c r="B569" s="79" t="inlineStr">
        <is>
          <t>Infinite scroll</t>
        </is>
      </c>
      <c r="C569" s="78" t="inlineStr">
        <is>
          <t>Idea</t>
        </is>
      </c>
      <c r="D569" s="78" t="inlineStr">
        <is>
          <t>Pattern interrupt</t>
        </is>
      </c>
      <c r="E569" s="78" t="inlineStr">
        <is>
          <t>II · Confrontation</t>
        </is>
      </c>
      <c r="F569" s="78" t="inlineStr">
        <is>
          <t>Turn</t>
        </is>
      </c>
      <c r="G569" s="78" t="inlineStr">
        <is>
          <t>22–26s</t>
        </is>
      </c>
      <c r="H569" s="79" t="inlineStr">
        <is>
          <t>But a stopping point is a cue to decide. Remove it, and you just keep going.</t>
        </is>
      </c>
      <c r="I569" s="79" t="inlineStr">
        <is>
          <t>NO STOP CUE = NO DECISION</t>
        </is>
      </c>
      <c r="J569" s="79" t="n"/>
    </row>
    <row r="570" ht="15" customHeight="1" s="62">
      <c r="A570" s="78" t="n">
        <v>81</v>
      </c>
      <c r="B570" s="79" t="inlineStr">
        <is>
          <t>Infinite scroll</t>
        </is>
      </c>
      <c r="C570" s="78" t="inlineStr">
        <is>
          <t>Idea</t>
        </is>
      </c>
      <c r="D570" s="78" t="inlineStr">
        <is>
          <t>Pattern interrupt</t>
        </is>
      </c>
      <c r="E570" s="78" t="inlineStr">
        <is>
          <t>III · Resolution</t>
        </is>
      </c>
      <c r="F570" s="78" t="inlineStr">
        <is>
          <t>Payoff</t>
        </is>
      </c>
      <c r="G570" s="78" t="inlineStr">
        <is>
          <t>26–32s</t>
        </is>
      </c>
      <c r="H570" s="79" t="inlineStr">
        <is>
          <t>Infinite scroll removes the natural stopping point.</t>
        </is>
      </c>
      <c r="I570" s="79" t="inlineStr">
        <is>
          <t>INFINITE SCROLL</t>
        </is>
      </c>
      <c r="J570" s="79" t="n"/>
    </row>
    <row r="571" ht="23.85" customHeight="1" s="62">
      <c r="A571" s="81" t="n">
        <v>81</v>
      </c>
      <c r="B571" s="82" t="inlineStr">
        <is>
          <t>Infinite scroll</t>
        </is>
      </c>
      <c r="C571" s="81" t="inlineStr">
        <is>
          <t>Idea</t>
        </is>
      </c>
      <c r="D571" s="81" t="inlineStr">
        <is>
          <t>Pattern interrupt</t>
        </is>
      </c>
      <c r="E571" s="81" t="inlineStr">
        <is>
          <t>III · Resolution</t>
        </is>
      </c>
      <c r="F571" s="81" t="inlineStr">
        <is>
          <t>Outro</t>
        </is>
      </c>
      <c r="G571" s="81" t="inlineStr">
        <is>
          <t>32–36s</t>
        </is>
      </c>
      <c r="H571" s="82" t="inlineStr">
        <is>
          <t>Set your own stopping point: a timer before you open the app. Then follow, because tomorrow's video is about why you open it.</t>
        </is>
      </c>
      <c r="I571" s="82" t="inlineStr">
        <is>
          <t>SET YOUR OWN STOP ⏱</t>
        </is>
      </c>
      <c r="J571" s="82" t="n"/>
    </row>
    <row r="572" ht="23.85" customHeight="1" s="62">
      <c r="A572" s="83" t="n">
        <v>82</v>
      </c>
      <c r="B572" s="84" t="inlineStr">
        <is>
          <t>Variable rewards online</t>
        </is>
      </c>
      <c r="C572" s="83" t="inlineStr">
        <is>
          <t>Scheduled</t>
        </is>
      </c>
      <c r="D572" s="83" t="inlineStr">
        <is>
          <t>Study reveal</t>
        </is>
      </c>
      <c r="E572" s="83" t="inlineStr">
        <is>
          <t>I · Setup</t>
        </is>
      </c>
      <c r="F572" s="83" t="inlineStr">
        <is>
          <t>Hook</t>
        </is>
      </c>
      <c r="G572" s="83" t="inlineStr">
        <is>
          <t>0–3s</t>
        </is>
      </c>
      <c r="H572" s="85" t="inlineStr">
        <is>
          <t>Your feed works a lot like a slot machine.</t>
        </is>
      </c>
      <c r="I572" s="84" t="inlineStr">
        <is>
          <t>🎰 = 📱?</t>
        </is>
      </c>
      <c r="J572" s="84" t="inlineStr">
        <is>
          <t>Skinner: variable-ratio reinforcement produces persistent responding</t>
        </is>
      </c>
    </row>
    <row r="573" ht="15" customHeight="1" s="62">
      <c r="A573" s="83" t="n">
        <v>82</v>
      </c>
      <c r="B573" s="84" t="inlineStr">
        <is>
          <t>Variable rewards online</t>
        </is>
      </c>
      <c r="C573" s="83" t="inlineStr">
        <is>
          <t>Scheduled</t>
        </is>
      </c>
      <c r="D573" s="83" t="inlineStr">
        <is>
          <t>Study reveal</t>
        </is>
      </c>
      <c r="E573" s="83" t="inlineStr">
        <is>
          <t>I · Setup</t>
        </is>
      </c>
      <c r="F573" s="83" t="inlineStr">
        <is>
          <t>Setup</t>
        </is>
      </c>
      <c r="G573" s="83" t="inlineStr">
        <is>
          <t>3–8s</t>
        </is>
      </c>
      <c r="H573" s="84" t="inlineStr">
        <is>
          <t>Psychologist B.F. Skinner trained pigeons to peck for food.</t>
        </is>
      </c>
      <c r="I573" s="84" t="inlineStr">
        <is>
          <t>B.F. SKINNER | pigeon</t>
        </is>
      </c>
      <c r="J573" s="84" t="n"/>
    </row>
    <row r="574" ht="15" customHeight="1" s="62">
      <c r="A574" s="83" t="n">
        <v>82</v>
      </c>
      <c r="B574" s="84" t="inlineStr">
        <is>
          <t>Variable rewards online</t>
        </is>
      </c>
      <c r="C574" s="83" t="inlineStr">
        <is>
          <t>Scheduled</t>
        </is>
      </c>
      <c r="D574" s="83" t="inlineStr">
        <is>
          <t>Study reveal</t>
        </is>
      </c>
      <c r="E574" s="83" t="inlineStr">
        <is>
          <t>II · Confrontation</t>
        </is>
      </c>
      <c r="F574" s="83" t="inlineStr">
        <is>
          <t>Evidence</t>
        </is>
      </c>
      <c r="G574" s="83" t="inlineStr">
        <is>
          <t>8–15s</t>
        </is>
      </c>
      <c r="H574" s="84" t="inlineStr">
        <is>
          <t>When food came every time, they pecked steadily.</t>
        </is>
      </c>
      <c r="I574" s="84" t="inlineStr">
        <is>
          <t>EVERY TIME → steady</t>
        </is>
      </c>
      <c r="J574" s="84" t="n"/>
    </row>
    <row r="575" ht="23.85" customHeight="1" s="62">
      <c r="A575" s="83" t="n">
        <v>82</v>
      </c>
      <c r="B575" s="84" t="inlineStr">
        <is>
          <t>Variable rewards online</t>
        </is>
      </c>
      <c r="C575" s="83" t="inlineStr">
        <is>
          <t>Scheduled</t>
        </is>
      </c>
      <c r="D575" s="83" t="inlineStr">
        <is>
          <t>Study reveal</t>
        </is>
      </c>
      <c r="E575" s="83" t="inlineStr">
        <is>
          <t>II · Confrontation</t>
        </is>
      </c>
      <c r="F575" s="83" t="inlineStr">
        <is>
          <t>Escalation</t>
        </is>
      </c>
      <c r="G575" s="83" t="inlineStr">
        <is>
          <t>15–22s</t>
        </is>
      </c>
      <c r="H575" s="84" t="inlineStr">
        <is>
          <t>When it came unpredictably, they pecked faster and longer, even after it stopped.</t>
        </is>
      </c>
      <c r="I575" s="84" t="inlineStr">
        <is>
          <t>RANDOM → can't stop</t>
        </is>
      </c>
      <c r="J575" s="84" t="n"/>
    </row>
    <row r="576" ht="15" customHeight="1" s="62">
      <c r="A576" s="83" t="n">
        <v>82</v>
      </c>
      <c r="B576" s="84" t="inlineStr">
        <is>
          <t>Variable rewards online</t>
        </is>
      </c>
      <c r="C576" s="83" t="inlineStr">
        <is>
          <t>Scheduled</t>
        </is>
      </c>
      <c r="D576" s="83" t="inlineStr">
        <is>
          <t>Study reveal</t>
        </is>
      </c>
      <c r="E576" s="83" t="inlineStr">
        <is>
          <t>II · Confrontation</t>
        </is>
      </c>
      <c r="F576" s="83" t="inlineStr">
        <is>
          <t>Turn</t>
        </is>
      </c>
      <c r="G576" s="83" t="inlineStr">
        <is>
          <t>22–26s</t>
        </is>
      </c>
      <c r="H576" s="84" t="inlineStr">
        <is>
          <t>But your next swipe is unpredictable too. Maybe boring, maybe amazing.</t>
        </is>
      </c>
      <c r="I576" s="84" t="inlineStr">
        <is>
          <t>SWIPE → ??</t>
        </is>
      </c>
      <c r="J576" s="84" t="n"/>
    </row>
    <row r="577" ht="15" customHeight="1" s="62">
      <c r="A577" s="83" t="n">
        <v>82</v>
      </c>
      <c r="B577" s="84" t="inlineStr">
        <is>
          <t>Variable rewards online</t>
        </is>
      </c>
      <c r="C577" s="83" t="inlineStr">
        <is>
          <t>Scheduled</t>
        </is>
      </c>
      <c r="D577" s="83" t="inlineStr">
        <is>
          <t>Study reveal</t>
        </is>
      </c>
      <c r="E577" s="83" t="inlineStr">
        <is>
          <t>III · Resolution</t>
        </is>
      </c>
      <c r="F577" s="83" t="inlineStr">
        <is>
          <t>Payoff</t>
        </is>
      </c>
      <c r="G577" s="83" t="inlineStr">
        <is>
          <t>26–32s</t>
        </is>
      </c>
      <c r="H577" s="84" t="inlineStr">
        <is>
          <t>Those are variable rewards.</t>
        </is>
      </c>
      <c r="I577" s="84" t="inlineStr">
        <is>
          <t>VARIABLE REWARDS</t>
        </is>
      </c>
      <c r="J577" s="84" t="n"/>
    </row>
    <row r="578" ht="23.85" customHeight="1" s="62">
      <c r="A578" s="86" t="n">
        <v>82</v>
      </c>
      <c r="B578" s="87" t="inlineStr">
        <is>
          <t>Variable rewards online</t>
        </is>
      </c>
      <c r="C578" s="86" t="inlineStr">
        <is>
          <t>Scheduled</t>
        </is>
      </c>
      <c r="D578" s="86" t="inlineStr">
        <is>
          <t>Study reveal</t>
        </is>
      </c>
      <c r="E578" s="86" t="inlineStr">
        <is>
          <t>III · Resolution</t>
        </is>
      </c>
      <c r="F578" s="86" t="inlineStr">
        <is>
          <t>Outro</t>
        </is>
      </c>
      <c r="G578" s="86" t="inlineStr">
        <is>
          <t>32–36s</t>
        </is>
      </c>
      <c r="H578" s="87" t="inlineStr">
        <is>
          <t>Notice the 'one more swipe' feeling, and decide before you scroll. Follow for tomorrow's habit hack.</t>
        </is>
      </c>
      <c r="I578" s="87" t="inlineStr">
        <is>
          <t>DECIDE BEFORE YOU SCROLL</t>
        </is>
      </c>
      <c r="J578" s="87" t="n"/>
    </row>
    <row r="579" ht="35.05" customHeight="1" s="62">
      <c r="A579" s="78" t="n">
        <v>83</v>
      </c>
      <c r="B579" s="79" t="inlineStr">
        <is>
          <t>Likes and feedback</t>
        </is>
      </c>
      <c r="C579" s="78" t="inlineStr">
        <is>
          <t>Scheduled</t>
        </is>
      </c>
      <c r="D579" s="78" t="inlineStr">
        <is>
          <t>Study reveal</t>
        </is>
      </c>
      <c r="E579" s="78" t="inlineStr">
        <is>
          <t>I · Setup</t>
        </is>
      </c>
      <c r="F579" s="78" t="inlineStr">
        <is>
          <t>Hook</t>
        </is>
      </c>
      <c r="G579" s="78" t="inlineStr">
        <is>
          <t>0–3s</t>
        </is>
      </c>
      <c r="H579" s="80" t="inlineStr">
        <is>
          <t>Teens liked the same photo more when it already had lots of likes.</t>
        </is>
      </c>
      <c r="I579" s="79" t="inlineStr">
        <is>
          <t>SAME PHOTO | 23 ♥ vs 1,000 ♥</t>
        </is>
      </c>
      <c r="J579" s="79" t="inlineStr">
        <is>
          <t>Sherman et al. 2016: teens more likely to like photos with many likes; reward regions more active</t>
        </is>
      </c>
    </row>
    <row r="580" ht="23.85" customHeight="1" s="62">
      <c r="A580" s="78" t="n">
        <v>83</v>
      </c>
      <c r="B580" s="79" t="inlineStr">
        <is>
          <t>Likes and feedback</t>
        </is>
      </c>
      <c r="C580" s="78" t="inlineStr">
        <is>
          <t>Scheduled</t>
        </is>
      </c>
      <c r="D580" s="78" t="inlineStr">
        <is>
          <t>Study reveal</t>
        </is>
      </c>
      <c r="E580" s="78" t="inlineStr">
        <is>
          <t>I · Setup</t>
        </is>
      </c>
      <c r="F580" s="78" t="inlineStr">
        <is>
          <t>Setup</t>
        </is>
      </c>
      <c r="G580" s="78" t="inlineStr">
        <is>
          <t>3–8s</t>
        </is>
      </c>
      <c r="H580" s="79" t="inlineStr">
        <is>
          <t>In 2016, Lauren Sherman's team showed teens a fake Instagram feed in a brain scanner.</t>
        </is>
      </c>
      <c r="I580" s="79" t="inlineStr">
        <is>
          <t>SHERMAN ET AL., 2016 | MRI</t>
        </is>
      </c>
      <c r="J580" s="79" t="n"/>
    </row>
    <row r="581" ht="15" customHeight="1" s="62">
      <c r="A581" s="78" t="n">
        <v>83</v>
      </c>
      <c r="B581" s="79" t="inlineStr">
        <is>
          <t>Likes and feedback</t>
        </is>
      </c>
      <c r="C581" s="78" t="inlineStr">
        <is>
          <t>Scheduled</t>
        </is>
      </c>
      <c r="D581" s="78" t="inlineStr">
        <is>
          <t>Study reveal</t>
        </is>
      </c>
      <c r="E581" s="78" t="inlineStr">
        <is>
          <t>II · Confrontation</t>
        </is>
      </c>
      <c r="F581" s="78" t="inlineStr">
        <is>
          <t>Evidence</t>
        </is>
      </c>
      <c r="G581" s="78" t="inlineStr">
        <is>
          <t>8–15s</t>
        </is>
      </c>
      <c r="H581" s="79" t="inlineStr">
        <is>
          <t>Photos with many likes got liked more often.</t>
        </is>
      </c>
      <c r="I581" s="79" t="inlineStr">
        <is>
          <t>MANY LIKES → MORE LIKES</t>
        </is>
      </c>
      <c r="J581" s="79" t="n"/>
    </row>
    <row r="582" ht="23.85" customHeight="1" s="62">
      <c r="A582" s="78" t="n">
        <v>83</v>
      </c>
      <c r="B582" s="79" t="inlineStr">
        <is>
          <t>Likes and feedback</t>
        </is>
      </c>
      <c r="C582" s="78" t="inlineStr">
        <is>
          <t>Scheduled</t>
        </is>
      </c>
      <c r="D582" s="78" t="inlineStr">
        <is>
          <t>Study reveal</t>
        </is>
      </c>
      <c r="E582" s="78" t="inlineStr">
        <is>
          <t>II · Confrontation</t>
        </is>
      </c>
      <c r="F582" s="78" t="inlineStr">
        <is>
          <t>Escalation</t>
        </is>
      </c>
      <c r="G582" s="78" t="inlineStr">
        <is>
          <t>15–22s</t>
        </is>
      </c>
      <c r="H582" s="79" t="inlineStr">
        <is>
          <t>And seeing their own photos with many likes lit up reward-related brain areas.</t>
        </is>
      </c>
      <c r="I582" s="79" t="inlineStr">
        <is>
          <t>REWARD AREAS ⬆</t>
        </is>
      </c>
      <c r="J582" s="79" t="n"/>
    </row>
    <row r="583" ht="15" customHeight="1" s="62">
      <c r="A583" s="78" t="n">
        <v>83</v>
      </c>
      <c r="B583" s="79" t="inlineStr">
        <is>
          <t>Likes and feedback</t>
        </is>
      </c>
      <c r="C583" s="78" t="inlineStr">
        <is>
          <t>Scheduled</t>
        </is>
      </c>
      <c r="D583" s="78" t="inlineStr">
        <is>
          <t>Study reveal</t>
        </is>
      </c>
      <c r="E583" s="78" t="inlineStr">
        <is>
          <t>II · Confrontation</t>
        </is>
      </c>
      <c r="F583" s="78" t="inlineStr">
        <is>
          <t>Turn</t>
        </is>
      </c>
      <c r="G583" s="78" t="inlineStr">
        <is>
          <t>22–26s</t>
        </is>
      </c>
      <c r="H583" s="79" t="inlineStr">
        <is>
          <t>But that's just a number, not proof the photo is better.</t>
        </is>
      </c>
      <c r="I583" s="79" t="inlineStr">
        <is>
          <t>A NUMBER, NOT QUALITY</t>
        </is>
      </c>
      <c r="J583" s="79" t="n"/>
    </row>
    <row r="584" ht="15" customHeight="1" s="62">
      <c r="A584" s="78" t="n">
        <v>83</v>
      </c>
      <c r="B584" s="79" t="inlineStr">
        <is>
          <t>Likes and feedback</t>
        </is>
      </c>
      <c r="C584" s="78" t="inlineStr">
        <is>
          <t>Scheduled</t>
        </is>
      </c>
      <c r="D584" s="78" t="inlineStr">
        <is>
          <t>Study reveal</t>
        </is>
      </c>
      <c r="E584" s="78" t="inlineStr">
        <is>
          <t>III · Resolution</t>
        </is>
      </c>
      <c r="F584" s="78" t="inlineStr">
        <is>
          <t>Payoff</t>
        </is>
      </c>
      <c r="G584" s="78" t="inlineStr">
        <is>
          <t>26–32s</t>
        </is>
      </c>
      <c r="H584" s="79" t="inlineStr">
        <is>
          <t>Likes are feedback that steers what we like.</t>
        </is>
      </c>
      <c r="I584" s="79" t="inlineStr">
        <is>
          <t>LIKES AND FEEDBACK</t>
        </is>
      </c>
      <c r="J584" s="79" t="n"/>
    </row>
    <row r="585" ht="23.85" customHeight="1" s="62">
      <c r="A585" s="81" t="n">
        <v>83</v>
      </c>
      <c r="B585" s="82" t="inlineStr">
        <is>
          <t>Likes and feedback</t>
        </is>
      </c>
      <c r="C585" s="81" t="inlineStr">
        <is>
          <t>Scheduled</t>
        </is>
      </c>
      <c r="D585" s="81" t="inlineStr">
        <is>
          <t>Study reveal</t>
        </is>
      </c>
      <c r="E585" s="81" t="inlineStr">
        <is>
          <t>III · Resolution</t>
        </is>
      </c>
      <c r="F585" s="81" t="inlineStr">
        <is>
          <t>Outro</t>
        </is>
      </c>
      <c r="G585" s="81" t="inlineStr">
        <is>
          <t>32–36s</t>
        </is>
      </c>
      <c r="H585" s="82" t="inlineStr">
        <is>
          <t>Try hiding like counts for a week and see how posting feels. Follow, tomorrow it's about comparisons.</t>
        </is>
      </c>
      <c r="I585" s="82" t="inlineStr">
        <is>
          <t>HIDE LIKES FOR A WEEK</t>
        </is>
      </c>
      <c r="J585" s="82" t="n"/>
    </row>
    <row r="586" ht="23.85" customHeight="1" s="62">
      <c r="A586" s="83" t="n">
        <v>84</v>
      </c>
      <c r="B586" s="84" t="inlineStr">
        <is>
          <t>Curated-feed comparisons</t>
        </is>
      </c>
      <c r="C586" s="83" t="inlineStr">
        <is>
          <t>Scheduled</t>
        </is>
      </c>
      <c r="D586" s="83" t="inlineStr">
        <is>
          <t>Study reveal</t>
        </is>
      </c>
      <c r="E586" s="83" t="inlineStr">
        <is>
          <t>I · Setup</t>
        </is>
      </c>
      <c r="F586" s="83" t="inlineStr">
        <is>
          <t>Hook</t>
        </is>
      </c>
      <c r="G586" s="83" t="inlineStr">
        <is>
          <t>0–3s</t>
        </is>
      </c>
      <c r="H586" s="85" t="inlineStr">
        <is>
          <t>You're comparing your whole life to someone's best five seconds.</t>
        </is>
      </c>
      <c r="I586" s="84" t="inlineStr">
        <is>
          <t>YOUR DAY vs THEIR HIGHLIGHT</t>
        </is>
      </c>
      <c r="J586" s="84" t="inlineStr">
        <is>
          <t>Jordan et al. 2011: people underestimate others' negative emotions</t>
        </is>
      </c>
    </row>
    <row r="587" ht="23.85" customHeight="1" s="62">
      <c r="A587" s="83" t="n">
        <v>84</v>
      </c>
      <c r="B587" s="84" t="inlineStr">
        <is>
          <t>Curated-feed comparisons</t>
        </is>
      </c>
      <c r="C587" s="83" t="inlineStr">
        <is>
          <t>Scheduled</t>
        </is>
      </c>
      <c r="D587" s="83" t="inlineStr">
        <is>
          <t>Study reveal</t>
        </is>
      </c>
      <c r="E587" s="83" t="inlineStr">
        <is>
          <t>I · Setup</t>
        </is>
      </c>
      <c r="F587" s="83" t="inlineStr">
        <is>
          <t>Setup</t>
        </is>
      </c>
      <c r="G587" s="83" t="inlineStr">
        <is>
          <t>3–8s</t>
        </is>
      </c>
      <c r="H587" s="84" t="inlineStr">
        <is>
          <t>In 2011, Alexander Jordan's team asked students how often their peers felt sad or lonely.</t>
        </is>
      </c>
      <c r="I587" s="84" t="inlineStr">
        <is>
          <t>JORDAN ET AL., 2011</t>
        </is>
      </c>
      <c r="J587" s="84" t="n"/>
    </row>
    <row r="588" ht="15" customHeight="1" s="62">
      <c r="A588" s="83" t="n">
        <v>84</v>
      </c>
      <c r="B588" s="84" t="inlineStr">
        <is>
          <t>Curated-feed comparisons</t>
        </is>
      </c>
      <c r="C588" s="83" t="inlineStr">
        <is>
          <t>Scheduled</t>
        </is>
      </c>
      <c r="D588" s="83" t="inlineStr">
        <is>
          <t>Study reveal</t>
        </is>
      </c>
      <c r="E588" s="83" t="inlineStr">
        <is>
          <t>II · Confrontation</t>
        </is>
      </c>
      <c r="F588" s="83" t="inlineStr">
        <is>
          <t>Evidence</t>
        </is>
      </c>
      <c r="G588" s="83" t="inlineStr">
        <is>
          <t>8–15s</t>
        </is>
      </c>
      <c r="H588" s="84" t="inlineStr">
        <is>
          <t>Students consistently underestimated how often others had bad moments.</t>
        </is>
      </c>
      <c r="I588" s="84" t="inlineStr">
        <is>
          <t>OTHERS' BAD DAYS: ⬇ estimated</t>
        </is>
      </c>
      <c r="J588" s="84" t="n"/>
    </row>
    <row r="589" ht="15" customHeight="1" s="62">
      <c r="A589" s="83" t="n">
        <v>84</v>
      </c>
      <c r="B589" s="84" t="inlineStr">
        <is>
          <t>Curated-feed comparisons</t>
        </is>
      </c>
      <c r="C589" s="83" t="inlineStr">
        <is>
          <t>Scheduled</t>
        </is>
      </c>
      <c r="D589" s="83" t="inlineStr">
        <is>
          <t>Study reveal</t>
        </is>
      </c>
      <c r="E589" s="83" t="inlineStr">
        <is>
          <t>II · Confrontation</t>
        </is>
      </c>
      <c r="F589" s="83" t="inlineStr">
        <is>
          <t>Escalation</t>
        </is>
      </c>
      <c r="G589" s="83" t="inlineStr">
        <is>
          <t>15–22s</t>
        </is>
      </c>
      <c r="H589" s="84" t="inlineStr">
        <is>
          <t>And those who underestimated more felt lonelier.</t>
        </is>
      </c>
      <c r="I589" s="84" t="inlineStr">
        <is>
          <t>UNDERESTIMATE → LONELIER</t>
        </is>
      </c>
      <c r="J589" s="84" t="n"/>
    </row>
    <row r="590" ht="15" customHeight="1" s="62">
      <c r="A590" s="83" t="n">
        <v>84</v>
      </c>
      <c r="B590" s="84" t="inlineStr">
        <is>
          <t>Curated-feed comparisons</t>
        </is>
      </c>
      <c r="C590" s="83" t="inlineStr">
        <is>
          <t>Scheduled</t>
        </is>
      </c>
      <c r="D590" s="83" t="inlineStr">
        <is>
          <t>Study reveal</t>
        </is>
      </c>
      <c r="E590" s="83" t="inlineStr">
        <is>
          <t>II · Confrontation</t>
        </is>
      </c>
      <c r="F590" s="83" t="inlineStr">
        <is>
          <t>Turn</t>
        </is>
      </c>
      <c r="G590" s="83" t="inlineStr">
        <is>
          <t>22–26s</t>
        </is>
      </c>
      <c r="H590" s="84" t="inlineStr">
        <is>
          <t>But the photo leaves out the mess outside the frame.</t>
        </is>
      </c>
      <c r="I590" s="84" t="inlineStr">
        <is>
          <t>outside the frame: the mess</t>
        </is>
      </c>
      <c r="J590" s="84" t="n"/>
    </row>
    <row r="591" ht="15" customHeight="1" s="62">
      <c r="A591" s="83" t="n">
        <v>84</v>
      </c>
      <c r="B591" s="84" t="inlineStr">
        <is>
          <t>Curated-feed comparisons</t>
        </is>
      </c>
      <c r="C591" s="83" t="inlineStr">
        <is>
          <t>Scheduled</t>
        </is>
      </c>
      <c r="D591" s="83" t="inlineStr">
        <is>
          <t>Study reveal</t>
        </is>
      </c>
      <c r="E591" s="83" t="inlineStr">
        <is>
          <t>III · Resolution</t>
        </is>
      </c>
      <c r="F591" s="83" t="inlineStr">
        <is>
          <t>Payoff</t>
        </is>
      </c>
      <c r="G591" s="83" t="inlineStr">
        <is>
          <t>26–32s</t>
        </is>
      </c>
      <c r="H591" s="84" t="inlineStr">
        <is>
          <t>Curated-feed comparisons.</t>
        </is>
      </c>
      <c r="I591" s="84" t="inlineStr">
        <is>
          <t>THE HIGHLIGHT REEL</t>
        </is>
      </c>
      <c r="J591" s="84" t="n"/>
    </row>
    <row r="592" ht="23.85" customHeight="1" s="62">
      <c r="A592" s="86" t="n">
        <v>84</v>
      </c>
      <c r="B592" s="87" t="inlineStr">
        <is>
          <t>Curated-feed comparisons</t>
        </is>
      </c>
      <c r="C592" s="86" t="inlineStr">
        <is>
          <t>Scheduled</t>
        </is>
      </c>
      <c r="D592" s="86" t="inlineStr">
        <is>
          <t>Study reveal</t>
        </is>
      </c>
      <c r="E592" s="86" t="inlineStr">
        <is>
          <t>III · Resolution</t>
        </is>
      </c>
      <c r="F592" s="86" t="inlineStr">
        <is>
          <t>Outro</t>
        </is>
      </c>
      <c r="G592" s="86" t="inlineStr">
        <is>
          <t>32–36s</t>
        </is>
      </c>
      <c r="H592" s="87" t="inlineStr">
        <is>
          <t>Next time a post makes you feel small, picture the 50 takes that didn't make it. Follow for more.</t>
        </is>
      </c>
      <c r="I592" s="87" t="inlineStr">
        <is>
          <t>50 TAKES BEHIND IT</t>
        </is>
      </c>
      <c r="J592" s="87" t="n"/>
    </row>
    <row r="593" ht="23.85" customHeight="1" s="62">
      <c r="A593" s="78" t="n">
        <v>85</v>
      </c>
      <c r="B593" s="79" t="inlineStr">
        <is>
          <t>Fear of missing out</t>
        </is>
      </c>
      <c r="C593" s="78" t="inlineStr">
        <is>
          <t>Scripted</t>
        </is>
      </c>
      <c r="D593" s="78" t="inlineStr">
        <is>
          <t>You-callout</t>
        </is>
      </c>
      <c r="E593" s="78" t="inlineStr">
        <is>
          <t>I · Setup</t>
        </is>
      </c>
      <c r="F593" s="78" t="inlineStr">
        <is>
          <t>Hook</t>
        </is>
      </c>
      <c r="G593" s="78" t="inlineStr">
        <is>
          <t>0–3s</t>
        </is>
      </c>
      <c r="H593" s="80" t="inlineStr">
        <is>
          <t>Put your phone down for an hour. Feel that? It has a name.</t>
        </is>
      </c>
      <c r="I593" s="79" t="inlineStr">
        <is>
          <t>phone face down ⏳ 😟</t>
        </is>
      </c>
      <c r="J593" s="79" t="inlineStr">
        <is>
          <t>Przybylski et al. 2013: developed FoMO scale; higher FoMO linked to lower need satisfaction</t>
        </is>
      </c>
    </row>
    <row r="594" ht="15" customHeight="1" s="62">
      <c r="A594" s="78" t="n">
        <v>85</v>
      </c>
      <c r="B594" s="79" t="inlineStr">
        <is>
          <t>Fear of missing out</t>
        </is>
      </c>
      <c r="C594" s="78" t="inlineStr">
        <is>
          <t>Scripted</t>
        </is>
      </c>
      <c r="D594" s="78" t="inlineStr">
        <is>
          <t>You-callout</t>
        </is>
      </c>
      <c r="E594" s="78" t="inlineStr">
        <is>
          <t>I · Setup</t>
        </is>
      </c>
      <c r="F594" s="78" t="inlineStr">
        <is>
          <t>Setup</t>
        </is>
      </c>
      <c r="G594" s="78" t="inlineStr">
        <is>
          <t>3–8s</t>
        </is>
      </c>
      <c r="H594" s="79" t="inlineStr">
        <is>
          <t>You imagine everyone else is out having fun without you.</t>
        </is>
      </c>
      <c r="I594" s="79" t="inlineStr">
        <is>
          <t>imagined party without you</t>
        </is>
      </c>
      <c r="J594" s="79" t="n"/>
    </row>
    <row r="595" ht="15" customHeight="1" s="62">
      <c r="A595" s="78" t="n">
        <v>85</v>
      </c>
      <c r="B595" s="79" t="inlineStr">
        <is>
          <t>Fear of missing out</t>
        </is>
      </c>
      <c r="C595" s="78" t="inlineStr">
        <is>
          <t>Scripted</t>
        </is>
      </c>
      <c r="D595" s="78" t="inlineStr">
        <is>
          <t>You-callout</t>
        </is>
      </c>
      <c r="E595" s="78" t="inlineStr">
        <is>
          <t>II · Confrontation</t>
        </is>
      </c>
      <c r="F595" s="78" t="inlineStr">
        <is>
          <t>Evidence</t>
        </is>
      </c>
      <c r="G595" s="78" t="inlineStr">
        <is>
          <t>8–15s</t>
        </is>
      </c>
      <c r="H595" s="79" t="inlineStr">
        <is>
          <t>In 2013, Andrew Przybylski's team created the first scale for this feeling.</t>
        </is>
      </c>
      <c r="I595" s="79" t="inlineStr">
        <is>
          <t>PRZYBYLSKI ET AL., 2013</t>
        </is>
      </c>
      <c r="J595" s="79" t="n"/>
    </row>
    <row r="596" ht="23.85" customHeight="1" s="62">
      <c r="A596" s="78" t="n">
        <v>85</v>
      </c>
      <c r="B596" s="79" t="inlineStr">
        <is>
          <t>Fear of missing out</t>
        </is>
      </c>
      <c r="C596" s="78" t="inlineStr">
        <is>
          <t>Scripted</t>
        </is>
      </c>
      <c r="D596" s="78" t="inlineStr">
        <is>
          <t>You-callout</t>
        </is>
      </c>
      <c r="E596" s="78" t="inlineStr">
        <is>
          <t>II · Confrontation</t>
        </is>
      </c>
      <c r="F596" s="78" t="inlineStr">
        <is>
          <t>Escalation</t>
        </is>
      </c>
      <c r="G596" s="78" t="inlineStr">
        <is>
          <t>15–22s</t>
        </is>
      </c>
      <c r="H596" s="79" t="inlineStr">
        <is>
          <t>People with higher scores used social media more and felt less satisfied overall.</t>
        </is>
      </c>
      <c r="I596" s="79" t="inlineStr">
        <is>
          <t>FOMO ⬆ SATISFACTION ⬇</t>
        </is>
      </c>
      <c r="J596" s="79" t="n"/>
    </row>
    <row r="597" ht="15" customHeight="1" s="62">
      <c r="A597" s="78" t="n">
        <v>85</v>
      </c>
      <c r="B597" s="79" t="inlineStr">
        <is>
          <t>Fear of missing out</t>
        </is>
      </c>
      <c r="C597" s="78" t="inlineStr">
        <is>
          <t>Scripted</t>
        </is>
      </c>
      <c r="D597" s="78" t="inlineStr">
        <is>
          <t>You-callout</t>
        </is>
      </c>
      <c r="E597" s="78" t="inlineStr">
        <is>
          <t>II · Confrontation</t>
        </is>
      </c>
      <c r="F597" s="78" t="inlineStr">
        <is>
          <t>Turn</t>
        </is>
      </c>
      <c r="G597" s="78" t="inlineStr">
        <is>
          <t>22–26s</t>
        </is>
      </c>
      <c r="H597" s="79" t="inlineStr">
        <is>
          <t>But what you're missing is mostly imagined, and what you're doing is real.</t>
        </is>
      </c>
      <c r="I597" s="79" t="inlineStr">
        <is>
          <t>IMAGINED vs REAL</t>
        </is>
      </c>
      <c r="J597" s="79" t="n"/>
    </row>
    <row r="598" ht="15" customHeight="1" s="62">
      <c r="A598" s="78" t="n">
        <v>85</v>
      </c>
      <c r="B598" s="79" t="inlineStr">
        <is>
          <t>Fear of missing out</t>
        </is>
      </c>
      <c r="C598" s="78" t="inlineStr">
        <is>
          <t>Scripted</t>
        </is>
      </c>
      <c r="D598" s="78" t="inlineStr">
        <is>
          <t>You-callout</t>
        </is>
      </c>
      <c r="E598" s="78" t="inlineStr">
        <is>
          <t>III · Resolution</t>
        </is>
      </c>
      <c r="F598" s="78" t="inlineStr">
        <is>
          <t>Payoff</t>
        </is>
      </c>
      <c r="G598" s="78" t="inlineStr">
        <is>
          <t>26–32s</t>
        </is>
      </c>
      <c r="H598" s="79" t="inlineStr">
        <is>
          <t>It's FOMO: the fear of missing out.</t>
        </is>
      </c>
      <c r="I598" s="79" t="inlineStr">
        <is>
          <t>FOMO</t>
        </is>
      </c>
      <c r="J598" s="79" t="n"/>
    </row>
    <row r="599" ht="23.85" customHeight="1" s="62">
      <c r="A599" s="81" t="n">
        <v>85</v>
      </c>
      <c r="B599" s="82" t="inlineStr">
        <is>
          <t>Fear of missing out</t>
        </is>
      </c>
      <c r="C599" s="81" t="inlineStr">
        <is>
          <t>Scripted</t>
        </is>
      </c>
      <c r="D599" s="81" t="inlineStr">
        <is>
          <t>You-callout</t>
        </is>
      </c>
      <c r="E599" s="81" t="inlineStr">
        <is>
          <t>III · Resolution</t>
        </is>
      </c>
      <c r="F599" s="81" t="inlineStr">
        <is>
          <t>Outro</t>
        </is>
      </c>
      <c r="G599" s="81" t="inlineStr">
        <is>
          <t>32–36s</t>
        </is>
      </c>
      <c r="H599" s="82" t="inlineStr">
        <is>
          <t>Put your phone in another room for one real moment today. Comment how it felt, and follow.</t>
        </is>
      </c>
      <c r="I599" s="82" t="inlineStr">
        <is>
          <t>ONE REAL MOMENT</t>
        </is>
      </c>
      <c r="J599" s="82" t="n"/>
    </row>
    <row r="600" ht="23.85" customHeight="1" s="62">
      <c r="A600" s="83" t="n">
        <v>86</v>
      </c>
      <c r="B600" s="84" t="inlineStr">
        <is>
          <t>Loss-aversion marketing</t>
        </is>
      </c>
      <c r="C600" s="83" t="inlineStr">
        <is>
          <t>Scripted</t>
        </is>
      </c>
      <c r="D600" s="83" t="inlineStr">
        <is>
          <t>Contrarian</t>
        </is>
      </c>
      <c r="E600" s="83" t="inlineStr">
        <is>
          <t>I · Setup</t>
        </is>
      </c>
      <c r="F600" s="83" t="inlineStr">
        <is>
          <t>Hook</t>
        </is>
      </c>
      <c r="G600" s="83" t="inlineStr">
        <is>
          <t>0–3s</t>
        </is>
      </c>
      <c r="H600" s="85" t="inlineStr">
        <is>
          <t>'Don't miss out' sells better than 'you could gain'. Here's why.</t>
        </is>
      </c>
      <c r="I600" s="84" t="inlineStr">
        <is>
          <t>DON'T MISS OUT! vs YOU COULD GAIN</t>
        </is>
      </c>
      <c r="J600" s="84" t="inlineStr">
        <is>
          <t>Kahneman &amp; Tversky 1979 prospect theory: losses weigh roughly twice as much as gains</t>
        </is>
      </c>
    </row>
    <row r="601" ht="15" customHeight="1" s="62">
      <c r="A601" s="83" t="n">
        <v>86</v>
      </c>
      <c r="B601" s="84" t="inlineStr">
        <is>
          <t>Loss-aversion marketing</t>
        </is>
      </c>
      <c r="C601" s="83" t="inlineStr">
        <is>
          <t>Scripted</t>
        </is>
      </c>
      <c r="D601" s="83" t="inlineStr">
        <is>
          <t>Contrarian</t>
        </is>
      </c>
      <c r="E601" s="83" t="inlineStr">
        <is>
          <t>I · Setup</t>
        </is>
      </c>
      <c r="F601" s="83" t="inlineStr">
        <is>
          <t>Setup</t>
        </is>
      </c>
      <c r="G601" s="83" t="inlineStr">
        <is>
          <t>3–8s</t>
        </is>
      </c>
      <c r="H601" s="84" t="inlineStr">
        <is>
          <t>Losing $50 stings more than finding $50 feels good.</t>
        </is>
      </c>
      <c r="I601" s="84" t="inlineStr">
        <is>
          <t>-$50 😩 | +$50 🙂</t>
        </is>
      </c>
      <c r="J601" s="84" t="n"/>
    </row>
    <row r="602" ht="23.85" customHeight="1" s="62">
      <c r="A602" s="83" t="n">
        <v>86</v>
      </c>
      <c r="B602" s="84" t="inlineStr">
        <is>
          <t>Loss-aversion marketing</t>
        </is>
      </c>
      <c r="C602" s="83" t="inlineStr">
        <is>
          <t>Scripted</t>
        </is>
      </c>
      <c r="D602" s="83" t="inlineStr">
        <is>
          <t>Contrarian</t>
        </is>
      </c>
      <c r="E602" s="83" t="inlineStr">
        <is>
          <t>II · Confrontation</t>
        </is>
      </c>
      <c r="F602" s="83" t="inlineStr">
        <is>
          <t>Evidence</t>
        </is>
      </c>
      <c r="G602" s="83" t="inlineStr">
        <is>
          <t>8–15s</t>
        </is>
      </c>
      <c r="H602" s="84" t="inlineStr">
        <is>
          <t>In 1979, Kahneman and Tversky found losses weigh roughly twice as much as gains.</t>
        </is>
      </c>
      <c r="I602" s="84" t="inlineStr">
        <is>
          <t>KAHNEMAN &amp; TVERSKY, 1979 | LOSS ≈ 2× GAIN</t>
        </is>
      </c>
      <c r="J602" s="84" t="n"/>
    </row>
    <row r="603" ht="15" customHeight="1" s="62">
      <c r="A603" s="83" t="n">
        <v>86</v>
      </c>
      <c r="B603" s="84" t="inlineStr">
        <is>
          <t>Loss-aversion marketing</t>
        </is>
      </c>
      <c r="C603" s="83" t="inlineStr">
        <is>
          <t>Scripted</t>
        </is>
      </c>
      <c r="D603" s="83" t="inlineStr">
        <is>
          <t>Contrarian</t>
        </is>
      </c>
      <c r="E603" s="83" t="inlineStr">
        <is>
          <t>II · Confrontation</t>
        </is>
      </c>
      <c r="F603" s="83" t="inlineStr">
        <is>
          <t>Escalation</t>
        </is>
      </c>
      <c r="G603" s="83" t="inlineStr">
        <is>
          <t>15–22s</t>
        </is>
      </c>
      <c r="H603" s="84" t="inlineStr">
        <is>
          <t>Marketers know this, so offers are written as losses.</t>
        </is>
      </c>
      <c r="I603" s="84" t="inlineStr">
        <is>
          <t>'ENDS TONIGHT' 'LAST CHANCE'</t>
        </is>
      </c>
      <c r="J603" s="84" t="n"/>
    </row>
    <row r="604" ht="15" customHeight="1" s="62">
      <c r="A604" s="83" t="n">
        <v>86</v>
      </c>
      <c r="B604" s="84" t="inlineStr">
        <is>
          <t>Loss-aversion marketing</t>
        </is>
      </c>
      <c r="C604" s="83" t="inlineStr">
        <is>
          <t>Scripted</t>
        </is>
      </c>
      <c r="D604" s="83" t="inlineStr">
        <is>
          <t>Contrarian</t>
        </is>
      </c>
      <c r="E604" s="83" t="inlineStr">
        <is>
          <t>II · Confrontation</t>
        </is>
      </c>
      <c r="F604" s="83" t="inlineStr">
        <is>
          <t>Turn</t>
        </is>
      </c>
      <c r="G604" s="83" t="inlineStr">
        <is>
          <t>22–26s</t>
        </is>
      </c>
      <c r="H604" s="84" t="inlineStr">
        <is>
          <t>But not everyone reacts the same way, and noticing the frame weakens it.</t>
        </is>
      </c>
      <c r="I604" s="84" t="inlineStr">
        <is>
          <t>SPOT THE FRAME</t>
        </is>
      </c>
      <c r="J604" s="84" t="n"/>
    </row>
    <row r="605" ht="15" customHeight="1" s="62">
      <c r="A605" s="83" t="n">
        <v>86</v>
      </c>
      <c r="B605" s="84" t="inlineStr">
        <is>
          <t>Loss-aversion marketing</t>
        </is>
      </c>
      <c r="C605" s="83" t="inlineStr">
        <is>
          <t>Scripted</t>
        </is>
      </c>
      <c r="D605" s="83" t="inlineStr">
        <is>
          <t>Contrarian</t>
        </is>
      </c>
      <c r="E605" s="83" t="inlineStr">
        <is>
          <t>III · Resolution</t>
        </is>
      </c>
      <c r="F605" s="83" t="inlineStr">
        <is>
          <t>Payoff</t>
        </is>
      </c>
      <c r="G605" s="83" t="inlineStr">
        <is>
          <t>26–32s</t>
        </is>
      </c>
      <c r="H605" s="84" t="inlineStr">
        <is>
          <t>That's loss-aversion marketing.</t>
        </is>
      </c>
      <c r="I605" s="84" t="inlineStr">
        <is>
          <t>LOSS-AVERSION MARKETING</t>
        </is>
      </c>
      <c r="J605" s="84" t="n"/>
    </row>
    <row r="606" ht="15" customHeight="1" s="62">
      <c r="A606" s="86" t="n">
        <v>86</v>
      </c>
      <c r="B606" s="87" t="inlineStr">
        <is>
          <t>Loss-aversion marketing</t>
        </is>
      </c>
      <c r="C606" s="86" t="inlineStr">
        <is>
          <t>Scripted</t>
        </is>
      </c>
      <c r="D606" s="86" t="inlineStr">
        <is>
          <t>Contrarian</t>
        </is>
      </c>
      <c r="E606" s="86" t="inlineStr">
        <is>
          <t>III · Resolution</t>
        </is>
      </c>
      <c r="F606" s="86" t="inlineStr">
        <is>
          <t>Outro</t>
        </is>
      </c>
      <c r="G606" s="86" t="inlineStr">
        <is>
          <t>32–36s</t>
        </is>
      </c>
      <c r="H606" s="87" t="inlineStr">
        <is>
          <t>Rewrite the ad as a gain. Still want it? Save this before your next sale.</t>
        </is>
      </c>
      <c r="I606" s="87" t="inlineStr">
        <is>
          <t>REWRITE IT AS A GAIN</t>
        </is>
      </c>
      <c r="J606" s="87" t="n"/>
    </row>
    <row r="607" ht="23.85" customHeight="1" s="62">
      <c r="A607" s="78" t="n">
        <v>87</v>
      </c>
      <c r="B607" s="79" t="inlineStr">
        <is>
          <t>Scarcity cues</t>
        </is>
      </c>
      <c r="C607" s="78" t="inlineStr">
        <is>
          <t>Idea</t>
        </is>
      </c>
      <c r="D607" s="78" t="inlineStr">
        <is>
          <t>Study reveal</t>
        </is>
      </c>
      <c r="E607" s="78" t="inlineStr">
        <is>
          <t>I · Setup</t>
        </is>
      </c>
      <c r="F607" s="78" t="inlineStr">
        <is>
          <t>Hook</t>
        </is>
      </c>
      <c r="G607" s="78" t="inlineStr">
        <is>
          <t>0–3s</t>
        </is>
      </c>
      <c r="H607" s="80" t="inlineStr">
        <is>
          <t>The same cookie tasted better when there were fewer left.</t>
        </is>
      </c>
      <c r="I607" s="79" t="inlineStr">
        <is>
          <t>🍪🍪 vs 🍪×10</t>
        </is>
      </c>
      <c r="J607" s="79" t="inlineStr">
        <is>
          <t>Worchel, Lee &amp; Adewole 1975: cookies from a jar of 2 rated more desirable than from jar of 10</t>
        </is>
      </c>
    </row>
    <row r="608" ht="15" customHeight="1" s="62">
      <c r="A608" s="78" t="n">
        <v>87</v>
      </c>
      <c r="B608" s="79" t="inlineStr">
        <is>
          <t>Scarcity cues</t>
        </is>
      </c>
      <c r="C608" s="78" t="inlineStr">
        <is>
          <t>Idea</t>
        </is>
      </c>
      <c r="D608" s="78" t="inlineStr">
        <is>
          <t>Study reveal</t>
        </is>
      </c>
      <c r="E608" s="78" t="inlineStr">
        <is>
          <t>I · Setup</t>
        </is>
      </c>
      <c r="F608" s="78" t="inlineStr">
        <is>
          <t>Setup</t>
        </is>
      </c>
      <c r="G608" s="78" t="inlineStr">
        <is>
          <t>3–8s</t>
        </is>
      </c>
      <c r="H608" s="79" t="inlineStr">
        <is>
          <t>In 1975, Stephen Worchel offered people a cookie from a jar.</t>
        </is>
      </c>
      <c r="I608" s="79" t="inlineStr">
        <is>
          <t>WORCHEL ET AL., 1975</t>
        </is>
      </c>
      <c r="J608" s="79" t="n"/>
    </row>
    <row r="609" ht="15" customHeight="1" s="62">
      <c r="A609" s="78" t="n">
        <v>87</v>
      </c>
      <c r="B609" s="79" t="inlineStr">
        <is>
          <t>Scarcity cues</t>
        </is>
      </c>
      <c r="C609" s="78" t="inlineStr">
        <is>
          <t>Idea</t>
        </is>
      </c>
      <c r="D609" s="78" t="inlineStr">
        <is>
          <t>Study reveal</t>
        </is>
      </c>
      <c r="E609" s="78" t="inlineStr">
        <is>
          <t>II · Confrontation</t>
        </is>
      </c>
      <c r="F609" s="78" t="inlineStr">
        <is>
          <t>Evidence</t>
        </is>
      </c>
      <c r="G609" s="78" t="inlineStr">
        <is>
          <t>8–15s</t>
        </is>
      </c>
      <c r="H609" s="79" t="inlineStr">
        <is>
          <t>One jar held ten cookies. The other held just two.</t>
        </is>
      </c>
      <c r="I609" s="79" t="inlineStr">
        <is>
          <t>10 | 2</t>
        </is>
      </c>
      <c r="J609" s="79" t="n"/>
    </row>
    <row r="610" ht="15" customHeight="1" s="62">
      <c r="A610" s="78" t="n">
        <v>87</v>
      </c>
      <c r="B610" s="79" t="inlineStr">
        <is>
          <t>Scarcity cues</t>
        </is>
      </c>
      <c r="C610" s="78" t="inlineStr">
        <is>
          <t>Idea</t>
        </is>
      </c>
      <c r="D610" s="78" t="inlineStr">
        <is>
          <t>Study reveal</t>
        </is>
      </c>
      <c r="E610" s="78" t="inlineStr">
        <is>
          <t>II · Confrontation</t>
        </is>
      </c>
      <c r="F610" s="78" t="inlineStr">
        <is>
          <t>Escalation</t>
        </is>
      </c>
      <c r="G610" s="78" t="inlineStr">
        <is>
          <t>15–22s</t>
        </is>
      </c>
      <c r="H610" s="79" t="inlineStr">
        <is>
          <t>Cookies from the nearly empty jar were rated more desirable.</t>
        </is>
      </c>
      <c r="I610" s="79" t="inlineStr">
        <is>
          <t>2 LEFT → BETTER</t>
        </is>
      </c>
      <c r="J610" s="79" t="n"/>
    </row>
    <row r="611" ht="15" customHeight="1" s="62">
      <c r="A611" s="78" t="n">
        <v>87</v>
      </c>
      <c r="B611" s="79" t="inlineStr">
        <is>
          <t>Scarcity cues</t>
        </is>
      </c>
      <c r="C611" s="78" t="inlineStr">
        <is>
          <t>Idea</t>
        </is>
      </c>
      <c r="D611" s="78" t="inlineStr">
        <is>
          <t>Study reveal</t>
        </is>
      </c>
      <c r="E611" s="78" t="inlineStr">
        <is>
          <t>II · Confrontation</t>
        </is>
      </c>
      <c r="F611" s="78" t="inlineStr">
        <is>
          <t>Turn</t>
        </is>
      </c>
      <c r="G611" s="78" t="inlineStr">
        <is>
          <t>22–26s</t>
        </is>
      </c>
      <c r="H611" s="79" t="inlineStr">
        <is>
          <t>But they were identical. Only the scarcity changed.</t>
        </is>
      </c>
      <c r="I611" s="79" t="inlineStr">
        <is>
          <t>IDENTICAL COOKIES</t>
        </is>
      </c>
      <c r="J611" s="79" t="n"/>
    </row>
    <row r="612" ht="15" customHeight="1" s="62">
      <c r="A612" s="78" t="n">
        <v>87</v>
      </c>
      <c r="B612" s="79" t="inlineStr">
        <is>
          <t>Scarcity cues</t>
        </is>
      </c>
      <c r="C612" s="78" t="inlineStr">
        <is>
          <t>Idea</t>
        </is>
      </c>
      <c r="D612" s="78" t="inlineStr">
        <is>
          <t>Study reveal</t>
        </is>
      </c>
      <c r="E612" s="78" t="inlineStr">
        <is>
          <t>III · Resolution</t>
        </is>
      </c>
      <c r="F612" s="78" t="inlineStr">
        <is>
          <t>Payoff</t>
        </is>
      </c>
      <c r="G612" s="78" t="inlineStr">
        <is>
          <t>26–32s</t>
        </is>
      </c>
      <c r="H612" s="79" t="inlineStr">
        <is>
          <t>Scarcity cues, real or manufactured.</t>
        </is>
      </c>
      <c r="I612" s="79" t="inlineStr">
        <is>
          <t>SCARCITY CUES | 'ONLY 2 LEFT'</t>
        </is>
      </c>
      <c r="J612" s="79" t="n"/>
    </row>
    <row r="613" ht="23.85" customHeight="1" s="62">
      <c r="A613" s="81" t="n">
        <v>87</v>
      </c>
      <c r="B613" s="82" t="inlineStr">
        <is>
          <t>Scarcity cues</t>
        </is>
      </c>
      <c r="C613" s="81" t="inlineStr">
        <is>
          <t>Idea</t>
        </is>
      </c>
      <c r="D613" s="81" t="inlineStr">
        <is>
          <t>Study reveal</t>
        </is>
      </c>
      <c r="E613" s="81" t="inlineStr">
        <is>
          <t>III · Resolution</t>
        </is>
      </c>
      <c r="F613" s="81" t="inlineStr">
        <is>
          <t>Outro</t>
        </is>
      </c>
      <c r="G613" s="81" t="inlineStr">
        <is>
          <t>32–36s</t>
        </is>
      </c>
      <c r="H613" s="82" t="inlineStr">
        <is>
          <t>Before buying, ask: would I want it if there were a hundred left? Follow for more shopping psychology.</t>
        </is>
      </c>
      <c r="I613" s="82" t="inlineStr">
        <is>
          <t>WOULD I WANT 100?</t>
        </is>
      </c>
      <c r="J613" s="82" t="n"/>
    </row>
    <row r="614" ht="23.85" customHeight="1" s="62">
      <c r="A614" s="83" t="n">
        <v>88</v>
      </c>
      <c r="B614" s="84" t="inlineStr">
        <is>
          <t>The decoy effect</t>
        </is>
      </c>
      <c r="C614" s="83" t="inlineStr">
        <is>
          <t>Idea</t>
        </is>
      </c>
      <c r="D614" s="83" t="inlineStr">
        <is>
          <t>Study reveal</t>
        </is>
      </c>
      <c r="E614" s="83" t="inlineStr">
        <is>
          <t>I · Setup</t>
        </is>
      </c>
      <c r="F614" s="83" t="inlineStr">
        <is>
          <t>Hook</t>
        </is>
      </c>
      <c r="G614" s="83" t="inlineStr">
        <is>
          <t>0–3s</t>
        </is>
      </c>
      <c r="H614" s="85" t="inlineStr">
        <is>
          <t>Adding an option nobody picked changed what everyone bought.</t>
        </is>
      </c>
      <c r="I614" s="84" t="inlineStr">
        <is>
          <t>3RD OPTION 🎭</t>
        </is>
      </c>
      <c r="J614" s="84" t="inlineStr">
        <is>
          <t>Ariely 'Predictably Irrational': with decoy 84% picked combo; without 68% picked web-only</t>
        </is>
      </c>
    </row>
    <row r="615" ht="15" customHeight="1" s="62">
      <c r="A615" s="83" t="n">
        <v>88</v>
      </c>
      <c r="B615" s="84" t="inlineStr">
        <is>
          <t>The decoy effect</t>
        </is>
      </c>
      <c r="C615" s="83" t="inlineStr">
        <is>
          <t>Idea</t>
        </is>
      </c>
      <c r="D615" s="83" t="inlineStr">
        <is>
          <t>Study reveal</t>
        </is>
      </c>
      <c r="E615" s="83" t="inlineStr">
        <is>
          <t>I · Setup</t>
        </is>
      </c>
      <c r="F615" s="83" t="inlineStr">
        <is>
          <t>Setup</t>
        </is>
      </c>
      <c r="G615" s="83" t="inlineStr">
        <is>
          <t>3–8s</t>
        </is>
      </c>
      <c r="H615" s="84" t="inlineStr">
        <is>
          <t>Dan Ariely tested an Economist offer: web $59, print $125, both $125.</t>
        </is>
      </c>
      <c r="I615" s="84" t="inlineStr">
        <is>
          <t>ARIELY | $59 | $125 | $125</t>
        </is>
      </c>
      <c r="J615" s="84" t="n"/>
    </row>
    <row r="616" ht="15" customHeight="1" s="62">
      <c r="A616" s="83" t="n">
        <v>88</v>
      </c>
      <c r="B616" s="84" t="inlineStr">
        <is>
          <t>The decoy effect</t>
        </is>
      </c>
      <c r="C616" s="83" t="inlineStr">
        <is>
          <t>Idea</t>
        </is>
      </c>
      <c r="D616" s="83" t="inlineStr">
        <is>
          <t>Study reveal</t>
        </is>
      </c>
      <c r="E616" s="83" t="inlineStr">
        <is>
          <t>II · Confrontation</t>
        </is>
      </c>
      <c r="F616" s="83" t="inlineStr">
        <is>
          <t>Evidence</t>
        </is>
      </c>
      <c r="G616" s="83" t="inlineStr">
        <is>
          <t>8–15s</t>
        </is>
      </c>
      <c r="H616" s="84" t="inlineStr">
        <is>
          <t>With all three, 84 percent chose web and print together.</t>
        </is>
      </c>
      <c r="I616" s="84" t="inlineStr">
        <is>
          <t>WITH DECOY → 84% COMBO</t>
        </is>
      </c>
      <c r="J616" s="84" t="n"/>
    </row>
    <row r="617" ht="23.85" customHeight="1" s="62">
      <c r="A617" s="83" t="n">
        <v>88</v>
      </c>
      <c r="B617" s="84" t="inlineStr">
        <is>
          <t>The decoy effect</t>
        </is>
      </c>
      <c r="C617" s="83" t="inlineStr">
        <is>
          <t>Idea</t>
        </is>
      </c>
      <c r="D617" s="83" t="inlineStr">
        <is>
          <t>Study reveal</t>
        </is>
      </c>
      <c r="E617" s="83" t="inlineStr">
        <is>
          <t>II · Confrontation</t>
        </is>
      </c>
      <c r="F617" s="83" t="inlineStr">
        <is>
          <t>Escalation</t>
        </is>
      </c>
      <c r="G617" s="83" t="inlineStr">
        <is>
          <t>15–22s</t>
        </is>
      </c>
      <c r="H617" s="84" t="inlineStr">
        <is>
          <t>Remove the print-only option nobody chose, and most switched to web only.</t>
        </is>
      </c>
      <c r="I617" s="84" t="inlineStr">
        <is>
          <t>NO DECOY → 68% WEB ONLY</t>
        </is>
      </c>
      <c r="J617" s="84" t="n"/>
    </row>
    <row r="618" ht="23.85" customHeight="1" s="62">
      <c r="A618" s="83" t="n">
        <v>88</v>
      </c>
      <c r="B618" s="84" t="inlineStr">
        <is>
          <t>The decoy effect</t>
        </is>
      </c>
      <c r="C618" s="83" t="inlineStr">
        <is>
          <t>Idea</t>
        </is>
      </c>
      <c r="D618" s="83" t="inlineStr">
        <is>
          <t>Study reveal</t>
        </is>
      </c>
      <c r="E618" s="83" t="inlineStr">
        <is>
          <t>II · Confrontation</t>
        </is>
      </c>
      <c r="F618" s="83" t="inlineStr">
        <is>
          <t>Turn</t>
        </is>
      </c>
      <c r="G618" s="83" t="inlineStr">
        <is>
          <t>22–26s</t>
        </is>
      </c>
      <c r="H618" s="84" t="inlineStr">
        <is>
          <t>But the decoy wasn't meant to be bought. It made the combo look like a steal.</t>
        </is>
      </c>
      <c r="I618" s="84" t="inlineStr">
        <is>
          <t>DECOY = COMPARISON BAIT</t>
        </is>
      </c>
      <c r="J618" s="84" t="n"/>
    </row>
    <row r="619" ht="15" customHeight="1" s="62">
      <c r="A619" s="83" t="n">
        <v>88</v>
      </c>
      <c r="B619" s="84" t="inlineStr">
        <is>
          <t>The decoy effect</t>
        </is>
      </c>
      <c r="C619" s="83" t="inlineStr">
        <is>
          <t>Idea</t>
        </is>
      </c>
      <c r="D619" s="83" t="inlineStr">
        <is>
          <t>Study reveal</t>
        </is>
      </c>
      <c r="E619" s="83" t="inlineStr">
        <is>
          <t>III · Resolution</t>
        </is>
      </c>
      <c r="F619" s="83" t="inlineStr">
        <is>
          <t>Payoff</t>
        </is>
      </c>
      <c r="G619" s="83" t="inlineStr">
        <is>
          <t>26–32s</t>
        </is>
      </c>
      <c r="H619" s="84" t="inlineStr">
        <is>
          <t>That's the decoy effect.</t>
        </is>
      </c>
      <c r="I619" s="84" t="inlineStr">
        <is>
          <t>THE DECOY EFFECT</t>
        </is>
      </c>
      <c r="J619" s="84" t="n"/>
    </row>
    <row r="620" ht="23.85" customHeight="1" s="62">
      <c r="A620" s="86" t="n">
        <v>88</v>
      </c>
      <c r="B620" s="87" t="inlineStr">
        <is>
          <t>The decoy effect</t>
        </is>
      </c>
      <c r="C620" s="86" t="inlineStr">
        <is>
          <t>Idea</t>
        </is>
      </c>
      <c r="D620" s="86" t="inlineStr">
        <is>
          <t>Study reveal</t>
        </is>
      </c>
      <c r="E620" s="86" t="inlineStr">
        <is>
          <t>III · Resolution</t>
        </is>
      </c>
      <c r="F620" s="86" t="inlineStr">
        <is>
          <t>Outro</t>
        </is>
      </c>
      <c r="G620" s="86" t="inlineStr">
        <is>
          <t>32–36s</t>
        </is>
      </c>
      <c r="H620" s="87" t="inlineStr">
        <is>
          <t>Next time you see three prices, cover the middle one and decide again. Follow for tomorrow's pricing trick.</t>
        </is>
      </c>
      <c r="I620" s="87" t="inlineStr">
        <is>
          <t>COVER THE DECOY</t>
        </is>
      </c>
      <c r="J620" s="87" t="n"/>
    </row>
    <row r="621" ht="23.85" customHeight="1" s="62">
      <c r="A621" s="78" t="n">
        <v>89</v>
      </c>
      <c r="B621" s="79" t="inlineStr">
        <is>
          <t>Mental accounting</t>
        </is>
      </c>
      <c r="C621" s="78" t="inlineStr">
        <is>
          <t>Idea</t>
        </is>
      </c>
      <c r="D621" s="78" t="inlineStr">
        <is>
          <t>Forced choice</t>
        </is>
      </c>
      <c r="E621" s="78" t="inlineStr">
        <is>
          <t>I · Setup</t>
        </is>
      </c>
      <c r="F621" s="78" t="inlineStr">
        <is>
          <t>Hook</t>
        </is>
      </c>
      <c r="G621" s="78" t="inlineStr">
        <is>
          <t>0–3s</t>
        </is>
      </c>
      <c r="H621" s="80" t="inlineStr">
        <is>
          <t>You lose a $10 ticket, or you lose $10 cash. Would you still go to the show?</t>
        </is>
      </c>
      <c r="I621" s="79" t="inlineStr">
        <is>
          <t>🎟 LOST vs 💵 LOST</t>
        </is>
      </c>
      <c r="J621" s="79" t="inlineStr">
        <is>
          <t>Kahneman &amp; Tversky 1981 theatre problem: 88% buy after losing cash, 46% after losing ticket</t>
        </is>
      </c>
    </row>
    <row r="622" ht="15" customHeight="1" s="62">
      <c r="A622" s="78" t="n">
        <v>89</v>
      </c>
      <c r="B622" s="79" t="inlineStr">
        <is>
          <t>Mental accounting</t>
        </is>
      </c>
      <c r="C622" s="78" t="inlineStr">
        <is>
          <t>Idea</t>
        </is>
      </c>
      <c r="D622" s="78" t="inlineStr">
        <is>
          <t>Forced choice</t>
        </is>
      </c>
      <c r="E622" s="78" t="inlineStr">
        <is>
          <t>I · Setup</t>
        </is>
      </c>
      <c r="F622" s="78" t="inlineStr">
        <is>
          <t>Setup</t>
        </is>
      </c>
      <c r="G622" s="78" t="inlineStr">
        <is>
          <t>3–8s</t>
        </is>
      </c>
      <c r="H622" s="79" t="inlineStr">
        <is>
          <t>Kahneman and Tversky asked people exactly that.</t>
        </is>
      </c>
      <c r="I622" s="79" t="inlineStr">
        <is>
          <t>KAHNEMAN &amp; TVERSKY, 1981</t>
        </is>
      </c>
      <c r="J622" s="79" t="n"/>
    </row>
    <row r="623" ht="15" customHeight="1" s="62">
      <c r="A623" s="78" t="n">
        <v>89</v>
      </c>
      <c r="B623" s="79" t="inlineStr">
        <is>
          <t>Mental accounting</t>
        </is>
      </c>
      <c r="C623" s="78" t="inlineStr">
        <is>
          <t>Idea</t>
        </is>
      </c>
      <c r="D623" s="78" t="inlineStr">
        <is>
          <t>Forced choice</t>
        </is>
      </c>
      <c r="E623" s="78" t="inlineStr">
        <is>
          <t>II · Confrontation</t>
        </is>
      </c>
      <c r="F623" s="78" t="inlineStr">
        <is>
          <t>Evidence</t>
        </is>
      </c>
      <c r="G623" s="78" t="inlineStr">
        <is>
          <t>8–15s</t>
        </is>
      </c>
      <c r="H623" s="79" t="inlineStr">
        <is>
          <t>After losing cash, 88 percent would still buy a ticket.</t>
        </is>
      </c>
      <c r="I623" s="79" t="inlineStr">
        <is>
          <t>LOST CASH → 88% BUY</t>
        </is>
      </c>
      <c r="J623" s="79" t="n"/>
    </row>
    <row r="624" ht="15" customHeight="1" s="62">
      <c r="A624" s="78" t="n">
        <v>89</v>
      </c>
      <c r="B624" s="79" t="inlineStr">
        <is>
          <t>Mental accounting</t>
        </is>
      </c>
      <c r="C624" s="78" t="inlineStr">
        <is>
          <t>Idea</t>
        </is>
      </c>
      <c r="D624" s="78" t="inlineStr">
        <is>
          <t>Forced choice</t>
        </is>
      </c>
      <c r="E624" s="78" t="inlineStr">
        <is>
          <t>II · Confrontation</t>
        </is>
      </c>
      <c r="F624" s="78" t="inlineStr">
        <is>
          <t>Escalation</t>
        </is>
      </c>
      <c r="G624" s="78" t="inlineStr">
        <is>
          <t>15–22s</t>
        </is>
      </c>
      <c r="H624" s="79" t="inlineStr">
        <is>
          <t>After losing the ticket, only 46 percent would buy another.</t>
        </is>
      </c>
      <c r="I624" s="79" t="inlineStr">
        <is>
          <t>LOST TICKET → 46% BUY</t>
        </is>
      </c>
      <c r="J624" s="79" t="n"/>
    </row>
    <row r="625" ht="15" customHeight="1" s="62">
      <c r="A625" s="78" t="n">
        <v>89</v>
      </c>
      <c r="B625" s="79" t="inlineStr">
        <is>
          <t>Mental accounting</t>
        </is>
      </c>
      <c r="C625" s="78" t="inlineStr">
        <is>
          <t>Idea</t>
        </is>
      </c>
      <c r="D625" s="78" t="inlineStr">
        <is>
          <t>Forced choice</t>
        </is>
      </c>
      <c r="E625" s="78" t="inlineStr">
        <is>
          <t>II · Confrontation</t>
        </is>
      </c>
      <c r="F625" s="78" t="inlineStr">
        <is>
          <t>Turn</t>
        </is>
      </c>
      <c r="G625" s="78" t="inlineStr">
        <is>
          <t>22–26s</t>
        </is>
      </c>
      <c r="H625" s="79" t="inlineStr">
        <is>
          <t>But it's the same $10. Your brain just filed it in different accounts.</t>
        </is>
      </c>
      <c r="I625" s="79" t="inlineStr">
        <is>
          <t>SAME $10. DIFFERENT 'ACCOUNTS'.</t>
        </is>
      </c>
      <c r="J625" s="79" t="n"/>
    </row>
    <row r="626" ht="15" customHeight="1" s="62">
      <c r="A626" s="78" t="n">
        <v>89</v>
      </c>
      <c r="B626" s="79" t="inlineStr">
        <is>
          <t>Mental accounting</t>
        </is>
      </c>
      <c r="C626" s="78" t="inlineStr">
        <is>
          <t>Idea</t>
        </is>
      </c>
      <c r="D626" s="78" t="inlineStr">
        <is>
          <t>Forced choice</t>
        </is>
      </c>
      <c r="E626" s="78" t="inlineStr">
        <is>
          <t>III · Resolution</t>
        </is>
      </c>
      <c r="F626" s="78" t="inlineStr">
        <is>
          <t>Payoff</t>
        </is>
      </c>
      <c r="G626" s="78" t="inlineStr">
        <is>
          <t>26–32s</t>
        </is>
      </c>
      <c r="H626" s="79" t="inlineStr">
        <is>
          <t>That's mental accounting. It's also why gift cards feel like free money.</t>
        </is>
      </c>
      <c r="I626" s="79" t="inlineStr">
        <is>
          <t>MENTAL ACCOUNTING | gift card</t>
        </is>
      </c>
      <c r="J626" s="79" t="n"/>
    </row>
    <row r="627" ht="23.85" customHeight="1" s="62">
      <c r="A627" s="81" t="n">
        <v>89</v>
      </c>
      <c r="B627" s="82" t="inlineStr">
        <is>
          <t>Mental accounting</t>
        </is>
      </c>
      <c r="C627" s="81" t="inlineStr">
        <is>
          <t>Idea</t>
        </is>
      </c>
      <c r="D627" s="81" t="inlineStr">
        <is>
          <t>Forced choice</t>
        </is>
      </c>
      <c r="E627" s="81" t="inlineStr">
        <is>
          <t>III · Resolution</t>
        </is>
      </c>
      <c r="F627" s="81" t="inlineStr">
        <is>
          <t>Outro</t>
        </is>
      </c>
      <c r="G627" s="81" t="inlineStr">
        <is>
          <t>32–36s</t>
        </is>
      </c>
      <c r="H627" s="82" t="inlineStr">
        <is>
          <t>Treat every dollar the same, whatever its label. Save this for your next budget.</t>
        </is>
      </c>
      <c r="I627" s="82" t="inlineStr">
        <is>
          <t>A DOLLAR IS A DOLLAR</t>
        </is>
      </c>
      <c r="J627" s="82" t="n"/>
    </row>
    <row r="628" ht="23.85" customHeight="1" s="62">
      <c r="A628" s="83" t="n">
        <v>90</v>
      </c>
      <c r="B628" s="84" t="inlineStr">
        <is>
          <t>The endowment effect</t>
        </is>
      </c>
      <c r="C628" s="83" t="inlineStr">
        <is>
          <t>Idea</t>
        </is>
      </c>
      <c r="D628" s="83" t="inlineStr">
        <is>
          <t>Study reveal</t>
        </is>
      </c>
      <c r="E628" s="83" t="inlineStr">
        <is>
          <t>I · Setup</t>
        </is>
      </c>
      <c r="F628" s="83" t="inlineStr">
        <is>
          <t>Hook</t>
        </is>
      </c>
      <c r="G628" s="83" t="inlineStr">
        <is>
          <t>0–3s</t>
        </is>
      </c>
      <c r="H628" s="85" t="inlineStr">
        <is>
          <t>Owning a mug for five minutes made people value it about twice as much.</t>
        </is>
      </c>
      <c r="I628" s="84" t="inlineStr">
        <is>
          <t>☕ × 2 VALUE</t>
        </is>
      </c>
      <c r="J628" s="84" t="inlineStr">
        <is>
          <t>Kahneman, Knetsch &amp; Thaler 1990: owners asked ~$7, buyers offered ~$3</t>
        </is>
      </c>
    </row>
    <row r="629" ht="15" customHeight="1" s="62">
      <c r="A629" s="83" t="n">
        <v>90</v>
      </c>
      <c r="B629" s="84" t="inlineStr">
        <is>
          <t>The endowment effect</t>
        </is>
      </c>
      <c r="C629" s="83" t="inlineStr">
        <is>
          <t>Idea</t>
        </is>
      </c>
      <c r="D629" s="83" t="inlineStr">
        <is>
          <t>Study reveal</t>
        </is>
      </c>
      <c r="E629" s="83" t="inlineStr">
        <is>
          <t>I · Setup</t>
        </is>
      </c>
      <c r="F629" s="83" t="inlineStr">
        <is>
          <t>Setup</t>
        </is>
      </c>
      <c r="G629" s="83" t="inlineStr">
        <is>
          <t>3–8s</t>
        </is>
      </c>
      <c r="H629" s="84" t="inlineStr">
        <is>
          <t>In 1990, Kahneman, Knetsch and Thaler gave half a class coffee mugs.</t>
        </is>
      </c>
      <c r="I629" s="84" t="inlineStr">
        <is>
          <t>KAHNEMAN, KNETSCH &amp; THALER, 1990</t>
        </is>
      </c>
      <c r="J629" s="84" t="n"/>
    </row>
    <row r="630" ht="15" customHeight="1" s="62">
      <c r="A630" s="83" t="n">
        <v>90</v>
      </c>
      <c r="B630" s="84" t="inlineStr">
        <is>
          <t>The endowment effect</t>
        </is>
      </c>
      <c r="C630" s="83" t="inlineStr">
        <is>
          <t>Idea</t>
        </is>
      </c>
      <c r="D630" s="83" t="inlineStr">
        <is>
          <t>Study reveal</t>
        </is>
      </c>
      <c r="E630" s="83" t="inlineStr">
        <is>
          <t>II · Confrontation</t>
        </is>
      </c>
      <c r="F630" s="83" t="inlineStr">
        <is>
          <t>Evidence</t>
        </is>
      </c>
      <c r="G630" s="83" t="inlineStr">
        <is>
          <t>8–15s</t>
        </is>
      </c>
      <c r="H630" s="84" t="inlineStr">
        <is>
          <t>Owners were asked to sell. Others were asked to buy.</t>
        </is>
      </c>
      <c r="I630" s="84" t="inlineStr">
        <is>
          <t>SELLERS | BUYERS</t>
        </is>
      </c>
      <c r="J630" s="84" t="n"/>
    </row>
    <row r="631" ht="15" customHeight="1" s="62">
      <c r="A631" s="83" t="n">
        <v>90</v>
      </c>
      <c r="B631" s="84" t="inlineStr">
        <is>
          <t>The endowment effect</t>
        </is>
      </c>
      <c r="C631" s="83" t="inlineStr">
        <is>
          <t>Idea</t>
        </is>
      </c>
      <c r="D631" s="83" t="inlineStr">
        <is>
          <t>Study reveal</t>
        </is>
      </c>
      <c r="E631" s="83" t="inlineStr">
        <is>
          <t>II · Confrontation</t>
        </is>
      </c>
      <c r="F631" s="83" t="inlineStr">
        <is>
          <t>Escalation</t>
        </is>
      </c>
      <c r="G631" s="83" t="inlineStr">
        <is>
          <t>15–22s</t>
        </is>
      </c>
      <c r="H631" s="84" t="inlineStr">
        <is>
          <t>Sellers wanted about $7. Buyers offered about $3.</t>
        </is>
      </c>
      <c r="I631" s="84" t="inlineStr">
        <is>
          <t>SELL $7 | BUY $3</t>
        </is>
      </c>
      <c r="J631" s="84" t="n"/>
    </row>
    <row r="632" ht="15" customHeight="1" s="62">
      <c r="A632" s="83" t="n">
        <v>90</v>
      </c>
      <c r="B632" s="84" t="inlineStr">
        <is>
          <t>The endowment effect</t>
        </is>
      </c>
      <c r="C632" s="83" t="inlineStr">
        <is>
          <t>Idea</t>
        </is>
      </c>
      <c r="D632" s="83" t="inlineStr">
        <is>
          <t>Study reveal</t>
        </is>
      </c>
      <c r="E632" s="83" t="inlineStr">
        <is>
          <t>II · Confrontation</t>
        </is>
      </c>
      <c r="F632" s="83" t="inlineStr">
        <is>
          <t>Turn</t>
        </is>
      </c>
      <c r="G632" s="83" t="inlineStr">
        <is>
          <t>22–26s</t>
        </is>
      </c>
      <c r="H632" s="84" t="inlineStr">
        <is>
          <t>But it's the same mug. Ownership alone changed its value.</t>
        </is>
      </c>
      <c r="I632" s="84" t="inlineStr">
        <is>
          <t>SAME MUG</t>
        </is>
      </c>
      <c r="J632" s="84" t="n"/>
    </row>
    <row r="633" ht="15" customHeight="1" s="62">
      <c r="A633" s="83" t="n">
        <v>90</v>
      </c>
      <c r="B633" s="84" t="inlineStr">
        <is>
          <t>The endowment effect</t>
        </is>
      </c>
      <c r="C633" s="83" t="inlineStr">
        <is>
          <t>Idea</t>
        </is>
      </c>
      <c r="D633" s="83" t="inlineStr">
        <is>
          <t>Study reveal</t>
        </is>
      </c>
      <c r="E633" s="83" t="inlineStr">
        <is>
          <t>III · Resolution</t>
        </is>
      </c>
      <c r="F633" s="83" t="inlineStr">
        <is>
          <t>Payoff</t>
        </is>
      </c>
      <c r="G633" s="83" t="inlineStr">
        <is>
          <t>26–32s</t>
        </is>
      </c>
      <c r="H633" s="84" t="inlineStr">
        <is>
          <t>That's the endowment effect.</t>
        </is>
      </c>
      <c r="I633" s="84" t="inlineStr">
        <is>
          <t>THE ENDOWMENT EFFECT</t>
        </is>
      </c>
      <c r="J633" s="84" t="n"/>
    </row>
    <row r="634" ht="23.85" customHeight="1" s="62">
      <c r="A634" s="86" t="n">
        <v>90</v>
      </c>
      <c r="B634" s="87" t="inlineStr">
        <is>
          <t>The endowment effect</t>
        </is>
      </c>
      <c r="C634" s="86" t="inlineStr">
        <is>
          <t>Idea</t>
        </is>
      </c>
      <c r="D634" s="86" t="inlineStr">
        <is>
          <t>Study reveal</t>
        </is>
      </c>
      <c r="E634" s="86" t="inlineStr">
        <is>
          <t>III · Resolution</t>
        </is>
      </c>
      <c r="F634" s="86" t="inlineStr">
        <is>
          <t>Outro</t>
        </is>
      </c>
      <c r="G634" s="86" t="inlineStr">
        <is>
          <t>32–36s</t>
        </is>
      </c>
      <c r="H634" s="87" t="inlineStr">
        <is>
          <t>Decluttering? Ask: would I buy this today at this price? Follow for more money psychology.</t>
        </is>
      </c>
      <c r="I634" s="87" t="inlineStr">
        <is>
          <t>WOULD I BUY IT TODAY?</t>
        </is>
      </c>
      <c r="J634" s="87" t="n"/>
    </row>
    <row r="635" ht="23.85" customHeight="1" s="62">
      <c r="A635" s="78" t="n">
        <v>91</v>
      </c>
      <c r="B635" s="79" t="inlineStr">
        <is>
          <t>Learning-style labels</t>
        </is>
      </c>
      <c r="C635" s="78" t="inlineStr">
        <is>
          <t>Vetoed</t>
        </is>
      </c>
      <c r="D635" s="78" t="inlineStr">
        <is>
          <t>Contrarian</t>
        </is>
      </c>
      <c r="E635" s="78" t="inlineStr">
        <is>
          <t>I · Setup</t>
        </is>
      </c>
      <c r="F635" s="78" t="inlineStr">
        <is>
          <t>Hook</t>
        </is>
      </c>
      <c r="G635" s="78" t="inlineStr">
        <is>
          <t>0–3s</t>
        </is>
      </c>
      <c r="H635" s="80" t="inlineStr">
        <is>
          <t>You're not a 'visual learner'. Nobody really is.</t>
        </is>
      </c>
      <c r="I635" s="79" t="inlineStr">
        <is>
          <t>VISUAL LEARNER? ❌</t>
        </is>
      </c>
      <c r="J635" s="79" t="inlineStr">
        <is>
          <t>Pashler et al. 2008 review: little evidence that matching instruction to learning style helps</t>
        </is>
      </c>
    </row>
    <row r="636" ht="15" customHeight="1" s="62">
      <c r="A636" s="78" t="n">
        <v>91</v>
      </c>
      <c r="B636" s="79" t="inlineStr">
        <is>
          <t>Learning-style labels</t>
        </is>
      </c>
      <c r="C636" s="78" t="inlineStr">
        <is>
          <t>Vetoed</t>
        </is>
      </c>
      <c r="D636" s="78" t="inlineStr">
        <is>
          <t>Contrarian</t>
        </is>
      </c>
      <c r="E636" s="78" t="inlineStr">
        <is>
          <t>I · Setup</t>
        </is>
      </c>
      <c r="F636" s="78" t="inlineStr">
        <is>
          <t>Setup</t>
        </is>
      </c>
      <c r="G636" s="78" t="inlineStr">
        <is>
          <t>3–8s</t>
        </is>
      </c>
      <c r="H636" s="79" t="inlineStr">
        <is>
          <t>Many people believe matching lessons to your style helps you learn.</t>
        </is>
      </c>
      <c r="I636" s="79" t="inlineStr">
        <is>
          <t>👁 VISUAL | 👂 AUDIO | ✋ HANDS-ON</t>
        </is>
      </c>
      <c r="J636" s="79" t="n"/>
    </row>
    <row r="637" ht="15" customHeight="1" s="62">
      <c r="A637" s="78" t="n">
        <v>91</v>
      </c>
      <c r="B637" s="79" t="inlineStr">
        <is>
          <t>Learning-style labels</t>
        </is>
      </c>
      <c r="C637" s="78" t="inlineStr">
        <is>
          <t>Vetoed</t>
        </is>
      </c>
      <c r="D637" s="78" t="inlineStr">
        <is>
          <t>Contrarian</t>
        </is>
      </c>
      <c r="E637" s="78" t="inlineStr">
        <is>
          <t>II · Confrontation</t>
        </is>
      </c>
      <c r="F637" s="78" t="inlineStr">
        <is>
          <t>Evidence</t>
        </is>
      </c>
      <c r="G637" s="78" t="inlineStr">
        <is>
          <t>8–15s</t>
        </is>
      </c>
      <c r="H637" s="79" t="inlineStr">
        <is>
          <t>In 2008, Harold Pashler's team reviewed the research on matching.</t>
        </is>
      </c>
      <c r="I637" s="79" t="inlineStr">
        <is>
          <t>PASHLER ET AL., 2008</t>
        </is>
      </c>
      <c r="J637" s="79" t="n"/>
    </row>
    <row r="638" ht="23.85" customHeight="1" s="62">
      <c r="A638" s="78" t="n">
        <v>91</v>
      </c>
      <c r="B638" s="79" t="inlineStr">
        <is>
          <t>Learning-style labels</t>
        </is>
      </c>
      <c r="C638" s="78" t="inlineStr">
        <is>
          <t>Vetoed</t>
        </is>
      </c>
      <c r="D638" s="78" t="inlineStr">
        <is>
          <t>Contrarian</t>
        </is>
      </c>
      <c r="E638" s="78" t="inlineStr">
        <is>
          <t>II · Confrontation</t>
        </is>
      </c>
      <c r="F638" s="78" t="inlineStr">
        <is>
          <t>Escalation</t>
        </is>
      </c>
      <c r="G638" s="78" t="inlineStr">
        <is>
          <t>15–22s</t>
        </is>
      </c>
      <c r="H638" s="79" t="inlineStr">
        <is>
          <t>They found little solid evidence that matching lessons to styles improves learning.</t>
        </is>
      </c>
      <c r="I638" s="79" t="inlineStr">
        <is>
          <t>LITTLE EVIDENCE</t>
        </is>
      </c>
      <c r="J638" s="79" t="n"/>
    </row>
    <row r="639" ht="15" customHeight="1" s="62">
      <c r="A639" s="78" t="n">
        <v>91</v>
      </c>
      <c r="B639" s="79" t="inlineStr">
        <is>
          <t>Learning-style labels</t>
        </is>
      </c>
      <c r="C639" s="78" t="inlineStr">
        <is>
          <t>Vetoed</t>
        </is>
      </c>
      <c r="D639" s="78" t="inlineStr">
        <is>
          <t>Contrarian</t>
        </is>
      </c>
      <c r="E639" s="78" t="inlineStr">
        <is>
          <t>II · Confrontation</t>
        </is>
      </c>
      <c r="F639" s="78" t="inlineStr">
        <is>
          <t>Turn</t>
        </is>
      </c>
      <c r="G639" s="78" t="inlineStr">
        <is>
          <t>22–26s</t>
        </is>
      </c>
      <c r="H639" s="79" t="inlineStr">
        <is>
          <t>But preferences are real. They just don't decide how you learn best.</t>
        </is>
      </c>
      <c r="I639" s="79" t="inlineStr">
        <is>
          <t>PREFERENCE ≠ ABILITY</t>
        </is>
      </c>
      <c r="J639" s="79" t="n"/>
    </row>
    <row r="640" ht="15" customHeight="1" s="62">
      <c r="A640" s="78" t="n">
        <v>91</v>
      </c>
      <c r="B640" s="79" t="inlineStr">
        <is>
          <t>Learning-style labels</t>
        </is>
      </c>
      <c r="C640" s="78" t="inlineStr">
        <is>
          <t>Vetoed</t>
        </is>
      </c>
      <c r="D640" s="78" t="inlineStr">
        <is>
          <t>Contrarian</t>
        </is>
      </c>
      <c r="E640" s="78" t="inlineStr">
        <is>
          <t>III · Resolution</t>
        </is>
      </c>
      <c r="F640" s="78" t="inlineStr">
        <is>
          <t>Payoff</t>
        </is>
      </c>
      <c r="G640" s="78" t="inlineStr">
        <is>
          <t>26–32s</t>
        </is>
      </c>
      <c r="H640" s="79" t="inlineStr">
        <is>
          <t>The best method depends on what you're learning, not your label.</t>
        </is>
      </c>
      <c r="I640" s="79" t="inlineStr">
        <is>
          <t>LEARNING-STYLE LABELS</t>
        </is>
      </c>
      <c r="J640" s="79" t="n"/>
    </row>
    <row r="641" ht="23.85" customHeight="1" s="62">
      <c r="A641" s="81" t="n">
        <v>91</v>
      </c>
      <c r="B641" s="82" t="inlineStr">
        <is>
          <t>Learning-style labels</t>
        </is>
      </c>
      <c r="C641" s="81" t="inlineStr">
        <is>
          <t>Vetoed</t>
        </is>
      </c>
      <c r="D641" s="81" t="inlineStr">
        <is>
          <t>Contrarian</t>
        </is>
      </c>
      <c r="E641" s="81" t="inlineStr">
        <is>
          <t>III · Resolution</t>
        </is>
      </c>
      <c r="F641" s="81" t="inlineStr">
        <is>
          <t>Outro</t>
        </is>
      </c>
      <c r="G641" s="81" t="inlineStr">
        <is>
          <t>32–36s</t>
        </is>
      </c>
      <c r="H641" s="82" t="inlineStr">
        <is>
          <t>Use pictures for maps and practice for skills. Share this with your study group, and follow for more.</t>
        </is>
      </c>
      <c r="I641" s="82" t="inlineStr">
        <is>
          <t>MATCH THE TOPIC, NOT THE LABEL</t>
        </is>
      </c>
      <c r="J641" s="82" t="n"/>
    </row>
    <row r="642" ht="23.85" customHeight="1" s="62">
      <c r="A642" s="83" t="n">
        <v>92</v>
      </c>
      <c r="B642" s="84" t="inlineStr">
        <is>
          <t>Left-brain versus right-brain personalities</t>
        </is>
      </c>
      <c r="C642" s="83" t="inlineStr">
        <is>
          <t>Scheduled</t>
        </is>
      </c>
      <c r="D642" s="83" t="inlineStr">
        <is>
          <t>Contrarian</t>
        </is>
      </c>
      <c r="E642" s="83" t="inlineStr">
        <is>
          <t>I · Setup</t>
        </is>
      </c>
      <c r="F642" s="83" t="inlineStr">
        <is>
          <t>Hook</t>
        </is>
      </c>
      <c r="G642" s="83" t="inlineStr">
        <is>
          <t>0–3s</t>
        </is>
      </c>
      <c r="H642" s="85" t="inlineStr">
        <is>
          <t>There's no such thing as a left-brained or right-brained person.</t>
        </is>
      </c>
      <c r="I642" s="84" t="inlineStr">
        <is>
          <t>LEFT 🧠 | RIGHT 🧠 ❌</t>
        </is>
      </c>
      <c r="J642" s="84" t="inlineStr">
        <is>
          <t>Nielsen et al. 2013 (Utah): &gt;1,000 brain scans showed no left- or right-brained people</t>
        </is>
      </c>
    </row>
    <row r="643" ht="23.85" customHeight="1" s="62">
      <c r="A643" s="83" t="n">
        <v>92</v>
      </c>
      <c r="B643" s="84" t="inlineStr">
        <is>
          <t>Left-brain versus right-brain personalities</t>
        </is>
      </c>
      <c r="C643" s="83" t="inlineStr">
        <is>
          <t>Scheduled</t>
        </is>
      </c>
      <c r="D643" s="83" t="inlineStr">
        <is>
          <t>Contrarian</t>
        </is>
      </c>
      <c r="E643" s="83" t="inlineStr">
        <is>
          <t>I · Setup</t>
        </is>
      </c>
      <c r="F643" s="83" t="inlineStr">
        <is>
          <t>Setup</t>
        </is>
      </c>
      <c r="G643" s="83" t="inlineStr">
        <is>
          <t>3–8s</t>
        </is>
      </c>
      <c r="H643" s="84" t="inlineStr">
        <is>
          <t>Quizzes sort you into logical left-brainers or creative right-brainers.</t>
        </is>
      </c>
      <c r="I643" s="84" t="inlineStr">
        <is>
          <t>personality quiz result card</t>
        </is>
      </c>
      <c r="J643" s="84" t="n"/>
    </row>
    <row r="644" ht="23.85" customHeight="1" s="62">
      <c r="A644" s="83" t="n">
        <v>92</v>
      </c>
      <c r="B644" s="84" t="inlineStr">
        <is>
          <t>Left-brain versus right-brain personalities</t>
        </is>
      </c>
      <c r="C644" s="83" t="inlineStr">
        <is>
          <t>Scheduled</t>
        </is>
      </c>
      <c r="D644" s="83" t="inlineStr">
        <is>
          <t>Contrarian</t>
        </is>
      </c>
      <c r="E644" s="83" t="inlineStr">
        <is>
          <t>II · Confrontation</t>
        </is>
      </c>
      <c r="F644" s="83" t="inlineStr">
        <is>
          <t>Evidence</t>
        </is>
      </c>
      <c r="G644" s="83" t="inlineStr">
        <is>
          <t>8–15s</t>
        </is>
      </c>
      <c r="H644" s="84" t="inlineStr">
        <is>
          <t>In 2013, Jared Nielsen's team scanned more than 1,000 brains at the University of Utah.</t>
        </is>
      </c>
      <c r="I644" s="84" t="inlineStr">
        <is>
          <t>NIELSEN ET AL., 2013 | 1,000+ SCANS</t>
        </is>
      </c>
      <c r="J644" s="84" t="n"/>
    </row>
    <row r="645" ht="23.85" customHeight="1" s="62">
      <c r="A645" s="83" t="n">
        <v>92</v>
      </c>
      <c r="B645" s="84" t="inlineStr">
        <is>
          <t>Left-brain versus right-brain personalities</t>
        </is>
      </c>
      <c r="C645" s="83" t="inlineStr">
        <is>
          <t>Scheduled</t>
        </is>
      </c>
      <c r="D645" s="83" t="inlineStr">
        <is>
          <t>Contrarian</t>
        </is>
      </c>
      <c r="E645" s="83" t="inlineStr">
        <is>
          <t>II · Confrontation</t>
        </is>
      </c>
      <c r="F645" s="83" t="inlineStr">
        <is>
          <t>Escalation</t>
        </is>
      </c>
      <c r="G645" s="83" t="inlineStr">
        <is>
          <t>15–22s</t>
        </is>
      </c>
      <c r="H645" s="84" t="inlineStr">
        <is>
          <t>Some functions lean to one side, but no person used one side more overall.</t>
        </is>
      </c>
      <c r="I645" s="84" t="inlineStr">
        <is>
          <t>NO 'DOMINANT' SIDE</t>
        </is>
      </c>
      <c r="J645" s="84" t="n"/>
    </row>
    <row r="646" ht="23.85" customHeight="1" s="62">
      <c r="A646" s="83" t="n">
        <v>92</v>
      </c>
      <c r="B646" s="84" t="inlineStr">
        <is>
          <t>Left-brain versus right-brain personalities</t>
        </is>
      </c>
      <c r="C646" s="83" t="inlineStr">
        <is>
          <t>Scheduled</t>
        </is>
      </c>
      <c r="D646" s="83" t="inlineStr">
        <is>
          <t>Contrarian</t>
        </is>
      </c>
      <c r="E646" s="83" t="inlineStr">
        <is>
          <t>II · Confrontation</t>
        </is>
      </c>
      <c r="F646" s="83" t="inlineStr">
        <is>
          <t>Turn</t>
        </is>
      </c>
      <c r="G646" s="83" t="inlineStr">
        <is>
          <t>22–26s</t>
        </is>
      </c>
      <c r="H646" s="84" t="inlineStr">
        <is>
          <t>But the myth sticks because it's a simple, flattering label.</t>
        </is>
      </c>
      <c r="I646" s="84" t="inlineStr">
        <is>
          <t>SIMPLE + FLATTERING</t>
        </is>
      </c>
      <c r="J646" s="84" t="n"/>
    </row>
    <row r="647" ht="23.85" customHeight="1" s="62">
      <c r="A647" s="83" t="n">
        <v>92</v>
      </c>
      <c r="B647" s="84" t="inlineStr">
        <is>
          <t>Left-brain versus right-brain personalities</t>
        </is>
      </c>
      <c r="C647" s="83" t="inlineStr">
        <is>
          <t>Scheduled</t>
        </is>
      </c>
      <c r="D647" s="83" t="inlineStr">
        <is>
          <t>Contrarian</t>
        </is>
      </c>
      <c r="E647" s="83" t="inlineStr">
        <is>
          <t>III · Resolution</t>
        </is>
      </c>
      <c r="F647" s="83" t="inlineStr">
        <is>
          <t>Payoff</t>
        </is>
      </c>
      <c r="G647" s="83" t="inlineStr">
        <is>
          <t>26–32s</t>
        </is>
      </c>
      <c r="H647" s="84" t="inlineStr">
        <is>
          <t>The left-brain right-brain personality is a myth.</t>
        </is>
      </c>
      <c r="I647" s="84" t="inlineStr">
        <is>
          <t>MYTH BUSTED</t>
        </is>
      </c>
      <c r="J647" s="84" t="n"/>
    </row>
    <row r="648" ht="23.85" customHeight="1" s="62">
      <c r="A648" s="86" t="n">
        <v>92</v>
      </c>
      <c r="B648" s="87" t="inlineStr">
        <is>
          <t>Left-brain versus right-brain personalities</t>
        </is>
      </c>
      <c r="C648" s="86" t="inlineStr">
        <is>
          <t>Scheduled</t>
        </is>
      </c>
      <c r="D648" s="86" t="inlineStr">
        <is>
          <t>Contrarian</t>
        </is>
      </c>
      <c r="E648" s="86" t="inlineStr">
        <is>
          <t>III · Resolution</t>
        </is>
      </c>
      <c r="F648" s="86" t="inlineStr">
        <is>
          <t>Outro</t>
        </is>
      </c>
      <c r="G648" s="86" t="inlineStr">
        <is>
          <t>32–36s</t>
        </is>
      </c>
      <c r="H648" s="87" t="inlineStr">
        <is>
          <t>You can be logical and creative. Share this with your 'right-brained' friend, and follow for more myths.</t>
        </is>
      </c>
      <c r="I648" s="87" t="inlineStr">
        <is>
          <t>LOGICAL + CREATIVE</t>
        </is>
      </c>
      <c r="J648" s="87" t="n"/>
    </row>
    <row r="649" ht="23.85" customHeight="1" s="62">
      <c r="A649" s="78" t="n">
        <v>93</v>
      </c>
      <c r="B649" s="79" t="inlineStr">
        <is>
          <t>The ten-percent brain myth</t>
        </is>
      </c>
      <c r="C649" s="78" t="inlineStr">
        <is>
          <t>Scheduled</t>
        </is>
      </c>
      <c r="D649" s="78" t="inlineStr">
        <is>
          <t>Contrarian</t>
        </is>
      </c>
      <c r="E649" s="78" t="inlineStr">
        <is>
          <t>I · Setup</t>
        </is>
      </c>
      <c r="F649" s="78" t="inlineStr">
        <is>
          <t>Hook</t>
        </is>
      </c>
      <c r="G649" s="78" t="inlineStr">
        <is>
          <t>0–3s</t>
        </is>
      </c>
      <c r="H649" s="80" t="inlineStr">
        <is>
          <t>You don't use 10 percent of your brain. You use pretty much all of it.</t>
        </is>
      </c>
      <c r="I649" s="79" t="inlineStr">
        <is>
          <t>10%? ❌</t>
        </is>
      </c>
      <c r="J649" s="79" t="inlineStr">
        <is>
          <t>Brain imaging shows activity across virtually all regions; brain ~2% body mass, ~20% energy</t>
        </is>
      </c>
    </row>
    <row r="650" ht="15" customHeight="1" s="62">
      <c r="A650" s="78" t="n">
        <v>93</v>
      </c>
      <c r="B650" s="79" t="inlineStr">
        <is>
          <t>The ten-percent brain myth</t>
        </is>
      </c>
      <c r="C650" s="78" t="inlineStr">
        <is>
          <t>Scheduled</t>
        </is>
      </c>
      <c r="D650" s="78" t="inlineStr">
        <is>
          <t>Contrarian</t>
        </is>
      </c>
      <c r="E650" s="78" t="inlineStr">
        <is>
          <t>I · Setup</t>
        </is>
      </c>
      <c r="F650" s="78" t="inlineStr">
        <is>
          <t>Setup</t>
        </is>
      </c>
      <c r="G650" s="78" t="inlineStr">
        <is>
          <t>3–8s</t>
        </is>
      </c>
      <c r="H650" s="79" t="inlineStr">
        <is>
          <t>The idea shows up in films, ads and motivational talks.</t>
        </is>
      </c>
      <c r="I650" s="79" t="inlineStr">
        <is>
          <t>movie poster: 'Unlock the other 90%'</t>
        </is>
      </c>
      <c r="J650" s="79" t="n"/>
    </row>
    <row r="651" ht="15" customHeight="1" s="62">
      <c r="A651" s="78" t="n">
        <v>93</v>
      </c>
      <c r="B651" s="79" t="inlineStr">
        <is>
          <t>The ten-percent brain myth</t>
        </is>
      </c>
      <c r="C651" s="78" t="inlineStr">
        <is>
          <t>Scheduled</t>
        </is>
      </c>
      <c r="D651" s="78" t="inlineStr">
        <is>
          <t>Contrarian</t>
        </is>
      </c>
      <c r="E651" s="78" t="inlineStr">
        <is>
          <t>II · Confrontation</t>
        </is>
      </c>
      <c r="F651" s="78" t="inlineStr">
        <is>
          <t>Evidence</t>
        </is>
      </c>
      <c r="G651" s="78" t="inlineStr">
        <is>
          <t>8–15s</t>
        </is>
      </c>
      <c r="H651" s="79" t="inlineStr">
        <is>
          <t>Brain scans show activity across virtually every region over a day.</t>
        </is>
      </c>
      <c r="I651" s="79" t="inlineStr">
        <is>
          <t>brain lighting up everywhere</t>
        </is>
      </c>
      <c r="J651" s="79" t="n"/>
    </row>
    <row r="652" ht="23.85" customHeight="1" s="62">
      <c r="A652" s="78" t="n">
        <v>93</v>
      </c>
      <c r="B652" s="79" t="inlineStr">
        <is>
          <t>The ten-percent brain myth</t>
        </is>
      </c>
      <c r="C652" s="78" t="inlineStr">
        <is>
          <t>Scheduled</t>
        </is>
      </c>
      <c r="D652" s="78" t="inlineStr">
        <is>
          <t>Contrarian</t>
        </is>
      </c>
      <c r="E652" s="78" t="inlineStr">
        <is>
          <t>II · Confrontation</t>
        </is>
      </c>
      <c r="F652" s="78" t="inlineStr">
        <is>
          <t>Escalation</t>
        </is>
      </c>
      <c r="G652" s="78" t="inlineStr">
        <is>
          <t>15–22s</t>
        </is>
      </c>
      <c r="H652" s="79" t="inlineStr">
        <is>
          <t>Your brain is about 2 percent of your body weight, yet uses around 20 percent of its energy.</t>
        </is>
      </c>
      <c r="I652" s="79" t="inlineStr">
        <is>
          <t>2% WEIGHT | ~20% ENERGY</t>
        </is>
      </c>
      <c r="J652" s="79" t="n"/>
    </row>
    <row r="653" ht="15" customHeight="1" s="62">
      <c r="A653" s="78" t="n">
        <v>93</v>
      </c>
      <c r="B653" s="79" t="inlineStr">
        <is>
          <t>The ten-percent brain myth</t>
        </is>
      </c>
      <c r="C653" s="78" t="inlineStr">
        <is>
          <t>Scheduled</t>
        </is>
      </c>
      <c r="D653" s="78" t="inlineStr">
        <is>
          <t>Contrarian</t>
        </is>
      </c>
      <c r="E653" s="78" t="inlineStr">
        <is>
          <t>II · Confrontation</t>
        </is>
      </c>
      <c r="F653" s="78" t="inlineStr">
        <is>
          <t>Turn</t>
        </is>
      </c>
      <c r="G653" s="78" t="inlineStr">
        <is>
          <t>22–26s</t>
        </is>
      </c>
      <c r="H653" s="79" t="inlineStr">
        <is>
          <t>But evolution wouldn't keep an organ that expensive if most of it sat idle.</t>
        </is>
      </c>
      <c r="I653" s="79" t="inlineStr">
        <is>
          <t>TOO EXPENSIVE TO WASTE</t>
        </is>
      </c>
      <c r="J653" s="79" t="n"/>
    </row>
    <row r="654" ht="15" customHeight="1" s="62">
      <c r="A654" s="78" t="n">
        <v>93</v>
      </c>
      <c r="B654" s="79" t="inlineStr">
        <is>
          <t>The ten-percent brain myth</t>
        </is>
      </c>
      <c r="C654" s="78" t="inlineStr">
        <is>
          <t>Scheduled</t>
        </is>
      </c>
      <c r="D654" s="78" t="inlineStr">
        <is>
          <t>Contrarian</t>
        </is>
      </c>
      <c r="E654" s="78" t="inlineStr">
        <is>
          <t>III · Resolution</t>
        </is>
      </c>
      <c r="F654" s="78" t="inlineStr">
        <is>
          <t>Payoff</t>
        </is>
      </c>
      <c r="G654" s="78" t="inlineStr">
        <is>
          <t>26–32s</t>
        </is>
      </c>
      <c r="H654" s="79" t="inlineStr">
        <is>
          <t>The 10 percent brain myth.</t>
        </is>
      </c>
      <c r="I654" s="79" t="inlineStr">
        <is>
          <t>MYTH BUSTED</t>
        </is>
      </c>
      <c r="J654" s="79" t="n"/>
    </row>
    <row r="655" ht="23.85" customHeight="1" s="62">
      <c r="A655" s="81" t="n">
        <v>93</v>
      </c>
      <c r="B655" s="82" t="inlineStr">
        <is>
          <t>The ten-percent brain myth</t>
        </is>
      </c>
      <c r="C655" s="81" t="inlineStr">
        <is>
          <t>Scheduled</t>
        </is>
      </c>
      <c r="D655" s="81" t="inlineStr">
        <is>
          <t>Contrarian</t>
        </is>
      </c>
      <c r="E655" s="81" t="inlineStr">
        <is>
          <t>III · Resolution</t>
        </is>
      </c>
      <c r="F655" s="81" t="inlineStr">
        <is>
          <t>Outro</t>
        </is>
      </c>
      <c r="G655" s="81" t="inlineStr">
        <is>
          <t>32–36s</t>
        </is>
      </c>
      <c r="H655" s="82" t="inlineStr">
        <is>
          <t>Next time someone says it, you know the answer. Follow for tomorrow's myth.</t>
        </is>
      </c>
      <c r="I655" s="82" t="inlineStr">
        <is>
          <t>FOLLOW FOR TOMORROW'S MYTH</t>
        </is>
      </c>
      <c r="J655" s="82" t="n"/>
    </row>
    <row r="656" ht="23.85" customHeight="1" s="62">
      <c r="A656" s="83" t="n">
        <v>94</v>
      </c>
      <c r="B656" s="84" t="inlineStr">
        <is>
          <t>Body-language certainty</t>
        </is>
      </c>
      <c r="C656" s="83" t="inlineStr">
        <is>
          <t>Scripted</t>
        </is>
      </c>
      <c r="D656" s="83" t="inlineStr">
        <is>
          <t>Study reveal</t>
        </is>
      </c>
      <c r="E656" s="83" t="inlineStr">
        <is>
          <t>I · Setup</t>
        </is>
      </c>
      <c r="F656" s="83" t="inlineStr">
        <is>
          <t>Hook</t>
        </is>
      </c>
      <c r="G656" s="83" t="inlineStr">
        <is>
          <t>0–3s</t>
        </is>
      </c>
      <c r="H656" s="85" t="inlineStr">
        <is>
          <t>Crossed arms don't mean someone's lying. Experts can barely tell either.</t>
        </is>
      </c>
      <c r="I656" s="84" t="inlineStr">
        <is>
          <t>🙅 ≠ LYING</t>
        </is>
      </c>
      <c r="J656" s="84" t="inlineStr">
        <is>
          <t>Bond &amp; DePaulo 2006 meta-analysis: lie detection ~54% accuracy, barely above chance</t>
        </is>
      </c>
    </row>
    <row r="657" ht="15" customHeight="1" s="62">
      <c r="A657" s="83" t="n">
        <v>94</v>
      </c>
      <c r="B657" s="84" t="inlineStr">
        <is>
          <t>Body-language certainty</t>
        </is>
      </c>
      <c r="C657" s="83" t="inlineStr">
        <is>
          <t>Scripted</t>
        </is>
      </c>
      <c r="D657" s="83" t="inlineStr">
        <is>
          <t>Study reveal</t>
        </is>
      </c>
      <c r="E657" s="83" t="inlineStr">
        <is>
          <t>I · Setup</t>
        </is>
      </c>
      <c r="F657" s="83" t="inlineStr">
        <is>
          <t>Setup</t>
        </is>
      </c>
      <c r="G657" s="83" t="inlineStr">
        <is>
          <t>3–8s</t>
        </is>
      </c>
      <c r="H657" s="84" t="inlineStr">
        <is>
          <t>You've heard it: crossed arms, looking away, touching the face.</t>
        </is>
      </c>
      <c r="I657" s="84" t="inlineStr">
        <is>
          <t>3 'TELLS' ✗ ✗ ✗</t>
        </is>
      </c>
      <c r="J657" s="84" t="n"/>
    </row>
    <row r="658" ht="23.85" customHeight="1" s="62">
      <c r="A658" s="83" t="n">
        <v>94</v>
      </c>
      <c r="B658" s="84" t="inlineStr">
        <is>
          <t>Body-language certainty</t>
        </is>
      </c>
      <c r="C658" s="83" t="inlineStr">
        <is>
          <t>Scripted</t>
        </is>
      </c>
      <c r="D658" s="83" t="inlineStr">
        <is>
          <t>Study reveal</t>
        </is>
      </c>
      <c r="E658" s="83" t="inlineStr">
        <is>
          <t>II · Confrontation</t>
        </is>
      </c>
      <c r="F658" s="83" t="inlineStr">
        <is>
          <t>Evidence</t>
        </is>
      </c>
      <c r="G658" s="83" t="inlineStr">
        <is>
          <t>8–15s</t>
        </is>
      </c>
      <c r="H658" s="84" t="inlineStr">
        <is>
          <t>In 2006, Charles Bond and Bella DePaulo reviewed over 200 lie-detection studies.</t>
        </is>
      </c>
      <c r="I658" s="84" t="inlineStr">
        <is>
          <t>BOND &amp; DEPAULO, 2006 | 200+ STUDIES</t>
        </is>
      </c>
      <c r="J658" s="84" t="n"/>
    </row>
    <row r="659" ht="23.85" customHeight="1" s="62">
      <c r="A659" s="83" t="n">
        <v>94</v>
      </c>
      <c r="B659" s="84" t="inlineStr">
        <is>
          <t>Body-language certainty</t>
        </is>
      </c>
      <c r="C659" s="83" t="inlineStr">
        <is>
          <t>Scripted</t>
        </is>
      </c>
      <c r="D659" s="83" t="inlineStr">
        <is>
          <t>Study reveal</t>
        </is>
      </c>
      <c r="E659" s="83" t="inlineStr">
        <is>
          <t>II · Confrontation</t>
        </is>
      </c>
      <c r="F659" s="83" t="inlineStr">
        <is>
          <t>Escalation</t>
        </is>
      </c>
      <c r="G659" s="83" t="inlineStr">
        <is>
          <t>15–22s</t>
        </is>
      </c>
      <c r="H659" s="84" t="inlineStr">
        <is>
          <t>People spotted lies about 54 percent of the time. Barely better than a coin flip.</t>
        </is>
      </c>
      <c r="I659" s="84" t="inlineStr">
        <is>
          <t>54% (coin = 50%)</t>
        </is>
      </c>
      <c r="J659" s="84" t="n"/>
    </row>
    <row r="660" ht="15" customHeight="1" s="62">
      <c r="A660" s="83" t="n">
        <v>94</v>
      </c>
      <c r="B660" s="84" t="inlineStr">
        <is>
          <t>Body-language certainty</t>
        </is>
      </c>
      <c r="C660" s="83" t="inlineStr">
        <is>
          <t>Scripted</t>
        </is>
      </c>
      <c r="D660" s="83" t="inlineStr">
        <is>
          <t>Study reveal</t>
        </is>
      </c>
      <c r="E660" s="83" t="inlineStr">
        <is>
          <t>II · Confrontation</t>
        </is>
      </c>
      <c r="F660" s="83" t="inlineStr">
        <is>
          <t>Turn</t>
        </is>
      </c>
      <c r="G660" s="83" t="inlineStr">
        <is>
          <t>22–26s</t>
        </is>
      </c>
      <c r="H660" s="84" t="inlineStr">
        <is>
          <t>But maybe they're just cold, tired, or comfortable like that.</t>
        </is>
      </c>
      <c r="I660" s="84" t="inlineStr">
        <is>
          <t>🥶 😴 😌</t>
        </is>
      </c>
      <c r="J660" s="84" t="n"/>
    </row>
    <row r="661" ht="15" customHeight="1" s="62">
      <c r="A661" s="83" t="n">
        <v>94</v>
      </c>
      <c r="B661" s="84" t="inlineStr">
        <is>
          <t>Body-language certainty</t>
        </is>
      </c>
      <c r="C661" s="83" t="inlineStr">
        <is>
          <t>Scripted</t>
        </is>
      </c>
      <c r="D661" s="83" t="inlineStr">
        <is>
          <t>Study reveal</t>
        </is>
      </c>
      <c r="E661" s="83" t="inlineStr">
        <is>
          <t>III · Resolution</t>
        </is>
      </c>
      <c r="F661" s="83" t="inlineStr">
        <is>
          <t>Payoff</t>
        </is>
      </c>
      <c r="G661" s="83" t="inlineStr">
        <is>
          <t>26–32s</t>
        </is>
      </c>
      <c r="H661" s="84" t="inlineStr">
        <is>
          <t>Body-language certainty is a myth.</t>
        </is>
      </c>
      <c r="I661" s="84" t="inlineStr">
        <is>
          <t>BODY LANGUAGE ≠ LIE DETECTOR</t>
        </is>
      </c>
      <c r="J661" s="84" t="n"/>
    </row>
    <row r="662" ht="23.85" customHeight="1" s="62">
      <c r="A662" s="86" t="n">
        <v>94</v>
      </c>
      <c r="B662" s="87" t="inlineStr">
        <is>
          <t>Body-language certainty</t>
        </is>
      </c>
      <c r="C662" s="86" t="inlineStr">
        <is>
          <t>Scripted</t>
        </is>
      </c>
      <c r="D662" s="86" t="inlineStr">
        <is>
          <t>Study reveal</t>
        </is>
      </c>
      <c r="E662" s="86" t="inlineStr">
        <is>
          <t>III · Resolution</t>
        </is>
      </c>
      <c r="F662" s="86" t="inlineStr">
        <is>
          <t>Outro</t>
        </is>
      </c>
      <c r="G662" s="86" t="inlineStr">
        <is>
          <t>32–36s</t>
        </is>
      </c>
      <c r="H662" s="87" t="inlineStr">
        <is>
          <t>Judge what people say and do, not one gesture. Save this before your next 'they're lying' moment.</t>
        </is>
      </c>
      <c r="I662" s="87" t="inlineStr">
        <is>
          <t>WORDS + ACTIONS</t>
        </is>
      </c>
      <c r="J662" s="87" t="n"/>
    </row>
    <row r="663" ht="23.85" customHeight="1" s="62">
      <c r="A663" s="78" t="n">
        <v>95</v>
      </c>
      <c r="B663" s="79" t="inlineStr">
        <is>
          <t>Personality quizzes</t>
        </is>
      </c>
      <c r="C663" s="78" t="inlineStr">
        <is>
          <t>Idea</t>
        </is>
      </c>
      <c r="D663" s="78" t="inlineStr">
        <is>
          <t>Study reveal</t>
        </is>
      </c>
      <c r="E663" s="78" t="inlineStr">
        <is>
          <t>I · Setup</t>
        </is>
      </c>
      <c r="F663" s="78" t="inlineStr">
        <is>
          <t>Hook</t>
        </is>
      </c>
      <c r="G663" s="78" t="inlineStr">
        <is>
          <t>0–3s</t>
        </is>
      </c>
      <c r="H663" s="80" t="inlineStr">
        <is>
          <t>A professor gave his whole class the same personality reading. They rated it 4.3 out of 5.</t>
        </is>
      </c>
      <c r="I663" s="79" t="inlineStr">
        <is>
          <t>SAME PROFILE → 4.3/5 ⭐</t>
        </is>
      </c>
      <c r="J663" s="79" t="inlineStr">
        <is>
          <t>Forer 1949: same generic profile rated ~4.3/5 accurate</t>
        </is>
      </c>
    </row>
    <row r="664" ht="15" customHeight="1" s="62">
      <c r="A664" s="78" t="n">
        <v>95</v>
      </c>
      <c r="B664" s="79" t="inlineStr">
        <is>
          <t>Personality quizzes</t>
        </is>
      </c>
      <c r="C664" s="78" t="inlineStr">
        <is>
          <t>Idea</t>
        </is>
      </c>
      <c r="D664" s="78" t="inlineStr">
        <is>
          <t>Study reveal</t>
        </is>
      </c>
      <c r="E664" s="78" t="inlineStr">
        <is>
          <t>I · Setup</t>
        </is>
      </c>
      <c r="F664" s="78" t="inlineStr">
        <is>
          <t>Setup</t>
        </is>
      </c>
      <c r="G664" s="78" t="inlineStr">
        <is>
          <t>3–8s</t>
        </is>
      </c>
      <c r="H664" s="79" t="inlineStr">
        <is>
          <t>In 1948, Bertram Forer gave students a personality test.</t>
        </is>
      </c>
      <c r="I664" s="79" t="inlineStr">
        <is>
          <t>FORER, 1948</t>
        </is>
      </c>
      <c r="J664" s="79" t="n"/>
    </row>
    <row r="665" ht="15" customHeight="1" s="62">
      <c r="A665" s="78" t="n">
        <v>95</v>
      </c>
      <c r="B665" s="79" t="inlineStr">
        <is>
          <t>Personality quizzes</t>
        </is>
      </c>
      <c r="C665" s="78" t="inlineStr">
        <is>
          <t>Idea</t>
        </is>
      </c>
      <c r="D665" s="78" t="inlineStr">
        <is>
          <t>Study reveal</t>
        </is>
      </c>
      <c r="E665" s="78" t="inlineStr">
        <is>
          <t>II · Confrontation</t>
        </is>
      </c>
      <c r="F665" s="78" t="inlineStr">
        <is>
          <t>Evidence</t>
        </is>
      </c>
      <c r="G665" s="78" t="inlineStr">
        <is>
          <t>8–15s</t>
        </is>
      </c>
      <c r="H665" s="79" t="inlineStr">
        <is>
          <t>Each got a 'personal' description. Every single one was identical.</t>
        </is>
      </c>
      <c r="I665" s="79" t="inlineStr">
        <is>
          <t>IDENTICAL × 39</t>
        </is>
      </c>
      <c r="J665" s="79" t="n"/>
    </row>
    <row r="666" ht="15" customHeight="1" s="62">
      <c r="A666" s="78" t="n">
        <v>95</v>
      </c>
      <c r="B666" s="79" t="inlineStr">
        <is>
          <t>Personality quizzes</t>
        </is>
      </c>
      <c r="C666" s="78" t="inlineStr">
        <is>
          <t>Idea</t>
        </is>
      </c>
      <c r="D666" s="78" t="inlineStr">
        <is>
          <t>Study reveal</t>
        </is>
      </c>
      <c r="E666" s="78" t="inlineStr">
        <is>
          <t>II · Confrontation</t>
        </is>
      </c>
      <c r="F666" s="78" t="inlineStr">
        <is>
          <t>Escalation</t>
        </is>
      </c>
      <c r="G666" s="78" t="inlineStr">
        <is>
          <t>15–22s</t>
        </is>
      </c>
      <c r="H666" s="79" t="inlineStr">
        <is>
          <t>Things like: 'You have a great need for others to like you.'</t>
        </is>
      </c>
      <c r="I666" s="79" t="inlineStr">
        <is>
          <t>'YOU NEED OTHERS TO LIKE YOU'</t>
        </is>
      </c>
      <c r="J666" s="79" t="n"/>
    </row>
    <row r="667" ht="15" customHeight="1" s="62">
      <c r="A667" s="78" t="n">
        <v>95</v>
      </c>
      <c r="B667" s="79" t="inlineStr">
        <is>
          <t>Personality quizzes</t>
        </is>
      </c>
      <c r="C667" s="78" t="inlineStr">
        <is>
          <t>Idea</t>
        </is>
      </c>
      <c r="D667" s="78" t="inlineStr">
        <is>
          <t>Study reveal</t>
        </is>
      </c>
      <c r="E667" s="78" t="inlineStr">
        <is>
          <t>II · Confrontation</t>
        </is>
      </c>
      <c r="F667" s="78" t="inlineStr">
        <is>
          <t>Turn</t>
        </is>
      </c>
      <c r="G667" s="78" t="inlineStr">
        <is>
          <t>22–26s</t>
        </is>
      </c>
      <c r="H667" s="79" t="inlineStr">
        <is>
          <t>But vague statements fit almost everyone, so they feel uniquely true.</t>
        </is>
      </c>
      <c r="I667" s="79" t="inlineStr">
        <is>
          <t>VAGUE = FITS ALL</t>
        </is>
      </c>
      <c r="J667" s="79" t="n"/>
    </row>
    <row r="668" ht="15" customHeight="1" s="62">
      <c r="A668" s="78" t="n">
        <v>95</v>
      </c>
      <c r="B668" s="79" t="inlineStr">
        <is>
          <t>Personality quizzes</t>
        </is>
      </c>
      <c r="C668" s="78" t="inlineStr">
        <is>
          <t>Idea</t>
        </is>
      </c>
      <c r="D668" s="78" t="inlineStr">
        <is>
          <t>Study reveal</t>
        </is>
      </c>
      <c r="E668" s="78" t="inlineStr">
        <is>
          <t>III · Resolution</t>
        </is>
      </c>
      <c r="F668" s="78" t="inlineStr">
        <is>
          <t>Payoff</t>
        </is>
      </c>
      <c r="G668" s="78" t="inlineStr">
        <is>
          <t>26–32s</t>
        </is>
      </c>
      <c r="H668" s="79" t="inlineStr">
        <is>
          <t>It's the Barnum effect. It's why horoscopes and quizzes feel so accurate.</t>
        </is>
      </c>
      <c r="I668" s="79" t="inlineStr">
        <is>
          <t>THE BARNUM EFFECT</t>
        </is>
      </c>
      <c r="J668" s="79" t="n"/>
    </row>
    <row r="669" ht="23.85" customHeight="1" s="62">
      <c r="A669" s="81" t="n">
        <v>95</v>
      </c>
      <c r="B669" s="82" t="inlineStr">
        <is>
          <t>Personality quizzes</t>
        </is>
      </c>
      <c r="C669" s="81" t="inlineStr">
        <is>
          <t>Idea</t>
        </is>
      </c>
      <c r="D669" s="81" t="inlineStr">
        <is>
          <t>Study reveal</t>
        </is>
      </c>
      <c r="E669" s="81" t="inlineStr">
        <is>
          <t>III · Resolution</t>
        </is>
      </c>
      <c r="F669" s="81" t="inlineStr">
        <is>
          <t>Outro</t>
        </is>
      </c>
      <c r="G669" s="81" t="inlineStr">
        <is>
          <t>32–36s</t>
        </is>
      </c>
      <c r="H669" s="82" t="inlineStr">
        <is>
          <t>Before trusting a quiz result, ask: would this fit my friend too? Follow for more.</t>
        </is>
      </c>
      <c r="I669" s="82" t="inlineStr">
        <is>
          <t>WOULD IT FIT A FRIEND?</t>
        </is>
      </c>
      <c r="J669" s="82" t="n"/>
    </row>
    <row r="670" ht="35.05" customHeight="1" s="62">
      <c r="A670" s="83" t="n">
        <v>96</v>
      </c>
      <c r="B670" s="84" t="inlineStr">
        <is>
          <t>Memory confidence</t>
        </is>
      </c>
      <c r="C670" s="83" t="inlineStr">
        <is>
          <t>Idea</t>
        </is>
      </c>
      <c r="D670" s="83" t="inlineStr">
        <is>
          <t>Study reveal</t>
        </is>
      </c>
      <c r="E670" s="83" t="inlineStr">
        <is>
          <t>I · Setup</t>
        </is>
      </c>
      <c r="F670" s="83" t="inlineStr">
        <is>
          <t>Hook</t>
        </is>
      </c>
      <c r="G670" s="83" t="inlineStr">
        <is>
          <t>0–3s</t>
        </is>
      </c>
      <c r="H670" s="85" t="inlineStr">
        <is>
          <t>You can be totally certain about a memory, and totally wrong.</t>
        </is>
      </c>
      <c r="I670" s="84" t="inlineStr">
        <is>
          <t>100% SURE ❌</t>
        </is>
      </c>
      <c r="J670" s="84" t="inlineStr">
        <is>
          <t>Talarico &amp; Rubin 2003: 9/11 memories' consistency declined while confidence stayed high</t>
        </is>
      </c>
    </row>
    <row r="671" ht="23.85" customHeight="1" s="62">
      <c r="A671" s="83" t="n">
        <v>96</v>
      </c>
      <c r="B671" s="84" t="inlineStr">
        <is>
          <t>Memory confidence</t>
        </is>
      </c>
      <c r="C671" s="83" t="inlineStr">
        <is>
          <t>Idea</t>
        </is>
      </c>
      <c r="D671" s="83" t="inlineStr">
        <is>
          <t>Study reveal</t>
        </is>
      </c>
      <c r="E671" s="83" t="inlineStr">
        <is>
          <t>I · Setup</t>
        </is>
      </c>
      <c r="F671" s="83" t="inlineStr">
        <is>
          <t>Setup</t>
        </is>
      </c>
      <c r="G671" s="83" t="inlineStr">
        <is>
          <t>3–8s</t>
        </is>
      </c>
      <c r="H671" s="84" t="inlineStr">
        <is>
          <t>The day after 9/11, Jennifer Talarico and David Rubin asked students what happened to them.</t>
        </is>
      </c>
      <c r="I671" s="84" t="inlineStr">
        <is>
          <t>TALARICO &amp; RUBIN, 2003</t>
        </is>
      </c>
      <c r="J671" s="84" t="n"/>
    </row>
    <row r="672" ht="15" customHeight="1" s="62">
      <c r="A672" s="83" t="n">
        <v>96</v>
      </c>
      <c r="B672" s="84" t="inlineStr">
        <is>
          <t>Memory confidence</t>
        </is>
      </c>
      <c r="C672" s="83" t="inlineStr">
        <is>
          <t>Idea</t>
        </is>
      </c>
      <c r="D672" s="83" t="inlineStr">
        <is>
          <t>Study reveal</t>
        </is>
      </c>
      <c r="E672" s="83" t="inlineStr">
        <is>
          <t>II · Confrontation</t>
        </is>
      </c>
      <c r="F672" s="83" t="inlineStr">
        <is>
          <t>Evidence</t>
        </is>
      </c>
      <c r="G672" s="83" t="inlineStr">
        <is>
          <t>8–15s</t>
        </is>
      </c>
      <c r="H672" s="84" t="inlineStr">
        <is>
          <t>They asked again weeks and months later.</t>
        </is>
      </c>
      <c r="I672" s="84" t="inlineStr">
        <is>
          <t>DAY 1 → WEEK 6 → MONTH 7</t>
        </is>
      </c>
      <c r="J672" s="84" t="n"/>
    </row>
    <row r="673" ht="15" customHeight="1" s="62">
      <c r="A673" s="83" t="n">
        <v>96</v>
      </c>
      <c r="B673" s="84" t="inlineStr">
        <is>
          <t>Memory confidence</t>
        </is>
      </c>
      <c r="C673" s="83" t="inlineStr">
        <is>
          <t>Idea</t>
        </is>
      </c>
      <c r="D673" s="83" t="inlineStr">
        <is>
          <t>Study reveal</t>
        </is>
      </c>
      <c r="E673" s="83" t="inlineStr">
        <is>
          <t>II · Confrontation</t>
        </is>
      </c>
      <c r="F673" s="83" t="inlineStr">
        <is>
          <t>Escalation</t>
        </is>
      </c>
      <c r="G673" s="83" t="inlineStr">
        <is>
          <t>15–22s</t>
        </is>
      </c>
      <c r="H673" s="84" t="inlineStr">
        <is>
          <t>Details drifted, but confidence stayed high, like any vivid memory.</t>
        </is>
      </c>
      <c r="I673" s="84" t="inlineStr">
        <is>
          <t>ACCURACY ⬇ | CONFIDENCE ➡</t>
        </is>
      </c>
      <c r="J673" s="84" t="n"/>
    </row>
    <row r="674" ht="15" customHeight="1" s="62">
      <c r="A674" s="83" t="n">
        <v>96</v>
      </c>
      <c r="B674" s="84" t="inlineStr">
        <is>
          <t>Memory confidence</t>
        </is>
      </c>
      <c r="C674" s="83" t="inlineStr">
        <is>
          <t>Idea</t>
        </is>
      </c>
      <c r="D674" s="83" t="inlineStr">
        <is>
          <t>Study reveal</t>
        </is>
      </c>
      <c r="E674" s="83" t="inlineStr">
        <is>
          <t>II · Confrontation</t>
        </is>
      </c>
      <c r="F674" s="83" t="inlineStr">
        <is>
          <t>Turn</t>
        </is>
      </c>
      <c r="G674" s="83" t="inlineStr">
        <is>
          <t>22–26s</t>
        </is>
      </c>
      <c r="H674" s="84" t="inlineStr">
        <is>
          <t>But confidence comes from vividness, not accuracy.</t>
        </is>
      </c>
      <c r="I674" s="84" t="inlineStr">
        <is>
          <t>VIVID ≠ ACCURATE</t>
        </is>
      </c>
      <c r="J674" s="84" t="n"/>
    </row>
    <row r="675" ht="15" customHeight="1" s="62">
      <c r="A675" s="83" t="n">
        <v>96</v>
      </c>
      <c r="B675" s="84" t="inlineStr">
        <is>
          <t>Memory confidence</t>
        </is>
      </c>
      <c r="C675" s="83" t="inlineStr">
        <is>
          <t>Idea</t>
        </is>
      </c>
      <c r="D675" s="83" t="inlineStr">
        <is>
          <t>Study reveal</t>
        </is>
      </c>
      <c r="E675" s="83" t="inlineStr">
        <is>
          <t>III · Resolution</t>
        </is>
      </c>
      <c r="F675" s="83" t="inlineStr">
        <is>
          <t>Payoff</t>
        </is>
      </c>
      <c r="G675" s="83" t="inlineStr">
        <is>
          <t>26–32s</t>
        </is>
      </c>
      <c r="H675" s="84" t="inlineStr">
        <is>
          <t>Memory confidence isn't proof.</t>
        </is>
      </c>
      <c r="I675" s="84" t="inlineStr">
        <is>
          <t>MEMORY CONFIDENCE</t>
        </is>
      </c>
      <c r="J675" s="84" t="n"/>
    </row>
    <row r="676" ht="23.85" customHeight="1" s="62">
      <c r="A676" s="86" t="n">
        <v>96</v>
      </c>
      <c r="B676" s="87" t="inlineStr">
        <is>
          <t>Memory confidence</t>
        </is>
      </c>
      <c r="C676" s="86" t="inlineStr">
        <is>
          <t>Idea</t>
        </is>
      </c>
      <c r="D676" s="86" t="inlineStr">
        <is>
          <t>Study reveal</t>
        </is>
      </c>
      <c r="E676" s="86" t="inlineStr">
        <is>
          <t>III · Resolution</t>
        </is>
      </c>
      <c r="F676" s="86" t="inlineStr">
        <is>
          <t>Outro</t>
        </is>
      </c>
      <c r="G676" s="86" t="inlineStr">
        <is>
          <t>32–36s</t>
        </is>
      </c>
      <c r="H676" s="87" t="inlineStr">
        <is>
          <t>Write down important moments while they're fresh. Save this for the next 'I remember exactly' argument.</t>
        </is>
      </c>
      <c r="I676" s="87" t="inlineStr">
        <is>
          <t>WRITE IT DOWN NOW</t>
        </is>
      </c>
      <c r="J676" s="87" t="n"/>
    </row>
    <row r="677" ht="23.85" customHeight="1" s="62">
      <c r="A677" s="78" t="n">
        <v>97</v>
      </c>
      <c r="B677" s="79" t="inlineStr">
        <is>
          <t>Correlation versus causation</t>
        </is>
      </c>
      <c r="C677" s="78" t="inlineStr">
        <is>
          <t>Idea</t>
        </is>
      </c>
      <c r="D677" s="78" t="inlineStr">
        <is>
          <t>Curiosity gap</t>
        </is>
      </c>
      <c r="E677" s="78" t="inlineStr">
        <is>
          <t>I · Setup</t>
        </is>
      </c>
      <c r="F677" s="78" t="inlineStr">
        <is>
          <t>Hook</t>
        </is>
      </c>
      <c r="G677" s="78" t="inlineStr">
        <is>
          <t>0–3s</t>
        </is>
      </c>
      <c r="H677" s="80" t="inlineStr">
        <is>
          <t>When ice cream sales go up, drownings go up too. So does ice cream cause drowning?</t>
        </is>
      </c>
      <c r="I677" s="79" t="inlineStr">
        <is>
          <t>🍦 📈 = 🏊 📈 ?</t>
        </is>
      </c>
      <c r="J677" s="79" t="inlineStr">
        <is>
          <t>Classic confound example: heat drives both ice cream sales and swimming</t>
        </is>
      </c>
    </row>
    <row r="678" ht="15" customHeight="1" s="62">
      <c r="A678" s="78" t="n">
        <v>97</v>
      </c>
      <c r="B678" s="79" t="inlineStr">
        <is>
          <t>Correlation versus causation</t>
        </is>
      </c>
      <c r="C678" s="78" t="inlineStr">
        <is>
          <t>Idea</t>
        </is>
      </c>
      <c r="D678" s="78" t="inlineStr">
        <is>
          <t>Curiosity gap</t>
        </is>
      </c>
      <c r="E678" s="78" t="inlineStr">
        <is>
          <t>I · Setup</t>
        </is>
      </c>
      <c r="F678" s="78" t="inlineStr">
        <is>
          <t>Setup</t>
        </is>
      </c>
      <c r="G678" s="78" t="inlineStr">
        <is>
          <t>3–8s</t>
        </is>
      </c>
      <c r="H678" s="79" t="inlineStr">
        <is>
          <t>The numbers really do rise together.</t>
        </is>
      </c>
      <c r="I678" s="79" t="inlineStr">
        <is>
          <t>two lines rising together</t>
        </is>
      </c>
      <c r="J678" s="79" t="n"/>
    </row>
    <row r="679" ht="15" customHeight="1" s="62">
      <c r="A679" s="78" t="n">
        <v>97</v>
      </c>
      <c r="B679" s="79" t="inlineStr">
        <is>
          <t>Correlation versus causation</t>
        </is>
      </c>
      <c r="C679" s="78" t="inlineStr">
        <is>
          <t>Idea</t>
        </is>
      </c>
      <c r="D679" s="78" t="inlineStr">
        <is>
          <t>Curiosity gap</t>
        </is>
      </c>
      <c r="E679" s="78" t="inlineStr">
        <is>
          <t>II · Confrontation</t>
        </is>
      </c>
      <c r="F679" s="78" t="inlineStr">
        <is>
          <t>Evidence</t>
        </is>
      </c>
      <c r="G679" s="78" t="inlineStr">
        <is>
          <t>8–15s</t>
        </is>
      </c>
      <c r="H679" s="79" t="inlineStr">
        <is>
          <t>But there's a third thing driving both: hot weather.</t>
        </is>
      </c>
      <c r="I679" s="79" t="inlineStr">
        <is>
          <t>☀️ → 🍦 + 🏊</t>
        </is>
      </c>
      <c r="J679" s="79" t="n"/>
    </row>
    <row r="680" ht="15" customHeight="1" s="62">
      <c r="A680" s="78" t="n">
        <v>97</v>
      </c>
      <c r="B680" s="79" t="inlineStr">
        <is>
          <t>Correlation versus causation</t>
        </is>
      </c>
      <c r="C680" s="78" t="inlineStr">
        <is>
          <t>Idea</t>
        </is>
      </c>
      <c r="D680" s="78" t="inlineStr">
        <is>
          <t>Curiosity gap</t>
        </is>
      </c>
      <c r="E680" s="78" t="inlineStr">
        <is>
          <t>II · Confrontation</t>
        </is>
      </c>
      <c r="F680" s="78" t="inlineStr">
        <is>
          <t>Escalation</t>
        </is>
      </c>
      <c r="G680" s="78" t="inlineStr">
        <is>
          <t>15–22s</t>
        </is>
      </c>
      <c r="H680" s="79" t="inlineStr">
        <is>
          <t>Heat sells ice cream. Heat sends people swimming.</t>
        </is>
      </c>
      <c r="I680" s="79" t="inlineStr">
        <is>
          <t>HEAT = THE HIDDEN CAUSE</t>
        </is>
      </c>
      <c r="J680" s="79" t="n"/>
    </row>
    <row r="681" ht="15" customHeight="1" s="62">
      <c r="A681" s="78" t="n">
        <v>97</v>
      </c>
      <c r="B681" s="79" t="inlineStr">
        <is>
          <t>Correlation versus causation</t>
        </is>
      </c>
      <c r="C681" s="78" t="inlineStr">
        <is>
          <t>Idea</t>
        </is>
      </c>
      <c r="D681" s="78" t="inlineStr">
        <is>
          <t>Curiosity gap</t>
        </is>
      </c>
      <c r="E681" s="78" t="inlineStr">
        <is>
          <t>II · Confrontation</t>
        </is>
      </c>
      <c r="F681" s="78" t="inlineStr">
        <is>
          <t>Turn</t>
        </is>
      </c>
      <c r="G681" s="78" t="inlineStr">
        <is>
          <t>22–26s</t>
        </is>
      </c>
      <c r="H681" s="79" t="inlineStr">
        <is>
          <t>Headlines do this all the time: 'X linked to Y.'</t>
        </is>
      </c>
      <c r="I681" s="79" t="inlineStr">
        <is>
          <t>'X LINKED TO Y'</t>
        </is>
      </c>
      <c r="J681" s="79" t="n"/>
    </row>
    <row r="682" ht="15" customHeight="1" s="62">
      <c r="A682" s="78" t="n">
        <v>97</v>
      </c>
      <c r="B682" s="79" t="inlineStr">
        <is>
          <t>Correlation versus causation</t>
        </is>
      </c>
      <c r="C682" s="78" t="inlineStr">
        <is>
          <t>Idea</t>
        </is>
      </c>
      <c r="D682" s="78" t="inlineStr">
        <is>
          <t>Curiosity gap</t>
        </is>
      </c>
      <c r="E682" s="78" t="inlineStr">
        <is>
          <t>III · Resolution</t>
        </is>
      </c>
      <c r="F682" s="78" t="inlineStr">
        <is>
          <t>Payoff</t>
        </is>
      </c>
      <c r="G682" s="78" t="inlineStr">
        <is>
          <t>26–32s</t>
        </is>
      </c>
      <c r="H682" s="79" t="inlineStr">
        <is>
          <t>Correlation isn't causation.</t>
        </is>
      </c>
      <c r="I682" s="79" t="inlineStr">
        <is>
          <t>CORRELATION ≠ CAUSATION</t>
        </is>
      </c>
      <c r="J682" s="79" t="n"/>
    </row>
    <row r="683" ht="23.85" customHeight="1" s="62">
      <c r="A683" s="81" t="n">
        <v>97</v>
      </c>
      <c r="B683" s="82" t="inlineStr">
        <is>
          <t>Correlation versus causation</t>
        </is>
      </c>
      <c r="C683" s="81" t="inlineStr">
        <is>
          <t>Idea</t>
        </is>
      </c>
      <c r="D683" s="81" t="inlineStr">
        <is>
          <t>Curiosity gap</t>
        </is>
      </c>
      <c r="E683" s="81" t="inlineStr">
        <is>
          <t>III · Resolution</t>
        </is>
      </c>
      <c r="F683" s="81" t="inlineStr">
        <is>
          <t>Outro</t>
        </is>
      </c>
      <c r="G683" s="81" t="inlineStr">
        <is>
          <t>32–36s</t>
        </is>
      </c>
      <c r="H683" s="82" t="inlineStr">
        <is>
          <t>Next 'linked to' headline you see, ask: what's the hidden third thing? Comment one you've spotted, and follow.</t>
        </is>
      </c>
      <c r="I683" s="82" t="inlineStr">
        <is>
          <t>FIND THE HIDDEN CAUSE</t>
        </is>
      </c>
      <c r="J683" s="82" t="n"/>
    </row>
    <row r="684" ht="23.85" customHeight="1" s="62">
      <c r="A684" s="83" t="n">
        <v>98</v>
      </c>
      <c r="B684" s="84" t="inlineStr">
        <is>
          <t>Small samples</t>
        </is>
      </c>
      <c r="C684" s="83" t="inlineStr">
        <is>
          <t>Idea</t>
        </is>
      </c>
      <c r="D684" s="83" t="inlineStr">
        <is>
          <t>Forced choice</t>
        </is>
      </c>
      <c r="E684" s="83" t="inlineStr">
        <is>
          <t>I · Setup</t>
        </is>
      </c>
      <c r="F684" s="83" t="inlineStr">
        <is>
          <t>Hook</t>
        </is>
      </c>
      <c r="G684" s="83" t="inlineStr">
        <is>
          <t>0–3s</t>
        </is>
      </c>
      <c r="H684" s="85" t="inlineStr">
        <is>
          <t>Which hospital has more days where over 60 percent of babies are boys: big or small?</t>
        </is>
      </c>
      <c r="I684" s="84" t="inlineStr">
        <is>
          <t>🏥 BIG vs 🏠 SMALL</t>
        </is>
      </c>
      <c r="J684" s="84" t="inlineStr">
        <is>
          <t>Kahneman &amp; Tversky 1972 hospital problem: most ignored sample size</t>
        </is>
      </c>
    </row>
    <row r="685" ht="15" customHeight="1" s="62">
      <c r="A685" s="83" t="n">
        <v>98</v>
      </c>
      <c r="B685" s="84" t="inlineStr">
        <is>
          <t>Small samples</t>
        </is>
      </c>
      <c r="C685" s="83" t="inlineStr">
        <is>
          <t>Idea</t>
        </is>
      </c>
      <c r="D685" s="83" t="inlineStr">
        <is>
          <t>Forced choice</t>
        </is>
      </c>
      <c r="E685" s="83" t="inlineStr">
        <is>
          <t>I · Setup</t>
        </is>
      </c>
      <c r="F685" s="83" t="inlineStr">
        <is>
          <t>Setup</t>
        </is>
      </c>
      <c r="G685" s="83" t="inlineStr">
        <is>
          <t>3–8s</t>
        </is>
      </c>
      <c r="H685" s="84" t="inlineStr">
        <is>
          <t>Most people say: about the same.</t>
        </is>
      </c>
      <c r="I685" s="84" t="inlineStr">
        <is>
          <t>'SAME' — most people</t>
        </is>
      </c>
      <c r="J685" s="84" t="n"/>
    </row>
    <row r="686" ht="15" customHeight="1" s="62">
      <c r="A686" s="83" t="n">
        <v>98</v>
      </c>
      <c r="B686" s="84" t="inlineStr">
        <is>
          <t>Small samples</t>
        </is>
      </c>
      <c r="C686" s="83" t="inlineStr">
        <is>
          <t>Idea</t>
        </is>
      </c>
      <c r="D686" s="83" t="inlineStr">
        <is>
          <t>Forced choice</t>
        </is>
      </c>
      <c r="E686" s="83" t="inlineStr">
        <is>
          <t>II · Confrontation</t>
        </is>
      </c>
      <c r="F686" s="83" t="inlineStr">
        <is>
          <t>Evidence</t>
        </is>
      </c>
      <c r="G686" s="83" t="inlineStr">
        <is>
          <t>8–15s</t>
        </is>
      </c>
      <c r="H686" s="84" t="inlineStr">
        <is>
          <t>Kahneman and Tversky asked this in 1972.</t>
        </is>
      </c>
      <c r="I686" s="84" t="inlineStr">
        <is>
          <t>KAHNEMAN &amp; TVERSKY, 1972</t>
        </is>
      </c>
      <c r="J686" s="84" t="n"/>
    </row>
    <row r="687" ht="15" customHeight="1" s="62">
      <c r="A687" s="83" t="n">
        <v>98</v>
      </c>
      <c r="B687" s="84" t="inlineStr">
        <is>
          <t>Small samples</t>
        </is>
      </c>
      <c r="C687" s="83" t="inlineStr">
        <is>
          <t>Idea</t>
        </is>
      </c>
      <c r="D687" s="83" t="inlineStr">
        <is>
          <t>Forced choice</t>
        </is>
      </c>
      <c r="E687" s="83" t="inlineStr">
        <is>
          <t>II · Confrontation</t>
        </is>
      </c>
      <c r="F687" s="83" t="inlineStr">
        <is>
          <t>Escalation</t>
        </is>
      </c>
      <c r="G687" s="83" t="inlineStr">
        <is>
          <t>15–22s</t>
        </is>
      </c>
      <c r="H687" s="84" t="inlineStr">
        <is>
          <t>The answer is the small one. Fewer births means more random swings.</t>
        </is>
      </c>
      <c r="I687" s="84" t="inlineStr">
        <is>
          <t>SMALL = MORE SWINGS</t>
        </is>
      </c>
      <c r="J687" s="84" t="n"/>
    </row>
    <row r="688" ht="15" customHeight="1" s="62">
      <c r="A688" s="83" t="n">
        <v>98</v>
      </c>
      <c r="B688" s="84" t="inlineStr">
        <is>
          <t>Small samples</t>
        </is>
      </c>
      <c r="C688" s="83" t="inlineStr">
        <is>
          <t>Idea</t>
        </is>
      </c>
      <c r="D688" s="83" t="inlineStr">
        <is>
          <t>Forced choice</t>
        </is>
      </c>
      <c r="E688" s="83" t="inlineStr">
        <is>
          <t>II · Confrontation</t>
        </is>
      </c>
      <c r="F688" s="83" t="inlineStr">
        <is>
          <t>Turn</t>
        </is>
      </c>
      <c r="G688" s="83" t="inlineStr">
        <is>
          <t>22–26s</t>
        </is>
      </c>
      <c r="H688" s="84" t="inlineStr">
        <is>
          <t>But we forget this every time five reviews or five friends 'prove' something.</t>
        </is>
      </c>
      <c r="I688" s="84" t="inlineStr">
        <is>
          <t>5 DOTS vs MANY DOTS</t>
        </is>
      </c>
      <c r="J688" s="84" t="n"/>
    </row>
    <row r="689" ht="15" customHeight="1" s="62">
      <c r="A689" s="83" t="n">
        <v>98</v>
      </c>
      <c r="B689" s="84" t="inlineStr">
        <is>
          <t>Small samples</t>
        </is>
      </c>
      <c r="C689" s="83" t="inlineStr">
        <is>
          <t>Idea</t>
        </is>
      </c>
      <c r="D689" s="83" t="inlineStr">
        <is>
          <t>Forced choice</t>
        </is>
      </c>
      <c r="E689" s="83" t="inlineStr">
        <is>
          <t>III · Resolution</t>
        </is>
      </c>
      <c r="F689" s="83" t="inlineStr">
        <is>
          <t>Payoff</t>
        </is>
      </c>
      <c r="G689" s="83" t="inlineStr">
        <is>
          <t>26–32s</t>
        </is>
      </c>
      <c r="H689" s="84" t="inlineStr">
        <is>
          <t>Small samples are noisy.</t>
        </is>
      </c>
      <c r="I689" s="84" t="inlineStr">
        <is>
          <t>SMALL SAMPLES</t>
        </is>
      </c>
      <c r="J689" s="84" t="n"/>
    </row>
    <row r="690" ht="23.85" customHeight="1" s="62">
      <c r="A690" s="86" t="n">
        <v>98</v>
      </c>
      <c r="B690" s="87" t="inlineStr">
        <is>
          <t>Small samples</t>
        </is>
      </c>
      <c r="C690" s="86" t="inlineStr">
        <is>
          <t>Idea</t>
        </is>
      </c>
      <c r="D690" s="86" t="inlineStr">
        <is>
          <t>Forced choice</t>
        </is>
      </c>
      <c r="E690" s="86" t="inlineStr">
        <is>
          <t>III · Resolution</t>
        </is>
      </c>
      <c r="F690" s="86" t="inlineStr">
        <is>
          <t>Outro</t>
        </is>
      </c>
      <c r="G690" s="86" t="inlineStr">
        <is>
          <t>32–36s</t>
        </is>
      </c>
      <c r="H690" s="87" t="inlineStr">
        <is>
          <t>Before trusting a result, ask: how many people? Save this for the next viral 'study'.</t>
        </is>
      </c>
      <c r="I690" s="87" t="inlineStr">
        <is>
          <t>HOW MANY PEOPLE?</t>
        </is>
      </c>
      <c r="J690" s="87" t="n"/>
    </row>
    <row r="691" ht="23.85" customHeight="1" s="62">
      <c r="A691" s="78" t="n">
        <v>99</v>
      </c>
      <c r="B691" s="79" t="inlineStr">
        <is>
          <t>Replication</t>
        </is>
      </c>
      <c r="C691" s="78" t="inlineStr">
        <is>
          <t>Idea</t>
        </is>
      </c>
      <c r="D691" s="78" t="inlineStr">
        <is>
          <t>Study reveal</t>
        </is>
      </c>
      <c r="E691" s="78" t="inlineStr">
        <is>
          <t>I · Setup</t>
        </is>
      </c>
      <c r="F691" s="78" t="inlineStr">
        <is>
          <t>Hook</t>
        </is>
      </c>
      <c r="G691" s="78" t="inlineStr">
        <is>
          <t>0–3s</t>
        </is>
      </c>
      <c r="H691" s="80" t="inlineStr">
        <is>
          <t>When scientists repeated 100 psychology studies, only about a third worked again.</t>
        </is>
      </c>
      <c r="I691" s="79" t="inlineStr">
        <is>
          <t>100 STUDIES → ~36 REPLICATED</t>
        </is>
      </c>
      <c r="J691" s="79" t="inlineStr">
        <is>
          <t>Open Science Collaboration 2015: ~36% of 100 replications significant</t>
        </is>
      </c>
    </row>
    <row r="692" ht="23.85" customHeight="1" s="62">
      <c r="A692" s="78" t="n">
        <v>99</v>
      </c>
      <c r="B692" s="79" t="inlineStr">
        <is>
          <t>Replication</t>
        </is>
      </c>
      <c r="C692" s="78" t="inlineStr">
        <is>
          <t>Idea</t>
        </is>
      </c>
      <c r="D692" s="78" t="inlineStr">
        <is>
          <t>Study reveal</t>
        </is>
      </c>
      <c r="E692" s="78" t="inlineStr">
        <is>
          <t>I · Setup</t>
        </is>
      </c>
      <c r="F692" s="78" t="inlineStr">
        <is>
          <t>Setup</t>
        </is>
      </c>
      <c r="G692" s="78" t="inlineStr">
        <is>
          <t>3–8s</t>
        </is>
      </c>
      <c r="H692" s="79" t="inlineStr">
        <is>
          <t>In 2015, the Open Science Collaboration redid 100 published experiments.</t>
        </is>
      </c>
      <c r="I692" s="79" t="inlineStr">
        <is>
          <t>OPEN SCIENCE COLLABORATION, 2015</t>
        </is>
      </c>
      <c r="J692" s="79" t="n"/>
    </row>
    <row r="693" ht="15" customHeight="1" s="62">
      <c r="A693" s="78" t="n">
        <v>99</v>
      </c>
      <c r="B693" s="79" t="inlineStr">
        <is>
          <t>Replication</t>
        </is>
      </c>
      <c r="C693" s="78" t="inlineStr">
        <is>
          <t>Idea</t>
        </is>
      </c>
      <c r="D693" s="78" t="inlineStr">
        <is>
          <t>Study reveal</t>
        </is>
      </c>
      <c r="E693" s="78" t="inlineStr">
        <is>
          <t>II · Confrontation</t>
        </is>
      </c>
      <c r="F693" s="78" t="inlineStr">
        <is>
          <t>Evidence</t>
        </is>
      </c>
      <c r="G693" s="78" t="inlineStr">
        <is>
          <t>8–15s</t>
        </is>
      </c>
      <c r="H693" s="79" t="inlineStr">
        <is>
          <t>About 36 percent produced a significant result again.</t>
        </is>
      </c>
      <c r="I693" s="79" t="inlineStr">
        <is>
          <t>~36% ✓</t>
        </is>
      </c>
      <c r="J693" s="79" t="n"/>
    </row>
    <row r="694" ht="15" customHeight="1" s="62">
      <c r="A694" s="78" t="n">
        <v>99</v>
      </c>
      <c r="B694" s="79" t="inlineStr">
        <is>
          <t>Replication</t>
        </is>
      </c>
      <c r="C694" s="78" t="inlineStr">
        <is>
          <t>Idea</t>
        </is>
      </c>
      <c r="D694" s="78" t="inlineStr">
        <is>
          <t>Study reveal</t>
        </is>
      </c>
      <c r="E694" s="78" t="inlineStr">
        <is>
          <t>II · Confrontation</t>
        </is>
      </c>
      <c r="F694" s="78" t="inlineStr">
        <is>
          <t>Escalation</t>
        </is>
      </c>
      <c r="G694" s="78" t="inlineStr">
        <is>
          <t>15–22s</t>
        </is>
      </c>
      <c r="H694" s="79" t="inlineStr">
        <is>
          <t>Many effects were also smaller the second time.</t>
        </is>
      </c>
      <c r="I694" s="79" t="inlineStr">
        <is>
          <t>EFFECTS SMALLER</t>
        </is>
      </c>
      <c r="J694" s="79" t="n"/>
    </row>
    <row r="695" ht="15" customHeight="1" s="62">
      <c r="A695" s="78" t="n">
        <v>99</v>
      </c>
      <c r="B695" s="79" t="inlineStr">
        <is>
          <t>Replication</t>
        </is>
      </c>
      <c r="C695" s="78" t="inlineStr">
        <is>
          <t>Idea</t>
        </is>
      </c>
      <c r="D695" s="78" t="inlineStr">
        <is>
          <t>Study reveal</t>
        </is>
      </c>
      <c r="E695" s="78" t="inlineStr">
        <is>
          <t>II · Confrontation</t>
        </is>
      </c>
      <c r="F695" s="78" t="inlineStr">
        <is>
          <t>Turn</t>
        </is>
      </c>
      <c r="G695" s="78" t="inlineStr">
        <is>
          <t>22–26s</t>
        </is>
      </c>
      <c r="H695" s="79" t="inlineStr">
        <is>
          <t>But that's not science failing. It's science checking itself.</t>
        </is>
      </c>
      <c r="I695" s="79" t="inlineStr">
        <is>
          <t>SCIENCE CHECKING ITSELF</t>
        </is>
      </c>
      <c r="J695" s="79" t="n"/>
    </row>
    <row r="696" ht="15" customHeight="1" s="62">
      <c r="A696" s="78" t="n">
        <v>99</v>
      </c>
      <c r="B696" s="79" t="inlineStr">
        <is>
          <t>Replication</t>
        </is>
      </c>
      <c r="C696" s="78" t="inlineStr">
        <is>
          <t>Idea</t>
        </is>
      </c>
      <c r="D696" s="78" t="inlineStr">
        <is>
          <t>Study reveal</t>
        </is>
      </c>
      <c r="E696" s="78" t="inlineStr">
        <is>
          <t>III · Resolution</t>
        </is>
      </c>
      <c r="F696" s="78" t="inlineStr">
        <is>
          <t>Payoff</t>
        </is>
      </c>
      <c r="G696" s="78" t="inlineStr">
        <is>
          <t>26–32s</t>
        </is>
      </c>
      <c r="H696" s="79" t="inlineStr">
        <is>
          <t>That's why replication matters.</t>
        </is>
      </c>
      <c r="I696" s="79" t="inlineStr">
        <is>
          <t>REPLICATION</t>
        </is>
      </c>
      <c r="J696" s="79" t="n"/>
    </row>
    <row r="697" ht="23.85" customHeight="1" s="62">
      <c r="A697" s="81" t="n">
        <v>99</v>
      </c>
      <c r="B697" s="82" t="inlineStr">
        <is>
          <t>Replication</t>
        </is>
      </c>
      <c r="C697" s="81" t="inlineStr">
        <is>
          <t>Idea</t>
        </is>
      </c>
      <c r="D697" s="81" t="inlineStr">
        <is>
          <t>Study reveal</t>
        </is>
      </c>
      <c r="E697" s="81" t="inlineStr">
        <is>
          <t>III · Resolution</t>
        </is>
      </c>
      <c r="F697" s="81" t="inlineStr">
        <is>
          <t>Outro</t>
        </is>
      </c>
      <c r="G697" s="81" t="inlineStr">
        <is>
          <t>32–36s</t>
        </is>
      </c>
      <c r="H697" s="82" t="inlineStr">
        <is>
          <t>Trust findings that were repeated by different teams. Follow, we check our sources in every video.</t>
        </is>
      </c>
      <c r="I697" s="82" t="inlineStr">
        <is>
          <t>REPEATED = STRONGER</t>
        </is>
      </c>
      <c r="J697" s="82" t="n"/>
    </row>
    <row r="698" ht="15" customHeight="1" s="62">
      <c r="A698" s="83" t="n">
        <v>100</v>
      </c>
      <c r="B698" s="84" t="inlineStr">
        <is>
          <t>Psychology claim checklist</t>
        </is>
      </c>
      <c r="C698" s="83" t="inlineStr">
        <is>
          <t>Idea</t>
        </is>
      </c>
      <c r="D698" s="83" t="inlineStr">
        <is>
          <t>List</t>
        </is>
      </c>
      <c r="E698" s="83" t="inlineStr">
        <is>
          <t>I · Setup</t>
        </is>
      </c>
      <c r="F698" s="83" t="inlineStr">
        <is>
          <t>Hook</t>
        </is>
      </c>
      <c r="G698" s="83" t="inlineStr">
        <is>
          <t>0–3s</t>
        </is>
      </c>
      <c r="H698" s="85" t="inlineStr">
        <is>
          <t>Before you share a psychology fact, ask these three questions.</t>
        </is>
      </c>
      <c r="I698" s="84" t="inlineStr">
        <is>
          <t>3 QUESTIONS ✅✅✅</t>
        </is>
      </c>
      <c r="J698" s="84" t="inlineStr">
        <is>
          <t>Synthesis of channel's methods; no single study</t>
        </is>
      </c>
    </row>
    <row r="699" ht="23.85" customHeight="1" s="62">
      <c r="A699" s="83" t="n">
        <v>100</v>
      </c>
      <c r="B699" s="84" t="inlineStr">
        <is>
          <t>Psychology claim checklist</t>
        </is>
      </c>
      <c r="C699" s="83" t="inlineStr">
        <is>
          <t>Idea</t>
        </is>
      </c>
      <c r="D699" s="83" t="inlineStr">
        <is>
          <t>List</t>
        </is>
      </c>
      <c r="E699" s="83" t="inlineStr">
        <is>
          <t>I · Setup</t>
        </is>
      </c>
      <c r="F699" s="83" t="inlineStr">
        <is>
          <t>Setup</t>
        </is>
      </c>
      <c r="G699" s="83" t="inlineStr">
        <is>
          <t>3–8s</t>
        </is>
      </c>
      <c r="H699" s="84" t="inlineStr">
        <is>
          <t>One: where's the evidence? A study, or just a quote on a pretty background?</t>
        </is>
      </c>
      <c r="I699" s="84" t="inlineStr">
        <is>
          <t>1. EVIDENCE?</t>
        </is>
      </c>
      <c r="J699" s="84" t="n"/>
    </row>
    <row r="700" ht="15" customHeight="1" s="62">
      <c r="A700" s="83" t="n">
        <v>100</v>
      </c>
      <c r="B700" s="84" t="inlineStr">
        <is>
          <t>Psychology claim checklist</t>
        </is>
      </c>
      <c r="C700" s="83" t="inlineStr">
        <is>
          <t>Idea</t>
        </is>
      </c>
      <c r="D700" s="83" t="inlineStr">
        <is>
          <t>List</t>
        </is>
      </c>
      <c r="E700" s="83" t="inlineStr">
        <is>
          <t>II · Confrontation</t>
        </is>
      </c>
      <c r="F700" s="83" t="inlineStr">
        <is>
          <t>Evidence</t>
        </is>
      </c>
      <c r="G700" s="83" t="inlineStr">
        <is>
          <t>8–15s</t>
        </is>
      </c>
      <c r="H700" s="84" t="inlineStr">
        <is>
          <t>Two: who was studied? Twenty students isn't everyone.</t>
        </is>
      </c>
      <c r="I700" s="84" t="inlineStr">
        <is>
          <t>2. WHO WAS STUDIED?</t>
        </is>
      </c>
      <c r="J700" s="84" t="n"/>
    </row>
    <row r="701" ht="15" customHeight="1" s="62">
      <c r="A701" s="83" t="n">
        <v>100</v>
      </c>
      <c r="B701" s="84" t="inlineStr">
        <is>
          <t>Psychology claim checklist</t>
        </is>
      </c>
      <c r="C701" s="83" t="inlineStr">
        <is>
          <t>Idea</t>
        </is>
      </c>
      <c r="D701" s="83" t="inlineStr">
        <is>
          <t>List</t>
        </is>
      </c>
      <c r="E701" s="83" t="inlineStr">
        <is>
          <t>II · Confrontation</t>
        </is>
      </c>
      <c r="F701" s="83" t="inlineStr">
        <is>
          <t>Escalation</t>
        </is>
      </c>
      <c r="G701" s="83" t="inlineStr">
        <is>
          <t>15–22s</t>
        </is>
      </c>
      <c r="H701" s="84" t="inlineStr">
        <is>
          <t>Three: did anyone repeat it and get the same result?</t>
        </is>
      </c>
      <c r="I701" s="84" t="inlineStr">
        <is>
          <t>3. WAS IT REPEATED?</t>
        </is>
      </c>
      <c r="J701" s="84" t="n"/>
    </row>
    <row r="702" ht="15" customHeight="1" s="62">
      <c r="A702" s="83" t="n">
        <v>100</v>
      </c>
      <c r="B702" s="84" t="inlineStr">
        <is>
          <t>Psychology claim checklist</t>
        </is>
      </c>
      <c r="C702" s="83" t="inlineStr">
        <is>
          <t>Idea</t>
        </is>
      </c>
      <c r="D702" s="83" t="inlineStr">
        <is>
          <t>List</t>
        </is>
      </c>
      <c r="E702" s="83" t="inlineStr">
        <is>
          <t>II · Confrontation</t>
        </is>
      </c>
      <c r="F702" s="83" t="inlineStr">
        <is>
          <t>Turn</t>
        </is>
      </c>
      <c r="G702" s="83" t="inlineStr">
        <is>
          <t>22–26s</t>
        </is>
      </c>
      <c r="H702" s="84" t="inlineStr">
        <is>
          <t>But most viral 'facts' fail at least one.</t>
        </is>
      </c>
      <c r="I702" s="84" t="inlineStr">
        <is>
          <t>MOST FAIL ONE</t>
        </is>
      </c>
      <c r="J702" s="84" t="n"/>
    </row>
    <row r="703" ht="15" customHeight="1" s="62">
      <c r="A703" s="83" t="n">
        <v>100</v>
      </c>
      <c r="B703" s="84" t="inlineStr">
        <is>
          <t>Psychology claim checklist</t>
        </is>
      </c>
      <c r="C703" s="83" t="inlineStr">
        <is>
          <t>Idea</t>
        </is>
      </c>
      <c r="D703" s="83" t="inlineStr">
        <is>
          <t>List</t>
        </is>
      </c>
      <c r="E703" s="83" t="inlineStr">
        <is>
          <t>III · Resolution</t>
        </is>
      </c>
      <c r="F703" s="83" t="inlineStr">
        <is>
          <t>Payoff</t>
        </is>
      </c>
      <c r="G703" s="83" t="inlineStr">
        <is>
          <t>26–32s</t>
        </is>
      </c>
      <c r="H703" s="84" t="inlineStr">
        <is>
          <t>That's your psychology claim checklist.</t>
        </is>
      </c>
      <c r="I703" s="84" t="inlineStr">
        <is>
          <t>THE CLAIM CHECKLIST</t>
        </is>
      </c>
      <c r="J703" s="84" t="n"/>
    </row>
    <row r="704" ht="23.85" customHeight="1" s="62">
      <c r="A704" s="86" t="n">
        <v>100</v>
      </c>
      <c r="B704" s="87" t="inlineStr">
        <is>
          <t>Psychology claim checklist</t>
        </is>
      </c>
      <c r="C704" s="86" t="inlineStr">
        <is>
          <t>Idea</t>
        </is>
      </c>
      <c r="D704" s="86" t="inlineStr">
        <is>
          <t>List</t>
        </is>
      </c>
      <c r="E704" s="86" t="inlineStr">
        <is>
          <t>III · Resolution</t>
        </is>
      </c>
      <c r="F704" s="86" t="inlineStr">
        <is>
          <t>Outro</t>
        </is>
      </c>
      <c r="G704" s="86" t="inlineStr">
        <is>
          <t>32–36s</t>
        </is>
      </c>
      <c r="H704" s="87" t="inlineStr">
        <is>
          <t>Screenshot this and use it on our videos too. Follow for facts that pass the test.</t>
        </is>
      </c>
      <c r="I704" s="87" t="inlineStr">
        <is>
          <t>📸 SCREENSHOT THIS</t>
        </is>
      </c>
      <c r="J704" s="87" t="n"/>
    </row>
    <row r="705" ht="35.05" customHeight="1" s="62">
      <c r="A705" s="78" t="n">
        <v>101</v>
      </c>
      <c r="B705" s="79" t="inlineStr">
        <is>
          <t>Open loops (Zeigarnik effect)</t>
        </is>
      </c>
      <c r="C705" s="78" t="inlineStr">
        <is>
          <t>Scheduled</t>
        </is>
      </c>
      <c r="D705" s="78" t="inlineStr">
        <is>
          <t>You-callout</t>
        </is>
      </c>
      <c r="E705" s="78" t="inlineStr">
        <is>
          <t>I · Setup</t>
        </is>
      </c>
      <c r="F705" s="78" t="inlineStr">
        <is>
          <t>Hook</t>
        </is>
      </c>
      <c r="G705" s="78" t="inlineStr">
        <is>
          <t>0–3s</t>
        </is>
      </c>
      <c r="H705" s="80" t="inlineStr">
        <is>
          <t>Your brain won't let you sleep because it's holding a list it hasn't finished.</t>
        </is>
      </c>
      <c r="I705" s="79" t="inlineStr">
        <is>
          <t>2 AM 🧠 open tabs</t>
        </is>
      </c>
      <c r="J705" s="79" t="inlineStr">
        <is>
          <t>Zeigarnik 1927 (replication mixed); Masicampo &amp; Baumeister 2011: plan reduced intrusive thoughts</t>
        </is>
      </c>
    </row>
    <row r="706" ht="15" customHeight="1" s="62">
      <c r="A706" s="78" t="n">
        <v>101</v>
      </c>
      <c r="B706" s="79" t="inlineStr">
        <is>
          <t>Open loops (Zeigarnik effect)</t>
        </is>
      </c>
      <c r="C706" s="78" t="inlineStr">
        <is>
          <t>Scheduled</t>
        </is>
      </c>
      <c r="D706" s="78" t="inlineStr">
        <is>
          <t>You-callout</t>
        </is>
      </c>
      <c r="E706" s="78" t="inlineStr">
        <is>
          <t>I · Setup</t>
        </is>
      </c>
      <c r="F706" s="78" t="inlineStr">
        <is>
          <t>Setup</t>
        </is>
      </c>
      <c r="G706" s="78" t="inlineStr">
        <is>
          <t>3–8s</t>
        </is>
      </c>
      <c r="H706" s="79" t="inlineStr">
        <is>
          <t>You lie down, and every unfinished task starts knocking.</t>
        </is>
      </c>
      <c r="I706" s="79" t="inlineStr">
        <is>
          <t>tasks knocking at the door</t>
        </is>
      </c>
      <c r="J706" s="79" t="n"/>
    </row>
    <row r="707" ht="15" customHeight="1" s="62">
      <c r="A707" s="78" t="n">
        <v>101</v>
      </c>
      <c r="B707" s="79" t="inlineStr">
        <is>
          <t>Open loops (Zeigarnik effect)</t>
        </is>
      </c>
      <c r="C707" s="78" t="inlineStr">
        <is>
          <t>Scheduled</t>
        </is>
      </c>
      <c r="D707" s="78" t="inlineStr">
        <is>
          <t>You-callout</t>
        </is>
      </c>
      <c r="E707" s="78" t="inlineStr">
        <is>
          <t>II · Confrontation</t>
        </is>
      </c>
      <c r="F707" s="78" t="inlineStr">
        <is>
          <t>Evidence</t>
        </is>
      </c>
      <c r="G707" s="78" t="inlineStr">
        <is>
          <t>8–15s</t>
        </is>
      </c>
      <c r="H707" s="79" t="inlineStr">
        <is>
          <t>In 1927, Bluma Zeigarnik noticed unfinished tasks stay active in memory.</t>
        </is>
      </c>
      <c r="I707" s="79" t="inlineStr">
        <is>
          <t>ZEIGARNIK, 1927</t>
        </is>
      </c>
      <c r="J707" s="79" t="n"/>
    </row>
    <row r="708" ht="23.85" customHeight="1" s="62">
      <c r="A708" s="78" t="n">
        <v>101</v>
      </c>
      <c r="B708" s="79" t="inlineStr">
        <is>
          <t>Open loops (Zeigarnik effect)</t>
        </is>
      </c>
      <c r="C708" s="78" t="inlineStr">
        <is>
          <t>Scheduled</t>
        </is>
      </c>
      <c r="D708" s="78" t="inlineStr">
        <is>
          <t>You-callout</t>
        </is>
      </c>
      <c r="E708" s="78" t="inlineStr">
        <is>
          <t>II · Confrontation</t>
        </is>
      </c>
      <c r="F708" s="78" t="inlineStr">
        <is>
          <t>Escalation</t>
        </is>
      </c>
      <c r="G708" s="78" t="inlineStr">
        <is>
          <t>15–22s</t>
        </is>
      </c>
      <c r="H708" s="79" t="inlineStr">
        <is>
          <t>In 2011, E.J. Masicampo and Roy Baumeister found making a specific plan quieted those thoughts.</t>
        </is>
      </c>
      <c r="I708" s="79" t="inlineStr">
        <is>
          <t>MASICAMPO &amp; BAUMEISTER, 2011</t>
        </is>
      </c>
      <c r="J708" s="79" t="n"/>
    </row>
    <row r="709" ht="15" customHeight="1" s="62">
      <c r="A709" s="78" t="n">
        <v>101</v>
      </c>
      <c r="B709" s="79" t="inlineStr">
        <is>
          <t>Open loops (Zeigarnik effect)</t>
        </is>
      </c>
      <c r="C709" s="78" t="inlineStr">
        <is>
          <t>Scheduled</t>
        </is>
      </c>
      <c r="D709" s="78" t="inlineStr">
        <is>
          <t>You-callout</t>
        </is>
      </c>
      <c r="E709" s="78" t="inlineStr">
        <is>
          <t>II · Confrontation</t>
        </is>
      </c>
      <c r="F709" s="78" t="inlineStr">
        <is>
          <t>Turn</t>
        </is>
      </c>
      <c r="G709" s="78" t="inlineStr">
        <is>
          <t>22–26s</t>
        </is>
      </c>
      <c r="H709" s="79" t="inlineStr">
        <is>
          <t>But you don't need to finish the task. You just need to plan the next step.</t>
        </is>
      </c>
      <c r="I709" s="79" t="inlineStr">
        <is>
          <t>PLAN ≠ FINISH</t>
        </is>
      </c>
      <c r="J709" s="79" t="n"/>
    </row>
    <row r="710" ht="15" customHeight="1" s="62">
      <c r="A710" s="78" t="n">
        <v>101</v>
      </c>
      <c r="B710" s="79" t="inlineStr">
        <is>
          <t>Open loops (Zeigarnik effect)</t>
        </is>
      </c>
      <c r="C710" s="78" t="inlineStr">
        <is>
          <t>Scheduled</t>
        </is>
      </c>
      <c r="D710" s="78" t="inlineStr">
        <is>
          <t>You-callout</t>
        </is>
      </c>
      <c r="E710" s="78" t="inlineStr">
        <is>
          <t>III · Resolution</t>
        </is>
      </c>
      <c r="F710" s="78" t="inlineStr">
        <is>
          <t>Payoff</t>
        </is>
      </c>
      <c r="G710" s="78" t="inlineStr">
        <is>
          <t>26–32s</t>
        </is>
      </c>
      <c r="H710" s="79" t="inlineStr">
        <is>
          <t>That's the open-loop effect.</t>
        </is>
      </c>
      <c r="I710" s="79" t="inlineStr">
        <is>
          <t>OPEN LOOPS</t>
        </is>
      </c>
      <c r="J710" s="79" t="n"/>
    </row>
    <row r="711" ht="23.85" customHeight="1" s="62">
      <c r="A711" s="81" t="n">
        <v>101</v>
      </c>
      <c r="B711" s="82" t="inlineStr">
        <is>
          <t>Open loops (Zeigarnik effect)</t>
        </is>
      </c>
      <c r="C711" s="81" t="inlineStr">
        <is>
          <t>Scheduled</t>
        </is>
      </c>
      <c r="D711" s="81" t="inlineStr">
        <is>
          <t>You-callout</t>
        </is>
      </c>
      <c r="E711" s="81" t="inlineStr">
        <is>
          <t>III · Resolution</t>
        </is>
      </c>
      <c r="F711" s="81" t="inlineStr">
        <is>
          <t>Outro</t>
        </is>
      </c>
      <c r="G711" s="81" t="inlineStr">
        <is>
          <t>32–36s</t>
        </is>
      </c>
      <c r="H711" s="82" t="inlineStr">
        <is>
          <t>Before bed, write tomorrow's first step for each worry. Save this for tonight.</t>
        </is>
      </c>
      <c r="I711" s="82" t="inlineStr">
        <is>
          <t>WRITE THE NEXT STEP</t>
        </is>
      </c>
      <c r="J711" s="82" t="n"/>
    </row>
    <row r="712" ht="35.05" customHeight="1" s="62">
      <c r="A712" s="83" t="n">
        <v>102</v>
      </c>
      <c r="B712" s="84" t="inlineStr">
        <is>
          <t>Why one more never feels like enough (dopamine and checking)</t>
        </is>
      </c>
      <c r="C712" s="83" t="inlineStr">
        <is>
          <t>Scheduled</t>
        </is>
      </c>
      <c r="D712" s="83" t="inlineStr">
        <is>
          <t>You-callout</t>
        </is>
      </c>
      <c r="E712" s="83" t="inlineStr">
        <is>
          <t>I · Setup</t>
        </is>
      </c>
      <c r="F712" s="83" t="inlineStr">
        <is>
          <t>Hook</t>
        </is>
      </c>
      <c r="G712" s="83" t="inlineStr">
        <is>
          <t>0–3s</t>
        </is>
      </c>
      <c r="H712" s="85" t="inlineStr">
        <is>
          <t>You opened your phone for a minute. That was 40 minutes ago.</t>
        </is>
      </c>
      <c r="I712" s="84" t="inlineStr">
        <is>
          <t>'1 MINUTE' → 40 MINUTES</t>
        </is>
      </c>
      <c r="J712" s="84" t="inlineStr">
        <is>
          <t>Schultz et al. 1997: dopamine neurons signal reward prediction error</t>
        </is>
      </c>
    </row>
    <row r="713" ht="35.05" customHeight="1" s="62">
      <c r="A713" s="83" t="n">
        <v>102</v>
      </c>
      <c r="B713" s="84" t="inlineStr">
        <is>
          <t>Why one more never feels like enough (dopamine and checking)</t>
        </is>
      </c>
      <c r="C713" s="83" t="inlineStr">
        <is>
          <t>Scheduled</t>
        </is>
      </c>
      <c r="D713" s="83" t="inlineStr">
        <is>
          <t>You-callout</t>
        </is>
      </c>
      <c r="E713" s="83" t="inlineStr">
        <is>
          <t>I · Setup</t>
        </is>
      </c>
      <c r="F713" s="83" t="inlineStr">
        <is>
          <t>Setup</t>
        </is>
      </c>
      <c r="G713" s="83" t="inlineStr">
        <is>
          <t>3–8s</t>
        </is>
      </c>
      <c r="H713" s="84" t="inlineStr">
        <is>
          <t>It's not that you love scrolling. It's that the next thing might be good.</t>
        </is>
      </c>
      <c r="I713" s="84" t="inlineStr">
        <is>
          <t>MIGHT BE GOOD... →</t>
        </is>
      </c>
      <c r="J713" s="84" t="n"/>
    </row>
    <row r="714" ht="35.05" customHeight="1" s="62">
      <c r="A714" s="83" t="n">
        <v>102</v>
      </c>
      <c r="B714" s="84" t="inlineStr">
        <is>
          <t>Why one more never feels like enough (dopamine and checking)</t>
        </is>
      </c>
      <c r="C714" s="83" t="inlineStr">
        <is>
          <t>Scheduled</t>
        </is>
      </c>
      <c r="D714" s="83" t="inlineStr">
        <is>
          <t>You-callout</t>
        </is>
      </c>
      <c r="E714" s="83" t="inlineStr">
        <is>
          <t>II · Confrontation</t>
        </is>
      </c>
      <c r="F714" s="83" t="inlineStr">
        <is>
          <t>Evidence</t>
        </is>
      </c>
      <c r="G714" s="83" t="inlineStr">
        <is>
          <t>8–15s</t>
        </is>
      </c>
      <c r="H714" s="84" t="inlineStr">
        <is>
          <t>In 1997, Wolfram Schultz's team found dopamine neurons respond most to unexpected rewards.</t>
        </is>
      </c>
      <c r="I714" s="84" t="inlineStr">
        <is>
          <t>SCHULTZ ET AL., 1997</t>
        </is>
      </c>
      <c r="J714" s="84" t="n"/>
    </row>
    <row r="715" ht="35.05" customHeight="1" s="62">
      <c r="A715" s="83" t="n">
        <v>102</v>
      </c>
      <c r="B715" s="84" t="inlineStr">
        <is>
          <t>Why one more never feels like enough (dopamine and checking)</t>
        </is>
      </c>
      <c r="C715" s="83" t="inlineStr">
        <is>
          <t>Scheduled</t>
        </is>
      </c>
      <c r="D715" s="83" t="inlineStr">
        <is>
          <t>You-callout</t>
        </is>
      </c>
      <c r="E715" s="83" t="inlineStr">
        <is>
          <t>II · Confrontation</t>
        </is>
      </c>
      <c r="F715" s="83" t="inlineStr">
        <is>
          <t>Escalation</t>
        </is>
      </c>
      <c r="G715" s="83" t="inlineStr">
        <is>
          <t>15–22s</t>
        </is>
      </c>
      <c r="H715" s="84" t="inlineStr">
        <is>
          <t>Dopamine helps your brain learn what's worth chasing.</t>
        </is>
      </c>
      <c r="I715" s="84" t="inlineStr">
        <is>
          <t>DOPAMINE = LEARNING SIGNAL</t>
        </is>
      </c>
      <c r="J715" s="84" t="n"/>
    </row>
    <row r="716" ht="35.05" customHeight="1" s="62">
      <c r="A716" s="83" t="n">
        <v>102</v>
      </c>
      <c r="B716" s="84" t="inlineStr">
        <is>
          <t>Why one more never feels like enough (dopamine and checking)</t>
        </is>
      </c>
      <c r="C716" s="83" t="inlineStr">
        <is>
          <t>Scheduled</t>
        </is>
      </c>
      <c r="D716" s="83" t="inlineStr">
        <is>
          <t>You-callout</t>
        </is>
      </c>
      <c r="E716" s="83" t="inlineStr">
        <is>
          <t>II · Confrontation</t>
        </is>
      </c>
      <c r="F716" s="83" t="inlineStr">
        <is>
          <t>Turn</t>
        </is>
      </c>
      <c r="G716" s="83" t="inlineStr">
        <is>
          <t>22–26s</t>
        </is>
      </c>
      <c r="H716" s="84" t="inlineStr">
        <is>
          <t>But when rewards are uncertain, there's always a reason to check one more time.</t>
        </is>
      </c>
      <c r="I716" s="84" t="inlineStr">
        <is>
          <t>UNCERTAIN → ONE MORE</t>
        </is>
      </c>
      <c r="J716" s="84" t="n"/>
    </row>
    <row r="717" ht="35.05" customHeight="1" s="62">
      <c r="A717" s="83" t="n">
        <v>102</v>
      </c>
      <c r="B717" s="84" t="inlineStr">
        <is>
          <t>Why one more never feels like enough (dopamine and checking)</t>
        </is>
      </c>
      <c r="C717" s="83" t="inlineStr">
        <is>
          <t>Scheduled</t>
        </is>
      </c>
      <c r="D717" s="83" t="inlineStr">
        <is>
          <t>You-callout</t>
        </is>
      </c>
      <c r="E717" s="83" t="inlineStr">
        <is>
          <t>III · Resolution</t>
        </is>
      </c>
      <c r="F717" s="83" t="inlineStr">
        <is>
          <t>Payoff</t>
        </is>
      </c>
      <c r="G717" s="83" t="inlineStr">
        <is>
          <t>26–32s</t>
        </is>
      </c>
      <c r="H717" s="84" t="inlineStr">
        <is>
          <t>That's why one more never feels like enough.</t>
        </is>
      </c>
      <c r="I717" s="84" t="inlineStr">
        <is>
          <t>ONE MORE NEVER ENOUGH</t>
        </is>
      </c>
      <c r="J717" s="84" t="n"/>
    </row>
    <row r="718" ht="35.05" customHeight="1" s="62">
      <c r="A718" s="86" t="n">
        <v>102</v>
      </c>
      <c r="B718" s="87" t="inlineStr">
        <is>
          <t>Why one more never feels like enough (dopamine and checking)</t>
        </is>
      </c>
      <c r="C718" s="86" t="inlineStr">
        <is>
          <t>Scheduled</t>
        </is>
      </c>
      <c r="D718" s="86" t="inlineStr">
        <is>
          <t>You-callout</t>
        </is>
      </c>
      <c r="E718" s="86" t="inlineStr">
        <is>
          <t>III · Resolution</t>
        </is>
      </c>
      <c r="F718" s="86" t="inlineStr">
        <is>
          <t>Outro</t>
        </is>
      </c>
      <c r="G718" s="86" t="inlineStr">
        <is>
          <t>32–36s</t>
        </is>
      </c>
      <c r="H718" s="87" t="inlineStr">
        <is>
          <t>Pick one stopping cue, a timer or the end of a song, and keep it. Follow for tomorrow's attention fix.</t>
        </is>
      </c>
      <c r="I718" s="87" t="inlineStr">
        <is>
          <t>PICK A STOPPING CUE</t>
        </is>
      </c>
      <c r="J718" s="87" t="n"/>
    </row>
  </sheetData>
  <autoFilter ref="A4:J718"/>
  <mergeCells count="1"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61" min="1" max="1"/>
    <col width="20" customWidth="1" style="61" min="2" max="2"/>
    <col width="60" customWidth="1" style="61" min="3" max="3"/>
    <col width="11" customWidth="1" style="61" min="4" max="4"/>
    <col width="8" customWidth="1" style="61" min="5" max="5"/>
    <col width="26" customWidth="1" style="61" min="6" max="6"/>
    <col width="11" customWidth="1" style="61" min="7" max="7"/>
    <col width="40" customWidth="1" style="61" min="8" max="8"/>
    <col width="10" customWidth="1" style="61" min="9" max="10"/>
    <col width="12" customWidth="1" style="61" min="11" max="12"/>
    <col width="10" customWidth="1" style="61" min="13" max="14"/>
    <col width="40" customWidth="1" style="61" min="15" max="15"/>
  </cols>
  <sheetData>
    <row r="1" ht="17.35" customHeight="1" s="62">
      <c r="A1" s="75" t="inlineStr">
        <is>
          <t>Long-form videos (Ted type 1, 16:9, YouTube) — twice a week</t>
        </is>
      </c>
    </row>
    <row r="2" ht="15" customHeight="1" s="62">
      <c r="A2" s="88" t="inlineStr">
        <is>
          <t>Built by the "Long-form" GitHub workflow (Mon &amp; Thu) for posting Tue &amp; Fri. Status: Idea → Scripted → Scheduled → Published | Vetoed | Failed.</t>
        </is>
      </c>
    </row>
    <row r="4" ht="39.55" customHeight="1" s="62">
      <c r="A4" s="67" t="inlineStr">
        <is>
          <t>No.</t>
        </is>
      </c>
      <c r="B4" s="67" t="inlineStr">
        <is>
          <t>Topic</t>
        </is>
      </c>
      <c r="C4" s="67" t="inlineStr">
        <is>
          <t>Angle / hook</t>
        </is>
      </c>
      <c r="D4" s="67" t="inlineStr">
        <is>
          <t>Status</t>
        </is>
      </c>
      <c r="E4" s="67" t="inlineStr">
        <is>
          <t>Priority</t>
        </is>
      </c>
      <c r="F4" s="67" t="inlineStr">
        <is>
          <t>Slug</t>
        </is>
      </c>
      <c r="G4" s="67" t="inlineStr">
        <is>
          <t>Post date</t>
        </is>
      </c>
      <c r="H4" s="67" t="inlineStr">
        <is>
          <t>Title used</t>
        </is>
      </c>
      <c r="I4" s="67" t="inlineStr">
        <is>
          <t>Length (min)</t>
        </is>
      </c>
      <c r="J4" s="67" t="inlineStr">
        <is>
          <t>YT views d7</t>
        </is>
      </c>
      <c r="K4" s="67" t="inlineStr">
        <is>
          <t>YT avg view (s) d7</t>
        </is>
      </c>
      <c r="L4" s="67" t="inlineStr">
        <is>
          <t>YT retention d7</t>
        </is>
      </c>
      <c r="M4" s="67" t="inlineStr">
        <is>
          <t>YT likes d7</t>
        </is>
      </c>
      <c r="N4" s="67" t="inlineStr">
        <is>
          <t>YT views d30</t>
        </is>
      </c>
      <c r="O4" s="67" t="inlineStr">
        <is>
          <t>Lesson / notes</t>
        </is>
      </c>
    </row>
    <row r="5" ht="15" customHeight="1" s="62">
      <c r="A5" s="89" t="n">
        <v>1</v>
      </c>
      <c r="B5" s="89" t="inlineStr">
        <is>
          <t>Liking &amp; influence</t>
        </is>
      </c>
      <c r="C5" s="89" t="inlineStr">
        <is>
          <t>7 psychology tricks that make people like you (and why they work)</t>
        </is>
      </c>
      <c r="D5" s="89" t="inlineStr">
        <is>
          <t>Scripted</t>
        </is>
      </c>
      <c r="E5" s="89" t="n">
        <v>1</v>
      </c>
      <c r="F5" s="61" t="inlineStr">
        <is>
          <t>seven-tricks-liked</t>
        </is>
      </c>
      <c r="H5" s="61" t="inlineStr">
        <is>
          <t>7 Psychology Tricks That Make People Like You (Backed by Research)</t>
        </is>
      </c>
      <c r="L5" s="90">
        <f>IF(OR(K5="",N(I5)=0),"",K5/(I5*60))</f>
        <v/>
      </c>
    </row>
    <row r="6" ht="15" customHeight="1" s="62">
      <c r="A6" s="89" t="n">
        <v>2</v>
      </c>
      <c r="B6" s="89" t="inlineStr">
        <is>
          <t>Cognitive biases</t>
        </is>
      </c>
      <c r="C6" s="89" t="inlineStr">
        <is>
          <t>8 ways your brain lies to you every day</t>
        </is>
      </c>
      <c r="D6" s="89" t="inlineStr">
        <is>
          <t>Idea</t>
        </is>
      </c>
      <c r="E6" s="89" t="n">
        <v>2</v>
      </c>
      <c r="L6" s="90">
        <f>IF(OR(K6="",N(I6)=0),"",K6/(I6*60))</f>
        <v/>
      </c>
    </row>
    <row r="7" ht="15" customHeight="1" s="62">
      <c r="A7" s="89" t="n">
        <v>3</v>
      </c>
      <c r="B7" s="89" t="inlineStr">
        <is>
          <t>Learning</t>
        </is>
      </c>
      <c r="C7" s="89" t="inlineStr">
        <is>
          <t>How to study smarter: 6 techniques backed by research</t>
        </is>
      </c>
      <c r="D7" s="89" t="inlineStr">
        <is>
          <t>Idea</t>
        </is>
      </c>
      <c r="E7" s="89" t="n">
        <v>3</v>
      </c>
      <c r="L7" s="90">
        <f>IF(OR(K7="",N(I7)=0),"",K7/(I7*60))</f>
        <v/>
      </c>
    </row>
    <row r="8" ht="15" customHeight="1" s="62">
      <c r="A8" s="89" t="n">
        <v>4</v>
      </c>
      <c r="B8" s="89" t="inlineStr">
        <is>
          <t>Habits</t>
        </is>
      </c>
      <c r="C8" s="89" t="inlineStr">
        <is>
          <t>The psychology of habits: why you can't stop (and how to)</t>
        </is>
      </c>
      <c r="D8" s="89" t="inlineStr">
        <is>
          <t>Idea</t>
        </is>
      </c>
      <c r="E8" s="89" t="n">
        <v>4</v>
      </c>
      <c r="L8" s="90">
        <f>IF(OR(K8="",N(I8)=0),"",K8/(I8*60))</f>
        <v/>
      </c>
    </row>
    <row r="9" ht="15" customHeight="1" s="62">
      <c r="A9" s="89" t="n">
        <v>5</v>
      </c>
      <c r="B9" s="89" t="inlineStr">
        <is>
          <t>Social pressure</t>
        </is>
      </c>
      <c r="C9" s="89" t="inlineStr">
        <is>
          <t>Why good people go along with bad things: conformity, obedience and the bystander effect</t>
        </is>
      </c>
      <c r="D9" s="89" t="inlineStr">
        <is>
          <t>Idea</t>
        </is>
      </c>
      <c r="E9" s="89" t="n">
        <v>5</v>
      </c>
      <c r="L9" s="90">
        <f>IF(OR(K9="",N(I9)=0),"",K9/(I9*60))</f>
        <v/>
      </c>
    </row>
    <row r="10" ht="15" customHeight="1" s="62">
      <c r="A10" s="89" t="n">
        <v>6</v>
      </c>
      <c r="B10" s="89" t="inlineStr">
        <is>
          <t>Persuasion defense</t>
        </is>
      </c>
      <c r="C10" s="89" t="inlineStr">
        <is>
          <t>Manipulation tactics people use on you, and how to spot them</t>
        </is>
      </c>
      <c r="D10" s="89" t="inlineStr">
        <is>
          <t>Idea</t>
        </is>
      </c>
      <c r="E10" s="89" t="n">
        <v>6</v>
      </c>
      <c r="L10" s="90">
        <f>IF(OR(K10="",N(I10)=0),"",K10/(I10*60))</f>
        <v/>
      </c>
    </row>
    <row r="11" ht="15" customHeight="1" s="62">
      <c r="A11" s="89" t="n">
        <v>7</v>
      </c>
      <c r="B11" s="89" t="inlineStr">
        <is>
          <t>Memory</t>
        </is>
      </c>
      <c r="C11" s="89" t="inlineStr">
        <is>
          <t>Memory hacks that actually work, according to science</t>
        </is>
      </c>
      <c r="D11" s="89" t="inlineStr">
        <is>
          <t>Idea</t>
        </is>
      </c>
      <c r="E11" s="89" t="n">
        <v>7</v>
      </c>
      <c r="L11" s="90">
        <f>IF(OR(K11="",N(I11)=0),"",K11/(I11*60))</f>
        <v/>
      </c>
    </row>
    <row r="12" ht="15" customHeight="1" s="62">
      <c r="A12" s="89" t="n">
        <v>8</v>
      </c>
      <c r="B12" s="89" t="inlineStr">
        <is>
          <t>Procrastination</t>
        </is>
      </c>
      <c r="C12" s="89" t="inlineStr">
        <is>
          <t>Why you procrastinate (it's not laziness) and what fixes it</t>
        </is>
      </c>
      <c r="D12" s="89" t="inlineStr">
        <is>
          <t>Idea</t>
        </is>
      </c>
      <c r="E12" s="89" t="n">
        <v>8</v>
      </c>
      <c r="L12" s="90">
        <f>IF(OR(K12="",N(I12)=0),"",K12/(I12*60))</f>
        <v/>
      </c>
    </row>
  </sheetData>
  <dataValidations count="1">
    <dataValidation sqref="D5:D200" showDropDown="0" showInputMessage="0" showErrorMessage="0" allowBlank="1" type="list" errorStyle="stop" operator="between">
      <formula1>"Idea,Scripted,Scheduled,Published,Vetoed,Failed"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61" min="1" max="1"/>
    <col width="26" customWidth="1" style="61" min="2" max="2"/>
    <col width="30" customWidth="1" style="61" min="3" max="3"/>
    <col width="58" customWidth="1" style="61" min="4" max="4"/>
    <col width="14" customWidth="1" style="61" min="5" max="5"/>
    <col width="9" customWidth="1" style="61" min="6" max="7"/>
  </cols>
  <sheetData>
    <row r="1" ht="19.7" customHeight="1" s="62">
      <c r="A1" s="63" t="inlineStr">
        <is>
          <t>Visual styles</t>
        </is>
      </c>
    </row>
    <row r="2" ht="15" customHeight="1" s="62">
      <c r="A2" s="88" t="inlineStr">
        <is>
          <t>Each Short is built in one look. Looks adapt palettes, type and conventions of the lemo-opuscar film styles (LemoLab, MIT licence, github.com/lemomo-ai/lemo-opuscar) to the vertical psychology template.</t>
        </is>
      </c>
    </row>
    <row r="4" ht="26.85" customHeight="1" s="62">
      <c r="A4" s="67" t="inlineStr">
        <is>
          <t>Look id</t>
        </is>
      </c>
      <c r="B4" s="67" t="inlineStr">
        <is>
          <t>Name</t>
        </is>
      </c>
      <c r="C4" s="67" t="inlineStr">
        <is>
          <t>Adapted from</t>
        </is>
      </c>
      <c r="D4" s="67" t="inlineStr">
        <is>
          <t>Best for</t>
        </is>
      </c>
      <c r="E4" s="67" t="inlineStr">
        <is>
          <t>Ideas assigned</t>
        </is>
      </c>
      <c r="F4" s="67" t="inlineStr">
        <is>
          <t>Ground</t>
        </is>
      </c>
      <c r="G4" s="67" t="inlineStr">
        <is>
          <t>Accent</t>
        </is>
      </c>
    </row>
    <row r="5" ht="15" customHeight="1" s="62">
      <c r="A5" s="89" t="inlineStr">
        <is>
          <t>pixel-lab</t>
        </is>
      </c>
      <c r="B5" s="89" t="inlineStr">
        <is>
          <t>Pixel Lab (house look)</t>
        </is>
      </c>
      <c r="C5" s="89" t="inlineStr">
        <is>
          <t>— (Motion as Code house style)</t>
        </is>
      </c>
      <c r="D5" s="89" t="inlineStr">
        <is>
          <t>Default; social/being-watched ideas</t>
        </is>
      </c>
      <c r="E5" s="89">
        <f>COUNTIF('Shorts ideas'!$AO$6:$AO$400,A5)</f>
        <v/>
      </c>
      <c r="F5" s="91" t="n"/>
      <c r="G5" s="92" t="n"/>
    </row>
    <row r="6" ht="15" customHeight="1" s="62">
      <c r="A6" s="89" t="inlineStr">
        <is>
          <t>whiteboard</t>
        </is>
      </c>
      <c r="B6" s="89" t="inlineStr">
        <is>
          <t>Whiteboard Explainer</t>
        </is>
      </c>
      <c r="C6" s="89" t="inlineStr">
        <is>
          <t>whiteboard</t>
        </is>
      </c>
      <c r="D6" s="89" t="inlineStr">
        <is>
          <t>Learning, study techniques, step-by-step how-tos</t>
        </is>
      </c>
      <c r="E6" s="89">
        <f>COUNTIF('Shorts ideas'!$AO$6:$AO$400,A6)</f>
        <v/>
      </c>
      <c r="F6" s="93" t="n"/>
      <c r="G6" s="94" t="n"/>
    </row>
    <row r="7" ht="15" customHeight="1" s="62">
      <c r="A7" s="89" t="inlineStr">
        <is>
          <t>data-story</t>
        </is>
      </c>
      <c r="B7" s="89" t="inlineStr">
        <is>
          <t>Data Storytelling</t>
        </is>
      </c>
      <c r="C7" s="89" t="inlineStr">
        <is>
          <t>dataviz</t>
        </is>
      </c>
      <c r="D7" s="89" t="inlineStr">
        <is>
          <t>Ideas whose punch is a number or chart; stats and sampling</t>
        </is>
      </c>
      <c r="E7" s="89">
        <f>COUNTIF('Shorts ideas'!$AO$6:$AO$400,A7)</f>
        <v/>
      </c>
      <c r="F7" s="95" t="n"/>
      <c r="G7" s="96" t="n"/>
    </row>
    <row r="8" ht="15" customHeight="1" s="62">
      <c r="A8" s="89" t="inlineStr">
        <is>
          <t>swiss</t>
        </is>
      </c>
      <c r="B8" s="89" t="inlineStr">
        <is>
          <t>Swiss Motion Graphics</t>
        </is>
      </c>
      <c r="C8" s="89" t="inlineStr">
        <is>
          <t>swiss-motion</t>
        </is>
      </c>
      <c r="D8" s="89" t="inlineStr">
        <is>
          <t>Decisions, wording, prices, crisp single-rule ideas</t>
        </is>
      </c>
      <c r="E8" s="89">
        <f>COUNTIF('Shorts ideas'!$AO$6:$AO$400,A8)</f>
        <v/>
      </c>
      <c r="F8" s="97" t="n"/>
      <c r="G8" s="98" t="n"/>
    </row>
    <row r="9" ht="15" customHeight="1" s="62">
      <c r="A9" s="89" t="inlineStr">
        <is>
          <t>dossier</t>
        </is>
      </c>
      <c r="B9" s="89" t="inlineStr">
        <is>
          <t>Halftone Dossier</t>
        </is>
      </c>
      <c r="C9" s="89" t="inlineStr">
        <is>
          <t>halftone-dossier</t>
        </is>
      </c>
      <c r="D9" s="89" t="inlineStr">
        <is>
          <t>Classic experiments as 'case files', myths on trial</t>
        </is>
      </c>
      <c r="E9" s="89">
        <f>COUNTIF('Shorts ideas'!$AO$6:$AO$400,A9)</f>
        <v/>
      </c>
      <c r="F9" s="99" t="n"/>
      <c r="G9" s="100" t="n"/>
    </row>
    <row r="10" ht="15" customHeight="1" s="62">
      <c r="A10" s="89" t="inlineStr">
        <is>
          <t>riso</t>
        </is>
      </c>
      <c r="B10" s="89" t="inlineStr">
        <is>
          <t>Risograph Print</t>
        </is>
      </c>
      <c r="C10" s="89" t="inlineStr">
        <is>
          <t>risograph</t>
        </is>
      </c>
      <c r="D10" s="89" t="inlineStr">
        <is>
          <t>Light, warm, everyday social ideas</t>
        </is>
      </c>
      <c r="E10" s="89">
        <f>COUNTIF('Shorts ideas'!$AO$6:$AO$400,A10)</f>
        <v/>
      </c>
      <c r="F10" s="101" t="n"/>
      <c r="G10" s="102" t="n"/>
    </row>
    <row r="11" ht="15" customHeight="1" s="62">
      <c r="A11" s="89" t="inlineStr">
        <is>
          <t>blueprint</t>
        </is>
      </c>
      <c r="B11" s="89" t="inlineStr">
        <is>
          <t>Blueprint</t>
        </is>
      </c>
      <c r="C11" s="89" t="inlineStr">
        <is>
          <t>blueprint</t>
        </is>
      </c>
      <c r="D11" s="89" t="inlineStr">
        <is>
          <t>Systems and mechanisms: habits, friction, how the brain is 'built'</t>
        </is>
      </c>
      <c r="E11" s="89">
        <f>COUNTIF('Shorts ideas'!$AO$6:$AO$400,A11)</f>
        <v/>
      </c>
      <c r="F11" s="103" t="n"/>
      <c r="G11" s="104" t="n"/>
    </row>
    <row r="12" ht="15" customHeight="1" s="62">
      <c r="A12" s="89" t="inlineStr">
        <is>
          <t>terminal</t>
        </is>
      </c>
      <c r="B12" s="89" t="inlineStr">
        <is>
          <t>ASCII / CRT Terminal</t>
        </is>
      </c>
      <c r="C12" s="89" t="inlineStr">
        <is>
          <t>ascii-crt</t>
        </is>
      </c>
      <c r="D12" s="89" t="inlineStr">
        <is>
          <t>Screens, feeds, notifications, attention online</t>
        </is>
      </c>
      <c r="E12" s="89">
        <f>COUNTIF('Shorts ideas'!$AO$6:$AO$400,A12)</f>
        <v/>
      </c>
      <c r="F12" s="105" t="n"/>
      <c r="G12" s="106" t="n"/>
    </row>
    <row r="13" ht="15" customHeight="1" s="62">
      <c r="A13" s="89" t="inlineStr">
        <is>
          <t>keynote</t>
        </is>
      </c>
      <c r="B13" s="89" t="inlineStr">
        <is>
          <t>Dark Tech Keynote</t>
        </is>
      </c>
      <c r="C13" s="89" t="inlineStr">
        <is>
          <t>dark-keynote</t>
        </is>
      </c>
      <c r="D13" s="89" t="inlineStr">
        <is>
          <t>Tech/consumer psychology, product and choice design</t>
        </is>
      </c>
      <c r="E13" s="89">
        <f>COUNTIF('Shorts ideas'!$AO$6:$AO$400,A13)</f>
        <v/>
      </c>
      <c r="F13" s="107" t="n"/>
      <c r="G13" s="108" t="n"/>
    </row>
    <row r="14" ht="15" customHeight="1" s="62">
      <c r="A14" s="89" t="inlineStr">
        <is>
          <t>game-show</t>
        </is>
      </c>
      <c r="B14" s="89" t="inlineStr">
        <is>
          <t>Game Show Flat</t>
        </is>
      </c>
      <c r="C14" s="89" t="inlineStr">
        <is>
          <t>game-show</t>
        </is>
      </c>
      <c r="D14" s="89" t="inlineStr">
        <is>
          <t>Quizzes, rewards, competitions, playful demos</t>
        </is>
      </c>
      <c r="E14" s="89">
        <f>COUNTIF('Shorts ideas'!$AO$6:$AO$400,A14)</f>
        <v/>
      </c>
      <c r="F14" s="109" t="n"/>
      <c r="G14" s="110" t="n"/>
    </row>
    <row r="15" ht="15" customHeight="1" s="62">
      <c r="A15" s="89" t="inlineStr">
        <is>
          <t>cartoon-50s</t>
        </is>
      </c>
      <c r="B15" s="89" t="inlineStr">
        <is>
          <t>Mid-century Cartoon</t>
        </is>
      </c>
      <c r="C15" s="89" t="inlineStr">
        <is>
          <t>midcentury-toon</t>
        </is>
      </c>
      <c r="D15" s="89" t="inlineStr">
        <is>
          <t>Practical 'how to' tips, everyday routines</t>
        </is>
      </c>
      <c r="E15" s="89">
        <f>COUNTIF('Shorts ideas'!$AO$6:$AO$400,A15)</f>
        <v/>
      </c>
      <c r="F15" s="111" t="n"/>
      <c r="G15" s="112" t="n"/>
    </row>
    <row r="16" ht="15" customHeight="1" s="62">
      <c r="A16" s="89" t="inlineStr">
        <is>
          <t>spy-noir</t>
        </is>
      </c>
      <c r="B16" s="89" t="inlineStr">
        <is>
          <t>60s Spy Titles</t>
        </is>
      </c>
      <c r="C16" s="89" t="inlineStr">
        <is>
          <t>spy-titles</t>
        </is>
      </c>
      <c r="D16" s="89" t="inlineStr">
        <is>
          <t>Hidden thoughts, secrets, things people miss or conceal</t>
        </is>
      </c>
      <c r="E16" s="89">
        <f>COUNTIF('Shorts ideas'!$AO$6:$AO$400,A16)</f>
        <v/>
      </c>
      <c r="F16" s="113" t="n"/>
      <c r="G16" s="114" t="n"/>
    </row>
    <row r="17" ht="15" customHeight="1" s="62">
      <c r="A17" s="89" t="inlineStr">
        <is>
          <t>crayon</t>
        </is>
      </c>
      <c r="B17" s="89" t="inlineStr">
        <is>
          <t>Crayon Picture Book</t>
        </is>
      </c>
      <c r="C17" s="89" t="inlineStr">
        <is>
          <t>crayon-book</t>
        </is>
      </c>
      <c r="D17" s="89" t="inlineStr">
        <is>
          <t>Gentle emotional topics, self-kindness</t>
        </is>
      </c>
      <c r="E17" s="89">
        <f>COUNTIF('Shorts ideas'!$AO$6:$AO$400,A17)</f>
        <v/>
      </c>
      <c r="F17" s="115" t="n"/>
      <c r="G17" s="116" t="n"/>
    </row>
    <row r="18" ht="15" customHeight="1" s="62">
      <c r="A18" s="89" t="inlineStr">
        <is>
          <t>pixel-quest</t>
        </is>
      </c>
      <c r="B18" s="89" t="inlineStr">
        <is>
          <t>16-bit Pixel RPG</t>
        </is>
      </c>
      <c r="C18" s="89" t="inlineStr">
        <is>
          <t>pixel-rpg</t>
        </is>
      </c>
      <c r="D18" s="89" t="inlineStr">
        <is>
          <t>Progress, levelling up, motivation, practice</t>
        </is>
      </c>
      <c r="E18" s="89">
        <f>COUNTIF('Shorts ideas'!$AO$6:$AO$400,A18)</f>
        <v/>
      </c>
      <c r="F18" s="117" t="n"/>
      <c r="G18" s="118" t="n"/>
    </row>
    <row r="19" ht="15" customHeight="1" s="62">
      <c r="A19" s="89" t="inlineStr">
        <is>
          <t>one-line</t>
        </is>
      </c>
      <c r="B19" s="89" t="inlineStr">
        <is>
          <t>One-line Drawing</t>
        </is>
      </c>
      <c r="C19" s="89" t="inlineStr">
        <is>
          <t>one-line</t>
        </is>
      </c>
      <c r="D19" s="89" t="inlineStr">
        <is>
          <t>Introspective identity, memory and self-image ideas</t>
        </is>
      </c>
      <c r="E19" s="89">
        <f>COUNTIF('Shorts ideas'!$AO$6:$AO$400,A19)</f>
        <v/>
      </c>
      <c r="F19" s="119" t="n"/>
      <c r="G19" s="120" t="n"/>
    </row>
    <row r="20" ht="15" customHeight="1" s="62">
      <c r="A20" s="89" t="inlineStr">
        <is>
          <t>ted1</t>
        </is>
      </c>
      <c r="B20" s="89" t="inlineStr">
        <is>
          <t>Ted type 1 (card montage)</t>
        </is>
      </c>
      <c r="C20" s="89" t="inlineStr">
        <is>
          <t>@mindunderglass-style tips channel</t>
        </is>
      </c>
      <c r="D20" s="89" t="inlineStr">
        <is>
          <t>Faceless tip lists: Lottie illustration per line, deep male narrator</t>
        </is>
      </c>
      <c r="E20" s="89">
        <f>COUNTIF('Shorts ideas'!$AO$6:$AO$400,A20)</f>
        <v/>
      </c>
      <c r="F20" s="119" t="n"/>
      <c r="G20" s="120" t="n"/>
    </row>
    <row r="21" ht="15" customHeight="1" s="62">
      <c r="A21" s="89" t="inlineStr">
        <is>
          <t>ted2</t>
        </is>
      </c>
      <c r="B21" s="89" t="inlineStr">
        <is>
          <t>Ted type 2 (Claude Design style)</t>
        </is>
      </c>
      <c r="C21" s="89" t="inlineStr">
        <is>
          <t>Shivam's Claude Design 'Rename Your Nerves Short'</t>
        </is>
      </c>
      <c r="D21" s="89" t="inlineStr">
        <is>
          <t>Faceless tips: drawn SVG scene per line, kinetic emphasis captions, deep narrator</t>
        </is>
      </c>
      <c r="E21" s="89">
        <f>COUNTIF('Shorts ideas'!$AO$6:$AO$400,A21)</f>
        <v/>
      </c>
      <c r="F21" s="119" t="n"/>
      <c r="G21" s="12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61" min="1" max="1"/>
    <col width="11" customWidth="1" style="61" min="2" max="2"/>
    <col width="13" customWidth="1" style="61" min="3" max="3"/>
    <col width="15" customWidth="1" style="61" min="4" max="4"/>
    <col width="17" customWidth="1" style="61" min="5" max="5"/>
    <col width="13" customWidth="1" style="61" min="6" max="6"/>
  </cols>
  <sheetData>
    <row r="1" ht="19.7" customHeight="1" s="62">
      <c r="A1" s="63" t="inlineStr">
        <is>
          <t>What's working</t>
        </is>
      </c>
    </row>
    <row r="2" ht="15" customHeight="1" s="62">
      <c r="A2" s="88" t="inlineStr">
        <is>
          <t>Averages over published Shorts with day-7 numbers. Updates as the pipeline fills the tracker.</t>
        </is>
      </c>
    </row>
    <row r="4" ht="26.85" customHeight="1" s="62">
      <c r="A4" s="67" t="inlineStr">
        <is>
          <t>Theme</t>
        </is>
      </c>
      <c r="B4" s="67" t="inlineStr">
        <is>
          <t>Published</t>
        </is>
      </c>
      <c r="C4" s="67" t="inlineStr">
        <is>
          <t>Avg views d7</t>
        </is>
      </c>
      <c r="D4" s="67" t="inlineStr">
        <is>
          <t>Avg retention d7</t>
        </is>
      </c>
      <c r="E4" s="67" t="inlineStr">
        <is>
          <t>Avg engagement d7</t>
        </is>
      </c>
      <c r="F4" s="67" t="inlineStr">
        <is>
          <t>Avg views d30</t>
        </is>
      </c>
    </row>
    <row r="5" ht="15" customHeight="1" s="62">
      <c r="A5" s="89" t="inlineStr">
        <is>
          <t>Cognitive biases</t>
        </is>
      </c>
      <c r="B5" s="89">
        <f>COUNTIFS('Shorts ideas'!$B$6:$B$400,$A5,'Shorts ideas'!$H$6:$H$400,"Published")</f>
        <v/>
      </c>
      <c r="C5" s="121">
        <f>IFERROR(AVERAGEIFS('Shorts ideas'!$AC$6:$AC$400,'Shorts ideas'!$B$6:$B$400,$A5,'Shorts ideas'!$AC$6:$AC$400,"&gt;0"),"")</f>
        <v/>
      </c>
      <c r="D5" s="122">
        <f>IFERROR(AVERAGEIFS('Shorts ideas'!$U$6:$U$400,'Shorts ideas'!$B$6:$B$400,$A5,'Shorts ideas'!$U$6:$U$400,"&gt;0"),"")</f>
        <v/>
      </c>
      <c r="E5" s="122">
        <f>IFERROR(AVERAGEIFS('Shorts ideas'!$AD$6:$AD$400,'Shorts ideas'!$B$6:$B$400,$A5,'Shorts ideas'!$AD$6:$AD$400,"&gt;0"),"")</f>
        <v/>
      </c>
      <c r="F5" s="121">
        <f>IFERROR(AVERAGEIFS('Shorts ideas'!$AL$6:$AL$400,'Shorts ideas'!$B$6:$B$400,$A5,'Shorts ideas'!$AL$6:$AL$400,"&gt;0"),"")</f>
        <v/>
      </c>
    </row>
    <row r="6" ht="15" customHeight="1" s="62">
      <c r="A6" s="89" t="inlineStr">
        <is>
          <t>Memory and learning</t>
        </is>
      </c>
      <c r="B6" s="89">
        <f>COUNTIFS('Shorts ideas'!$B$6:$B$400,$A6,'Shorts ideas'!$H$6:$H$400,"Published")</f>
        <v/>
      </c>
      <c r="C6" s="121">
        <f>IFERROR(AVERAGEIFS('Shorts ideas'!$AC$6:$AC$400,'Shorts ideas'!$B$6:$B$400,$A6,'Shorts ideas'!$AC$6:$AC$400,"&gt;0"),"")</f>
        <v/>
      </c>
      <c r="D6" s="122">
        <f>IFERROR(AVERAGEIFS('Shorts ideas'!$U$6:$U$400,'Shorts ideas'!$B$6:$B$400,$A6,'Shorts ideas'!$U$6:$U$400,"&gt;0"),"")</f>
        <v/>
      </c>
      <c r="E6" s="122">
        <f>IFERROR(AVERAGEIFS('Shorts ideas'!$AD$6:$AD$400,'Shorts ideas'!$B$6:$B$400,$A6,'Shorts ideas'!$AD$6:$AD$400,"&gt;0"),"")</f>
        <v/>
      </c>
      <c r="F6" s="121">
        <f>IFERROR(AVERAGEIFS('Shorts ideas'!$AL$6:$AL$400,'Shorts ideas'!$B$6:$B$400,$A6,'Shorts ideas'!$AL$6:$AL$400,"&gt;0"),"")</f>
        <v/>
      </c>
    </row>
    <row r="7" ht="15" customHeight="1" s="62">
      <c r="A7" s="89" t="inlineStr">
        <is>
          <t>Attention and perception</t>
        </is>
      </c>
      <c r="B7" s="89">
        <f>COUNTIFS('Shorts ideas'!$B$6:$B$400,$A7,'Shorts ideas'!$H$6:$H$400,"Published")</f>
        <v/>
      </c>
      <c r="C7" s="121">
        <f>IFERROR(AVERAGEIFS('Shorts ideas'!$AC$6:$AC$400,'Shorts ideas'!$B$6:$B$400,$A7,'Shorts ideas'!$AC$6:$AC$400,"&gt;0"),"")</f>
        <v/>
      </c>
      <c r="D7" s="122">
        <f>IFERROR(AVERAGEIFS('Shorts ideas'!$U$6:$U$400,'Shorts ideas'!$B$6:$B$400,$A7,'Shorts ideas'!$U$6:$U$400,"&gt;0"),"")</f>
        <v/>
      </c>
      <c r="E7" s="122">
        <f>IFERROR(AVERAGEIFS('Shorts ideas'!$AD$6:$AD$400,'Shorts ideas'!$B$6:$B$400,$A7,'Shorts ideas'!$AD$6:$AD$400,"&gt;0"),"")</f>
        <v/>
      </c>
      <c r="F7" s="121">
        <f>IFERROR(AVERAGEIFS('Shorts ideas'!$AL$6:$AL$400,'Shorts ideas'!$B$6:$B$400,$A7,'Shorts ideas'!$AL$6:$AL$400,"&gt;0"),"")</f>
        <v/>
      </c>
    </row>
    <row r="8" ht="15" customHeight="1" s="62">
      <c r="A8" s="89" t="inlineStr">
        <is>
          <t>Habits and motivation</t>
        </is>
      </c>
      <c r="B8" s="89">
        <f>COUNTIFS('Shorts ideas'!$B$6:$B$400,$A8,'Shorts ideas'!$H$6:$H$400,"Published")</f>
        <v/>
      </c>
      <c r="C8" s="121">
        <f>IFERROR(AVERAGEIFS('Shorts ideas'!$AC$6:$AC$400,'Shorts ideas'!$B$6:$B$400,$A8,'Shorts ideas'!$AC$6:$AC$400,"&gt;0"),"")</f>
        <v/>
      </c>
      <c r="D8" s="122">
        <f>IFERROR(AVERAGEIFS('Shorts ideas'!$U$6:$U$400,'Shorts ideas'!$B$6:$B$400,$A8,'Shorts ideas'!$U$6:$U$400,"&gt;0"),"")</f>
        <v/>
      </c>
      <c r="E8" s="122">
        <f>IFERROR(AVERAGEIFS('Shorts ideas'!$AD$6:$AD$400,'Shorts ideas'!$B$6:$B$400,$A8,'Shorts ideas'!$AD$6:$AD$400,"&gt;0"),"")</f>
        <v/>
      </c>
      <c r="F8" s="121">
        <f>IFERROR(AVERAGEIFS('Shorts ideas'!$AL$6:$AL$400,'Shorts ideas'!$B$6:$B$400,$A8,'Shorts ideas'!$AL$6:$AL$400,"&gt;0"),"")</f>
        <v/>
      </c>
    </row>
    <row r="9" ht="15" customHeight="1" s="62">
      <c r="A9" s="89" t="inlineStr">
        <is>
          <t>Emotions and self-awareness</t>
        </is>
      </c>
      <c r="B9" s="89">
        <f>COUNTIFS('Shorts ideas'!$B$6:$B$400,$A9,'Shorts ideas'!$H$6:$H$400,"Published")</f>
        <v/>
      </c>
      <c r="C9" s="121">
        <f>IFERROR(AVERAGEIFS('Shorts ideas'!$AC$6:$AC$400,'Shorts ideas'!$B$6:$B$400,$A9,'Shorts ideas'!$AC$6:$AC$400,"&gt;0"),"")</f>
        <v/>
      </c>
      <c r="D9" s="122">
        <f>IFERROR(AVERAGEIFS('Shorts ideas'!$U$6:$U$400,'Shorts ideas'!$B$6:$B$400,$A9,'Shorts ideas'!$U$6:$U$400,"&gt;0"),"")</f>
        <v/>
      </c>
      <c r="E9" s="122">
        <f>IFERROR(AVERAGEIFS('Shorts ideas'!$AD$6:$AD$400,'Shorts ideas'!$B$6:$B$400,$A9,'Shorts ideas'!$AD$6:$AD$400,"&gt;0"),"")</f>
        <v/>
      </c>
      <c r="F9" s="121">
        <f>IFERROR(AVERAGEIFS('Shorts ideas'!$AL$6:$AL$400,'Shorts ideas'!$B$6:$B$400,$A9,'Shorts ideas'!$AL$6:$AL$400,"&gt;0"),"")</f>
        <v/>
      </c>
    </row>
    <row r="10" ht="15" customHeight="1" s="62">
      <c r="A10" s="89" t="inlineStr">
        <is>
          <t>Relationships and communication</t>
        </is>
      </c>
      <c r="B10" s="89">
        <f>COUNTIFS('Shorts ideas'!$B$6:$B$400,$A10,'Shorts ideas'!$H$6:$H$400,"Published")</f>
        <v/>
      </c>
      <c r="C10" s="121">
        <f>IFERROR(AVERAGEIFS('Shorts ideas'!$AC$6:$AC$400,'Shorts ideas'!$B$6:$B$400,$A10,'Shorts ideas'!$AC$6:$AC$400,"&gt;0"),"")</f>
        <v/>
      </c>
      <c r="D10" s="122">
        <f>IFERROR(AVERAGEIFS('Shorts ideas'!$U$6:$U$400,'Shorts ideas'!$B$6:$B$400,$A10,'Shorts ideas'!$U$6:$U$400,"&gt;0"),"")</f>
        <v/>
      </c>
      <c r="E10" s="122">
        <f>IFERROR(AVERAGEIFS('Shorts ideas'!$AD$6:$AD$400,'Shorts ideas'!$B$6:$B$400,$A10,'Shorts ideas'!$AD$6:$AD$400,"&gt;0"),"")</f>
        <v/>
      </c>
      <c r="F10" s="121">
        <f>IFERROR(AVERAGEIFS('Shorts ideas'!$AL$6:$AL$400,'Shorts ideas'!$B$6:$B$400,$A10,'Shorts ideas'!$AL$6:$AL$400,"&gt;0"),"")</f>
        <v/>
      </c>
    </row>
    <row r="11" ht="15" customHeight="1" s="62">
      <c r="A11" s="89" t="inlineStr">
        <is>
          <t>Social psychology</t>
        </is>
      </c>
      <c r="B11" s="89">
        <f>COUNTIFS('Shorts ideas'!$B$6:$B$400,$A11,'Shorts ideas'!$H$6:$H$400,"Published")</f>
        <v/>
      </c>
      <c r="C11" s="121">
        <f>IFERROR(AVERAGEIFS('Shorts ideas'!$AC$6:$AC$400,'Shorts ideas'!$B$6:$B$400,$A11,'Shorts ideas'!$AC$6:$AC$400,"&gt;0"),"")</f>
        <v/>
      </c>
      <c r="D11" s="122">
        <f>IFERROR(AVERAGEIFS('Shorts ideas'!$U$6:$U$400,'Shorts ideas'!$B$6:$B$400,$A11,'Shorts ideas'!$U$6:$U$400,"&gt;0"),"")</f>
        <v/>
      </c>
      <c r="E11" s="122">
        <f>IFERROR(AVERAGEIFS('Shorts ideas'!$AD$6:$AD$400,'Shorts ideas'!$B$6:$B$400,$A11,'Shorts ideas'!$AD$6:$AD$400,"&gt;0"),"")</f>
        <v/>
      </c>
      <c r="F11" s="121">
        <f>IFERROR(AVERAGEIFS('Shorts ideas'!$AL$6:$AL$400,'Shorts ideas'!$B$6:$B$400,$A11,'Shorts ideas'!$AL$6:$AL$400,"&gt;0"),"")</f>
        <v/>
      </c>
    </row>
    <row r="12" ht="15" customHeight="1" s="62">
      <c r="A12" s="89" t="inlineStr">
        <is>
          <t>Self-image and confidence</t>
        </is>
      </c>
      <c r="B12" s="89">
        <f>COUNTIFS('Shorts ideas'!$B$6:$B$400,$A12,'Shorts ideas'!$H$6:$H$400,"Published")</f>
        <v/>
      </c>
      <c r="C12" s="121">
        <f>IFERROR(AVERAGEIFS('Shorts ideas'!$AC$6:$AC$400,'Shorts ideas'!$B$6:$B$400,$A12,'Shorts ideas'!$AC$6:$AC$400,"&gt;0"),"")</f>
        <v/>
      </c>
      <c r="D12" s="122">
        <f>IFERROR(AVERAGEIFS('Shorts ideas'!$U$6:$U$400,'Shorts ideas'!$B$6:$B$400,$A12,'Shorts ideas'!$U$6:$U$400,"&gt;0"),"")</f>
        <v/>
      </c>
      <c r="E12" s="122">
        <f>IFERROR(AVERAGEIFS('Shorts ideas'!$AD$6:$AD$400,'Shorts ideas'!$B$6:$B$400,$A12,'Shorts ideas'!$AD$6:$AD$400,"&gt;0"),"")</f>
        <v/>
      </c>
      <c r="F12" s="121">
        <f>IFERROR(AVERAGEIFS('Shorts ideas'!$AL$6:$AL$400,'Shorts ideas'!$B$6:$B$400,$A12,'Shorts ideas'!$AL$6:$AL$400,"&gt;0"),"")</f>
        <v/>
      </c>
    </row>
    <row r="13" ht="15" customHeight="1" s="62">
      <c r="A13" s="89" t="inlineStr">
        <is>
          <t>Digital life and consumer behavior</t>
        </is>
      </c>
      <c r="B13" s="89">
        <f>COUNTIFS('Shorts ideas'!$B$6:$B$400,$A13,'Shorts ideas'!$H$6:$H$400,"Published")</f>
        <v/>
      </c>
      <c r="C13" s="121">
        <f>IFERROR(AVERAGEIFS('Shorts ideas'!$AC$6:$AC$400,'Shorts ideas'!$B$6:$B$400,$A13,'Shorts ideas'!$AC$6:$AC$400,"&gt;0"),"")</f>
        <v/>
      </c>
      <c r="D13" s="122">
        <f>IFERROR(AVERAGEIFS('Shorts ideas'!$U$6:$U$400,'Shorts ideas'!$B$6:$B$400,$A13,'Shorts ideas'!$U$6:$U$400,"&gt;0"),"")</f>
        <v/>
      </c>
      <c r="E13" s="122">
        <f>IFERROR(AVERAGEIFS('Shorts ideas'!$AD$6:$AD$400,'Shorts ideas'!$B$6:$B$400,$A13,'Shorts ideas'!$AD$6:$AD$400,"&gt;0"),"")</f>
        <v/>
      </c>
      <c r="F13" s="121">
        <f>IFERROR(AVERAGEIFS('Shorts ideas'!$AL$6:$AL$400,'Shorts ideas'!$B$6:$B$400,$A13,'Shorts ideas'!$AL$6:$AL$400,"&gt;0"),"")</f>
        <v/>
      </c>
    </row>
    <row r="14" ht="15" customHeight="1" s="62">
      <c r="A14" s="89" t="inlineStr">
        <is>
          <t>Psychology myths and interactive demos</t>
        </is>
      </c>
      <c r="B14" s="89">
        <f>COUNTIFS('Shorts ideas'!$B$6:$B$400,$A14,'Shorts ideas'!$H$6:$H$400,"Published")</f>
        <v/>
      </c>
      <c r="C14" s="121">
        <f>IFERROR(AVERAGEIFS('Shorts ideas'!$AC$6:$AC$400,'Shorts ideas'!$B$6:$B$400,$A14,'Shorts ideas'!$AC$6:$AC$400,"&gt;0"),"")</f>
        <v/>
      </c>
      <c r="D14" s="122">
        <f>IFERROR(AVERAGEIFS('Shorts ideas'!$U$6:$U$400,'Shorts ideas'!$B$6:$B$400,$A14,'Shorts ideas'!$U$6:$U$400,"&gt;0"),"")</f>
        <v/>
      </c>
      <c r="E14" s="122">
        <f>IFERROR(AVERAGEIFS('Shorts ideas'!$AD$6:$AD$400,'Shorts ideas'!$B$6:$B$400,$A14,'Shorts ideas'!$AD$6:$AD$400,"&gt;0"),"")</f>
        <v/>
      </c>
      <c r="F14" s="121">
        <f>IFERROR(AVERAGEIFS('Shorts ideas'!$AL$6:$AL$400,'Shorts ideas'!$B$6:$B$400,$A14,'Shorts ideas'!$AL$6:$AL$400,"&gt;0"),"")</f>
        <v/>
      </c>
    </row>
    <row r="16" ht="26.85" customHeight="1" s="62">
      <c r="A16" s="67" t="inlineStr">
        <is>
          <t>Hook style</t>
        </is>
      </c>
      <c r="B16" s="67" t="inlineStr">
        <is>
          <t>Published</t>
        </is>
      </c>
      <c r="C16" s="67" t="inlineStr">
        <is>
          <t>Avg views d7</t>
        </is>
      </c>
      <c r="D16" s="67" t="inlineStr">
        <is>
          <t>Avg retention d7</t>
        </is>
      </c>
      <c r="E16" s="67" t="inlineStr">
        <is>
          <t>Avg engagement d7</t>
        </is>
      </c>
      <c r="F16" s="67" t="inlineStr">
        <is>
          <t>Avg views d30</t>
        </is>
      </c>
    </row>
    <row r="17" ht="15" customHeight="1" s="62">
      <c r="A17" s="89" t="inlineStr">
        <is>
          <t>eyes</t>
        </is>
      </c>
      <c r="B17" s="89">
        <f>COUNTIFS('Shorts ideas'!$N$6:$N$400,$A17,'Shorts ideas'!$H$6:$H$400,"Published")</f>
        <v/>
      </c>
      <c r="C17" s="121">
        <f>IFERROR(AVERAGEIFS('Shorts ideas'!$AC$6:$AC$400,'Shorts ideas'!$N$6:$N$400,$A17,'Shorts ideas'!$AC$6:$AC$400,"&gt;0"),"")</f>
        <v/>
      </c>
      <c r="D17" s="122">
        <f>IFERROR(AVERAGEIFS('Shorts ideas'!$U$6:$U$400,'Shorts ideas'!$N$6:$N$400,$A17,'Shorts ideas'!$U$6:$U$400,"&gt;0"),"")</f>
        <v/>
      </c>
      <c r="E17" s="122">
        <f>IFERROR(AVERAGEIFS('Shorts ideas'!$AD$6:$AD$400,'Shorts ideas'!$N$6:$N$400,$A17,'Shorts ideas'!$AD$6:$AD$400,"&gt;0"),"")</f>
        <v/>
      </c>
      <c r="F17" s="121">
        <f>IFERROR(AVERAGEIFS('Shorts ideas'!$AL$6:$AL$400,'Shorts ideas'!$N$6:$N$400,$A17,'Shorts ideas'!$AL$6:$AL$400,"&gt;0"),"")</f>
        <v/>
      </c>
    </row>
    <row r="18" ht="15" customHeight="1" s="62">
      <c r="A18" s="89" t="inlineStr">
        <is>
          <t>thoughts</t>
        </is>
      </c>
      <c r="B18" s="89">
        <f>COUNTIFS('Shorts ideas'!$N$6:$N$400,$A18,'Shorts ideas'!$H$6:$H$400,"Published")</f>
        <v/>
      </c>
      <c r="C18" s="121">
        <f>IFERROR(AVERAGEIFS('Shorts ideas'!$AC$6:$AC$400,'Shorts ideas'!$N$6:$N$400,$A18,'Shorts ideas'!$AC$6:$AC$400,"&gt;0"),"")</f>
        <v/>
      </c>
      <c r="D18" s="122">
        <f>IFERROR(AVERAGEIFS('Shorts ideas'!$U$6:$U$400,'Shorts ideas'!$N$6:$N$400,$A18,'Shorts ideas'!$U$6:$U$400,"&gt;0"),"")</f>
        <v/>
      </c>
      <c r="E18" s="122">
        <f>IFERROR(AVERAGEIFS('Shorts ideas'!$AD$6:$AD$400,'Shorts ideas'!$N$6:$N$400,$A18,'Shorts ideas'!$AD$6:$AD$400,"&gt;0"),"")</f>
        <v/>
      </c>
      <c r="F18" s="121">
        <f>IFERROR(AVERAGEIFS('Shorts ideas'!$AL$6:$AL$400,'Shorts ideas'!$N$6:$N$400,$A18,'Shorts ideas'!$AL$6:$AL$400,"&gt;0"),"")</f>
        <v/>
      </c>
    </row>
    <row r="20" ht="26.85" customHeight="1" s="62">
      <c r="A20" s="67" t="inlineStr">
        <is>
          <t>Weekday</t>
        </is>
      </c>
      <c r="B20" s="67" t="inlineStr">
        <is>
          <t>Published</t>
        </is>
      </c>
      <c r="C20" s="67" t="inlineStr">
        <is>
          <t>Avg views d7</t>
        </is>
      </c>
      <c r="D20" s="67" t="inlineStr">
        <is>
          <t>Avg retention d7</t>
        </is>
      </c>
      <c r="E20" s="67" t="inlineStr">
        <is>
          <t>Avg engagement d7</t>
        </is>
      </c>
      <c r="F20" s="67" t="inlineStr">
        <is>
          <t>Avg views d30</t>
        </is>
      </c>
    </row>
    <row r="21" ht="15" customHeight="1" s="62">
      <c r="A21" s="89" t="inlineStr">
        <is>
          <t>Mon</t>
        </is>
      </c>
      <c r="B21" s="89">
        <f>COUNTIFS('Shorts ideas'!$M$6:$M$400,$A21,'Shorts ideas'!$H$6:$H$400,"Published")</f>
        <v/>
      </c>
      <c r="C21" s="121">
        <f>IFERROR(AVERAGEIFS('Shorts ideas'!$AC$6:$AC$400,'Shorts ideas'!$M$6:$M$400,$A21,'Shorts ideas'!$AC$6:$AC$400,"&gt;0"),"")</f>
        <v/>
      </c>
      <c r="D21" s="122">
        <f>IFERROR(AVERAGEIFS('Shorts ideas'!$U$6:$U$400,'Shorts ideas'!$M$6:$M$400,$A21,'Shorts ideas'!$U$6:$U$400,"&gt;0"),"")</f>
        <v/>
      </c>
      <c r="E21" s="122">
        <f>IFERROR(AVERAGEIFS('Shorts ideas'!$AD$6:$AD$400,'Shorts ideas'!$M$6:$M$400,$A21,'Shorts ideas'!$AD$6:$AD$400,"&gt;0"),"")</f>
        <v/>
      </c>
      <c r="F21" s="121">
        <f>IFERROR(AVERAGEIFS('Shorts ideas'!$AL$6:$AL$400,'Shorts ideas'!$M$6:$M$400,$A21,'Shorts ideas'!$AL$6:$AL$400,"&gt;0"),"")</f>
        <v/>
      </c>
    </row>
    <row r="22" ht="15" customHeight="1" s="62">
      <c r="A22" s="89" t="inlineStr">
        <is>
          <t>Tue</t>
        </is>
      </c>
      <c r="B22" s="89">
        <f>COUNTIFS('Shorts ideas'!$M$6:$M$400,$A22,'Shorts ideas'!$H$6:$H$400,"Published")</f>
        <v/>
      </c>
      <c r="C22" s="121">
        <f>IFERROR(AVERAGEIFS('Shorts ideas'!$AC$6:$AC$400,'Shorts ideas'!$M$6:$M$400,$A22,'Shorts ideas'!$AC$6:$AC$400,"&gt;0"),"")</f>
        <v/>
      </c>
      <c r="D22" s="122">
        <f>IFERROR(AVERAGEIFS('Shorts ideas'!$U$6:$U$400,'Shorts ideas'!$M$6:$M$400,$A22,'Shorts ideas'!$U$6:$U$400,"&gt;0"),"")</f>
        <v/>
      </c>
      <c r="E22" s="122">
        <f>IFERROR(AVERAGEIFS('Shorts ideas'!$AD$6:$AD$400,'Shorts ideas'!$M$6:$M$400,$A22,'Shorts ideas'!$AD$6:$AD$400,"&gt;0"),"")</f>
        <v/>
      </c>
      <c r="F22" s="121">
        <f>IFERROR(AVERAGEIFS('Shorts ideas'!$AL$6:$AL$400,'Shorts ideas'!$M$6:$M$400,$A22,'Shorts ideas'!$AL$6:$AL$400,"&gt;0"),"")</f>
        <v/>
      </c>
    </row>
    <row r="23" ht="15" customHeight="1" s="62">
      <c r="A23" s="89" t="inlineStr">
        <is>
          <t>Wed</t>
        </is>
      </c>
      <c r="B23" s="89">
        <f>COUNTIFS('Shorts ideas'!$M$6:$M$400,$A23,'Shorts ideas'!$H$6:$H$400,"Published")</f>
        <v/>
      </c>
      <c r="C23" s="121">
        <f>IFERROR(AVERAGEIFS('Shorts ideas'!$AC$6:$AC$400,'Shorts ideas'!$M$6:$M$400,$A23,'Shorts ideas'!$AC$6:$AC$400,"&gt;0"),"")</f>
        <v/>
      </c>
      <c r="D23" s="122">
        <f>IFERROR(AVERAGEIFS('Shorts ideas'!$U$6:$U$400,'Shorts ideas'!$M$6:$M$400,$A23,'Shorts ideas'!$U$6:$U$400,"&gt;0"),"")</f>
        <v/>
      </c>
      <c r="E23" s="122">
        <f>IFERROR(AVERAGEIFS('Shorts ideas'!$AD$6:$AD$400,'Shorts ideas'!$M$6:$M$400,$A23,'Shorts ideas'!$AD$6:$AD$400,"&gt;0"),"")</f>
        <v/>
      </c>
      <c r="F23" s="121">
        <f>IFERROR(AVERAGEIFS('Shorts ideas'!$AL$6:$AL$400,'Shorts ideas'!$M$6:$M$400,$A23,'Shorts ideas'!$AL$6:$AL$400,"&gt;0"),"")</f>
        <v/>
      </c>
    </row>
    <row r="24" ht="15" customHeight="1" s="62">
      <c r="A24" s="89" t="inlineStr">
        <is>
          <t>Thu</t>
        </is>
      </c>
      <c r="B24" s="89">
        <f>COUNTIFS('Shorts ideas'!$M$6:$M$400,$A24,'Shorts ideas'!$H$6:$H$400,"Published")</f>
        <v/>
      </c>
      <c r="C24" s="121">
        <f>IFERROR(AVERAGEIFS('Shorts ideas'!$AC$6:$AC$400,'Shorts ideas'!$M$6:$M$400,$A24,'Shorts ideas'!$AC$6:$AC$400,"&gt;0"),"")</f>
        <v/>
      </c>
      <c r="D24" s="122">
        <f>IFERROR(AVERAGEIFS('Shorts ideas'!$U$6:$U$400,'Shorts ideas'!$M$6:$M$400,$A24,'Shorts ideas'!$U$6:$U$400,"&gt;0"),"")</f>
        <v/>
      </c>
      <c r="E24" s="122">
        <f>IFERROR(AVERAGEIFS('Shorts ideas'!$AD$6:$AD$400,'Shorts ideas'!$M$6:$M$400,$A24,'Shorts ideas'!$AD$6:$AD$400,"&gt;0"),"")</f>
        <v/>
      </c>
      <c r="F24" s="121">
        <f>IFERROR(AVERAGEIFS('Shorts ideas'!$AL$6:$AL$400,'Shorts ideas'!$M$6:$M$400,$A24,'Shorts ideas'!$AL$6:$AL$400,"&gt;0"),"")</f>
        <v/>
      </c>
    </row>
    <row r="25" ht="15" customHeight="1" s="62">
      <c r="A25" s="89" t="inlineStr">
        <is>
          <t>Fri</t>
        </is>
      </c>
      <c r="B25" s="89">
        <f>COUNTIFS('Shorts ideas'!$M$6:$M$400,$A25,'Shorts ideas'!$H$6:$H$400,"Published")</f>
        <v/>
      </c>
      <c r="C25" s="121">
        <f>IFERROR(AVERAGEIFS('Shorts ideas'!$AC$6:$AC$400,'Shorts ideas'!$M$6:$M$400,$A25,'Shorts ideas'!$AC$6:$AC$400,"&gt;0"),"")</f>
        <v/>
      </c>
      <c r="D25" s="122">
        <f>IFERROR(AVERAGEIFS('Shorts ideas'!$U$6:$U$400,'Shorts ideas'!$M$6:$M$400,$A25,'Shorts ideas'!$U$6:$U$400,"&gt;0"),"")</f>
        <v/>
      </c>
      <c r="E25" s="122">
        <f>IFERROR(AVERAGEIFS('Shorts ideas'!$AD$6:$AD$400,'Shorts ideas'!$M$6:$M$400,$A25,'Shorts ideas'!$AD$6:$AD$400,"&gt;0"),"")</f>
        <v/>
      </c>
      <c r="F25" s="121">
        <f>IFERROR(AVERAGEIFS('Shorts ideas'!$AL$6:$AL$400,'Shorts ideas'!$M$6:$M$400,$A25,'Shorts ideas'!$AL$6:$AL$400,"&gt;0"),"")</f>
        <v/>
      </c>
    </row>
    <row r="26" ht="15" customHeight="1" s="62">
      <c r="A26" s="89" t="inlineStr">
        <is>
          <t>Sat</t>
        </is>
      </c>
      <c r="B26" s="89">
        <f>COUNTIFS('Shorts ideas'!$M$6:$M$400,$A26,'Shorts ideas'!$H$6:$H$400,"Published")</f>
        <v/>
      </c>
      <c r="C26" s="121">
        <f>IFERROR(AVERAGEIFS('Shorts ideas'!$AC$6:$AC$400,'Shorts ideas'!$M$6:$M$400,$A26,'Shorts ideas'!$AC$6:$AC$400,"&gt;0"),"")</f>
        <v/>
      </c>
      <c r="D26" s="122">
        <f>IFERROR(AVERAGEIFS('Shorts ideas'!$U$6:$U$400,'Shorts ideas'!$M$6:$M$400,$A26,'Shorts ideas'!$U$6:$U$400,"&gt;0"),"")</f>
        <v/>
      </c>
      <c r="E26" s="122">
        <f>IFERROR(AVERAGEIFS('Shorts ideas'!$AD$6:$AD$400,'Shorts ideas'!$M$6:$M$400,$A26,'Shorts ideas'!$AD$6:$AD$400,"&gt;0"),"")</f>
        <v/>
      </c>
      <c r="F26" s="121">
        <f>IFERROR(AVERAGEIFS('Shorts ideas'!$AL$6:$AL$400,'Shorts ideas'!$M$6:$M$400,$A26,'Shorts ideas'!$AL$6:$AL$400,"&gt;0"),"")</f>
        <v/>
      </c>
    </row>
    <row r="27" ht="15" customHeight="1" s="62">
      <c r="A27" s="89" t="inlineStr">
        <is>
          <t>Sun</t>
        </is>
      </c>
      <c r="B27" s="89">
        <f>COUNTIFS('Shorts ideas'!$M$6:$M$400,$A27,'Shorts ideas'!$H$6:$H$400,"Published")</f>
        <v/>
      </c>
      <c r="C27" s="121">
        <f>IFERROR(AVERAGEIFS('Shorts ideas'!$AC$6:$AC$400,'Shorts ideas'!$M$6:$M$400,$A27,'Shorts ideas'!$AC$6:$AC$400,"&gt;0"),"")</f>
        <v/>
      </c>
      <c r="D27" s="122">
        <f>IFERROR(AVERAGEIFS('Shorts ideas'!$U$6:$U$400,'Shorts ideas'!$M$6:$M$400,$A27,'Shorts ideas'!$U$6:$U$400,"&gt;0"),"")</f>
        <v/>
      </c>
      <c r="E27" s="122">
        <f>IFERROR(AVERAGEIFS('Shorts ideas'!$AD$6:$AD$400,'Shorts ideas'!$M$6:$M$400,$A27,'Shorts ideas'!$AD$6:$AD$400,"&gt;0"),"")</f>
        <v/>
      </c>
      <c r="F27" s="121">
        <f>IFERROR(AVERAGEIFS('Shorts ideas'!$AL$6:$AL$400,'Shorts ideas'!$M$6:$M$400,$A27,'Shorts ideas'!$AL$6:$AL$400,"&gt;0"),"")</f>
        <v/>
      </c>
    </row>
    <row r="29" ht="26.85" customHeight="1" s="62">
      <c r="A29" s="67" t="inlineStr">
        <is>
          <t>Template fit</t>
        </is>
      </c>
      <c r="B29" s="67" t="inlineStr">
        <is>
          <t>Published</t>
        </is>
      </c>
      <c r="C29" s="67" t="inlineStr">
        <is>
          <t>Avg views d7</t>
        </is>
      </c>
      <c r="D29" s="67" t="inlineStr">
        <is>
          <t>Avg retention d7</t>
        </is>
      </c>
      <c r="E29" s="67" t="inlineStr">
        <is>
          <t>Avg engagement d7</t>
        </is>
      </c>
      <c r="F29" s="67" t="inlineStr">
        <is>
          <t>Avg views d30</t>
        </is>
      </c>
    </row>
    <row r="30" ht="15" customHeight="1" s="62">
      <c r="A30" s="89" t="inlineStr">
        <is>
          <t>Strong</t>
        </is>
      </c>
      <c r="B30" s="89">
        <f>COUNTIFS('Shorts ideas'!$J$6:$J$400,$A30,'Shorts ideas'!$H$6:$H$400,"Published")</f>
        <v/>
      </c>
      <c r="C30" s="121">
        <f>IFERROR(AVERAGEIFS('Shorts ideas'!$AC$6:$AC$400,'Shorts ideas'!$J$6:$J$400,$A30,'Shorts ideas'!$AC$6:$AC$400,"&gt;0"),"")</f>
        <v/>
      </c>
      <c r="D30" s="122">
        <f>IFERROR(AVERAGEIFS('Shorts ideas'!$U$6:$U$400,'Shorts ideas'!$J$6:$J$400,$A30,'Shorts ideas'!$U$6:$U$400,"&gt;0"),"")</f>
        <v/>
      </c>
      <c r="E30" s="122">
        <f>IFERROR(AVERAGEIFS('Shorts ideas'!$AD$6:$AD$400,'Shorts ideas'!$J$6:$J$400,$A30,'Shorts ideas'!$AD$6:$AD$400,"&gt;0"),"")</f>
        <v/>
      </c>
      <c r="F30" s="121">
        <f>IFERROR(AVERAGEIFS('Shorts ideas'!$AL$6:$AL$400,'Shorts ideas'!$J$6:$J$400,$A30,'Shorts ideas'!$AL$6:$AL$400,"&gt;0"),"")</f>
        <v/>
      </c>
    </row>
    <row r="31" ht="15" customHeight="1" s="62">
      <c r="A31" s="89" t="inlineStr">
        <is>
          <t>Weak</t>
        </is>
      </c>
      <c r="B31" s="89">
        <f>COUNTIFS('Shorts ideas'!$J$6:$J$400,$A31,'Shorts ideas'!$H$6:$H$400,"Published")</f>
        <v/>
      </c>
      <c r="C31" s="121">
        <f>IFERROR(AVERAGEIFS('Shorts ideas'!$AC$6:$AC$400,'Shorts ideas'!$J$6:$J$400,$A31,'Shorts ideas'!$AC$6:$AC$400,"&gt;0"),"")</f>
        <v/>
      </c>
      <c r="D31" s="122">
        <f>IFERROR(AVERAGEIFS('Shorts ideas'!$U$6:$U$400,'Shorts ideas'!$J$6:$J$400,$A31,'Shorts ideas'!$U$6:$U$400,"&gt;0"),"")</f>
        <v/>
      </c>
      <c r="E31" s="122">
        <f>IFERROR(AVERAGEIFS('Shorts ideas'!$AD$6:$AD$400,'Shorts ideas'!$J$6:$J$400,$A31,'Shorts ideas'!$AD$6:$AD$400,"&gt;0"),"")</f>
        <v/>
      </c>
      <c r="F31" s="121">
        <f>IFERROR(AVERAGEIFS('Shorts ideas'!$AL$6:$AL$400,'Shorts ideas'!$J$6:$J$400,$A31,'Shorts ideas'!$AL$6:$AL$400,"&gt;0"),"")</f>
        <v/>
      </c>
    </row>
    <row r="33" ht="26.85" customHeight="1" s="62">
      <c r="A33" s="67" t="inlineStr">
        <is>
          <t>Visual style</t>
        </is>
      </c>
      <c r="B33" s="67" t="inlineStr">
        <is>
          <t>Published</t>
        </is>
      </c>
      <c r="C33" s="67" t="inlineStr">
        <is>
          <t>Avg views d7</t>
        </is>
      </c>
      <c r="D33" s="67" t="inlineStr">
        <is>
          <t>Avg retention d7</t>
        </is>
      </c>
      <c r="E33" s="67" t="inlineStr">
        <is>
          <t>Avg engagement d7</t>
        </is>
      </c>
      <c r="F33" s="67" t="inlineStr">
        <is>
          <t>Avg views d30</t>
        </is>
      </c>
    </row>
    <row r="34" ht="15" customHeight="1" s="62">
      <c r="A34" s="89" t="inlineStr">
        <is>
          <t>pixel-lab</t>
        </is>
      </c>
      <c r="B34" s="89">
        <f>COUNTIFS('Shorts ideas'!$AO$6:$AO$400,$A34,'Shorts ideas'!$H$6:$H$400,"Published")</f>
        <v/>
      </c>
      <c r="C34" s="121">
        <f>IFERROR(AVERAGEIFS('Shorts ideas'!$AC$6:$AC$400,'Shorts ideas'!$AO$6:$AO$400,$A34,'Shorts ideas'!$AC$6:$AC$400,"&gt;0"),"")</f>
        <v/>
      </c>
      <c r="D34" s="122">
        <f>IFERROR(AVERAGEIFS('Shorts ideas'!$U$6:$U$400,'Shorts ideas'!$AO$6:$AO$400,$A34,'Shorts ideas'!$U$6:$U$400,"&gt;0"),"")</f>
        <v/>
      </c>
      <c r="E34" s="122">
        <f>IFERROR(AVERAGEIFS('Shorts ideas'!$AD$6:$AD$400,'Shorts ideas'!$AO$6:$AO$400,$A34,'Shorts ideas'!$AD$6:$AD$400,"&gt;0"),"")</f>
        <v/>
      </c>
      <c r="F34" s="121">
        <f>IFERROR(AVERAGEIFS('Shorts ideas'!$AL$6:$AL$400,'Shorts ideas'!$AO$6:$AO$400,$A34,'Shorts ideas'!$AL$6:$AL$400,"&gt;0"),"")</f>
        <v/>
      </c>
    </row>
    <row r="35" ht="15" customHeight="1" s="62">
      <c r="A35" s="89" t="inlineStr">
        <is>
          <t>whiteboard</t>
        </is>
      </c>
      <c r="B35" s="89">
        <f>COUNTIFS('Shorts ideas'!$AO$6:$AO$400,$A35,'Shorts ideas'!$H$6:$H$400,"Published")</f>
        <v/>
      </c>
      <c r="C35" s="121">
        <f>IFERROR(AVERAGEIFS('Shorts ideas'!$AC$6:$AC$400,'Shorts ideas'!$AO$6:$AO$400,$A35,'Shorts ideas'!$AC$6:$AC$400,"&gt;0"),"")</f>
        <v/>
      </c>
      <c r="D35" s="122">
        <f>IFERROR(AVERAGEIFS('Shorts ideas'!$U$6:$U$400,'Shorts ideas'!$AO$6:$AO$400,$A35,'Shorts ideas'!$U$6:$U$400,"&gt;0"),"")</f>
        <v/>
      </c>
      <c r="E35" s="122">
        <f>IFERROR(AVERAGEIFS('Shorts ideas'!$AD$6:$AD$400,'Shorts ideas'!$AO$6:$AO$400,$A35,'Shorts ideas'!$AD$6:$AD$400,"&gt;0"),"")</f>
        <v/>
      </c>
      <c r="F35" s="121">
        <f>IFERROR(AVERAGEIFS('Shorts ideas'!$AL$6:$AL$400,'Shorts ideas'!$AO$6:$AO$400,$A35,'Shorts ideas'!$AL$6:$AL$400,"&gt;0"),"")</f>
        <v/>
      </c>
    </row>
    <row r="36" ht="15" customHeight="1" s="62">
      <c r="A36" s="89" t="inlineStr">
        <is>
          <t>data-story</t>
        </is>
      </c>
      <c r="B36" s="89">
        <f>COUNTIFS('Shorts ideas'!$AO$6:$AO$400,$A36,'Shorts ideas'!$H$6:$H$400,"Published")</f>
        <v/>
      </c>
      <c r="C36" s="121">
        <f>IFERROR(AVERAGEIFS('Shorts ideas'!$AC$6:$AC$400,'Shorts ideas'!$AO$6:$AO$400,$A36,'Shorts ideas'!$AC$6:$AC$400,"&gt;0"),"")</f>
        <v/>
      </c>
      <c r="D36" s="122">
        <f>IFERROR(AVERAGEIFS('Shorts ideas'!$U$6:$U$400,'Shorts ideas'!$AO$6:$AO$400,$A36,'Shorts ideas'!$U$6:$U$400,"&gt;0"),"")</f>
        <v/>
      </c>
      <c r="E36" s="122">
        <f>IFERROR(AVERAGEIFS('Shorts ideas'!$AD$6:$AD$400,'Shorts ideas'!$AO$6:$AO$400,$A36,'Shorts ideas'!$AD$6:$AD$400,"&gt;0"),"")</f>
        <v/>
      </c>
      <c r="F36" s="121">
        <f>IFERROR(AVERAGEIFS('Shorts ideas'!$AL$6:$AL$400,'Shorts ideas'!$AO$6:$AO$400,$A36,'Shorts ideas'!$AL$6:$AL$400,"&gt;0"),"")</f>
        <v/>
      </c>
    </row>
    <row r="37" ht="15" customHeight="1" s="62">
      <c r="A37" s="89" t="inlineStr">
        <is>
          <t>swiss</t>
        </is>
      </c>
      <c r="B37" s="89">
        <f>COUNTIFS('Shorts ideas'!$AO$6:$AO$400,$A37,'Shorts ideas'!$H$6:$H$400,"Published")</f>
        <v/>
      </c>
      <c r="C37" s="121">
        <f>IFERROR(AVERAGEIFS('Shorts ideas'!$AC$6:$AC$400,'Shorts ideas'!$AO$6:$AO$400,$A37,'Shorts ideas'!$AC$6:$AC$400,"&gt;0"),"")</f>
        <v/>
      </c>
      <c r="D37" s="122">
        <f>IFERROR(AVERAGEIFS('Shorts ideas'!$U$6:$U$400,'Shorts ideas'!$AO$6:$AO$400,$A37,'Shorts ideas'!$U$6:$U$400,"&gt;0"),"")</f>
        <v/>
      </c>
      <c r="E37" s="122">
        <f>IFERROR(AVERAGEIFS('Shorts ideas'!$AD$6:$AD$400,'Shorts ideas'!$AO$6:$AO$400,$A37,'Shorts ideas'!$AD$6:$AD$400,"&gt;0"),"")</f>
        <v/>
      </c>
      <c r="F37" s="121">
        <f>IFERROR(AVERAGEIFS('Shorts ideas'!$AL$6:$AL$400,'Shorts ideas'!$AO$6:$AO$400,$A37,'Shorts ideas'!$AL$6:$AL$400,"&gt;0"),"")</f>
        <v/>
      </c>
    </row>
    <row r="38" ht="15" customHeight="1" s="62">
      <c r="A38" s="89" t="inlineStr">
        <is>
          <t>dossier</t>
        </is>
      </c>
      <c r="B38" s="89">
        <f>COUNTIFS('Shorts ideas'!$AO$6:$AO$400,$A38,'Shorts ideas'!$H$6:$H$400,"Published")</f>
        <v/>
      </c>
      <c r="C38" s="121">
        <f>IFERROR(AVERAGEIFS('Shorts ideas'!$AC$6:$AC$400,'Shorts ideas'!$AO$6:$AO$400,$A38,'Shorts ideas'!$AC$6:$AC$400,"&gt;0"),"")</f>
        <v/>
      </c>
      <c r="D38" s="122">
        <f>IFERROR(AVERAGEIFS('Shorts ideas'!$U$6:$U$400,'Shorts ideas'!$AO$6:$AO$400,$A38,'Shorts ideas'!$U$6:$U$400,"&gt;0"),"")</f>
        <v/>
      </c>
      <c r="E38" s="122">
        <f>IFERROR(AVERAGEIFS('Shorts ideas'!$AD$6:$AD$400,'Shorts ideas'!$AO$6:$AO$400,$A38,'Shorts ideas'!$AD$6:$AD$400,"&gt;0"),"")</f>
        <v/>
      </c>
      <c r="F38" s="121">
        <f>IFERROR(AVERAGEIFS('Shorts ideas'!$AL$6:$AL$400,'Shorts ideas'!$AO$6:$AO$400,$A38,'Shorts ideas'!$AL$6:$AL$400,"&gt;0"),"")</f>
        <v/>
      </c>
    </row>
    <row r="39" ht="15" customHeight="1" s="62">
      <c r="A39" s="89" t="inlineStr">
        <is>
          <t>riso</t>
        </is>
      </c>
      <c r="B39" s="89">
        <f>COUNTIFS('Shorts ideas'!$AO$6:$AO$400,$A39,'Shorts ideas'!$H$6:$H$400,"Published")</f>
        <v/>
      </c>
      <c r="C39" s="121">
        <f>IFERROR(AVERAGEIFS('Shorts ideas'!$AC$6:$AC$400,'Shorts ideas'!$AO$6:$AO$400,$A39,'Shorts ideas'!$AC$6:$AC$400,"&gt;0"),"")</f>
        <v/>
      </c>
      <c r="D39" s="122">
        <f>IFERROR(AVERAGEIFS('Shorts ideas'!$U$6:$U$400,'Shorts ideas'!$AO$6:$AO$400,$A39,'Shorts ideas'!$U$6:$U$400,"&gt;0"),"")</f>
        <v/>
      </c>
      <c r="E39" s="122">
        <f>IFERROR(AVERAGEIFS('Shorts ideas'!$AD$6:$AD$400,'Shorts ideas'!$AO$6:$AO$400,$A39,'Shorts ideas'!$AD$6:$AD$400,"&gt;0"),"")</f>
        <v/>
      </c>
      <c r="F39" s="121">
        <f>IFERROR(AVERAGEIFS('Shorts ideas'!$AL$6:$AL$400,'Shorts ideas'!$AO$6:$AO$400,$A39,'Shorts ideas'!$AL$6:$AL$400,"&gt;0"),"")</f>
        <v/>
      </c>
    </row>
    <row r="40" ht="15" customHeight="1" s="62">
      <c r="A40" s="89" t="inlineStr">
        <is>
          <t>blueprint</t>
        </is>
      </c>
      <c r="B40" s="89">
        <f>COUNTIFS('Shorts ideas'!$AO$6:$AO$400,$A40,'Shorts ideas'!$H$6:$H$400,"Published")</f>
        <v/>
      </c>
      <c r="C40" s="121">
        <f>IFERROR(AVERAGEIFS('Shorts ideas'!$AC$6:$AC$400,'Shorts ideas'!$AO$6:$AO$400,$A40,'Shorts ideas'!$AC$6:$AC$400,"&gt;0"),"")</f>
        <v/>
      </c>
      <c r="D40" s="122">
        <f>IFERROR(AVERAGEIFS('Shorts ideas'!$U$6:$U$400,'Shorts ideas'!$AO$6:$AO$400,$A40,'Shorts ideas'!$U$6:$U$400,"&gt;0"),"")</f>
        <v/>
      </c>
      <c r="E40" s="122">
        <f>IFERROR(AVERAGEIFS('Shorts ideas'!$AD$6:$AD$400,'Shorts ideas'!$AO$6:$AO$400,$A40,'Shorts ideas'!$AD$6:$AD$400,"&gt;0"),"")</f>
        <v/>
      </c>
      <c r="F40" s="121">
        <f>IFERROR(AVERAGEIFS('Shorts ideas'!$AL$6:$AL$400,'Shorts ideas'!$AO$6:$AO$400,$A40,'Shorts ideas'!$AL$6:$AL$400,"&gt;0"),"")</f>
        <v/>
      </c>
    </row>
    <row r="41" ht="15" customHeight="1" s="62">
      <c r="A41" s="89" t="inlineStr">
        <is>
          <t>terminal</t>
        </is>
      </c>
      <c r="B41" s="89">
        <f>COUNTIFS('Shorts ideas'!$AO$6:$AO$400,$A41,'Shorts ideas'!$H$6:$H$400,"Published")</f>
        <v/>
      </c>
      <c r="C41" s="121">
        <f>IFERROR(AVERAGEIFS('Shorts ideas'!$AC$6:$AC$400,'Shorts ideas'!$AO$6:$AO$400,$A41,'Shorts ideas'!$AC$6:$AC$400,"&gt;0"),"")</f>
        <v/>
      </c>
      <c r="D41" s="122">
        <f>IFERROR(AVERAGEIFS('Shorts ideas'!$U$6:$U$400,'Shorts ideas'!$AO$6:$AO$400,$A41,'Shorts ideas'!$U$6:$U$400,"&gt;0"),"")</f>
        <v/>
      </c>
      <c r="E41" s="122">
        <f>IFERROR(AVERAGEIFS('Shorts ideas'!$AD$6:$AD$400,'Shorts ideas'!$AO$6:$AO$400,$A41,'Shorts ideas'!$AD$6:$AD$400,"&gt;0"),"")</f>
        <v/>
      </c>
      <c r="F41" s="121">
        <f>IFERROR(AVERAGEIFS('Shorts ideas'!$AL$6:$AL$400,'Shorts ideas'!$AO$6:$AO$400,$A41,'Shorts ideas'!$AL$6:$AL$400,"&gt;0"),"")</f>
        <v/>
      </c>
    </row>
    <row r="42" ht="15" customHeight="1" s="62">
      <c r="A42" s="89" t="inlineStr">
        <is>
          <t>keynote</t>
        </is>
      </c>
      <c r="B42" s="89">
        <f>COUNTIFS('Shorts ideas'!$AO$6:$AO$400,$A42,'Shorts ideas'!$H$6:$H$400,"Published")</f>
        <v/>
      </c>
      <c r="C42" s="121">
        <f>IFERROR(AVERAGEIFS('Shorts ideas'!$AC$6:$AC$400,'Shorts ideas'!$AO$6:$AO$400,$A42,'Shorts ideas'!$AC$6:$AC$400,"&gt;0"),"")</f>
        <v/>
      </c>
      <c r="D42" s="122">
        <f>IFERROR(AVERAGEIFS('Shorts ideas'!$U$6:$U$400,'Shorts ideas'!$AO$6:$AO$400,$A42,'Shorts ideas'!$U$6:$U$400,"&gt;0"),"")</f>
        <v/>
      </c>
      <c r="E42" s="122">
        <f>IFERROR(AVERAGEIFS('Shorts ideas'!$AD$6:$AD$400,'Shorts ideas'!$AO$6:$AO$400,$A42,'Shorts ideas'!$AD$6:$AD$400,"&gt;0"),"")</f>
        <v/>
      </c>
      <c r="F42" s="121">
        <f>IFERROR(AVERAGEIFS('Shorts ideas'!$AL$6:$AL$400,'Shorts ideas'!$AO$6:$AO$400,$A42,'Shorts ideas'!$AL$6:$AL$400,"&gt;0"),"")</f>
        <v/>
      </c>
    </row>
    <row r="43" ht="15" customHeight="1" s="62">
      <c r="A43" s="89" t="inlineStr">
        <is>
          <t>game-show</t>
        </is>
      </c>
      <c r="B43" s="89">
        <f>COUNTIFS('Shorts ideas'!$AO$6:$AO$400,$A43,'Shorts ideas'!$H$6:$H$400,"Published")</f>
        <v/>
      </c>
      <c r="C43" s="121">
        <f>IFERROR(AVERAGEIFS('Shorts ideas'!$AC$6:$AC$400,'Shorts ideas'!$AO$6:$AO$400,$A43,'Shorts ideas'!$AC$6:$AC$400,"&gt;0"),"")</f>
        <v/>
      </c>
      <c r="D43" s="122">
        <f>IFERROR(AVERAGEIFS('Shorts ideas'!$U$6:$U$400,'Shorts ideas'!$AO$6:$AO$400,$A43,'Shorts ideas'!$U$6:$U$400,"&gt;0"),"")</f>
        <v/>
      </c>
      <c r="E43" s="122">
        <f>IFERROR(AVERAGEIFS('Shorts ideas'!$AD$6:$AD$400,'Shorts ideas'!$AO$6:$AO$400,$A43,'Shorts ideas'!$AD$6:$AD$400,"&gt;0"),"")</f>
        <v/>
      </c>
      <c r="F43" s="121">
        <f>IFERROR(AVERAGEIFS('Shorts ideas'!$AL$6:$AL$400,'Shorts ideas'!$AO$6:$AO$400,$A43,'Shorts ideas'!$AL$6:$AL$400,"&gt;0"),"")</f>
        <v/>
      </c>
    </row>
    <row r="44" ht="15" customHeight="1" s="62">
      <c r="A44" s="89" t="inlineStr">
        <is>
          <t>cartoon-50s</t>
        </is>
      </c>
      <c r="B44" s="89">
        <f>COUNTIFS('Shorts ideas'!$AO$6:$AO$400,$A44,'Shorts ideas'!$H$6:$H$400,"Published")</f>
        <v/>
      </c>
      <c r="C44" s="121">
        <f>IFERROR(AVERAGEIFS('Shorts ideas'!$AC$6:$AC$400,'Shorts ideas'!$AO$6:$AO$400,$A44,'Shorts ideas'!$AC$6:$AC$400,"&gt;0"),"")</f>
        <v/>
      </c>
      <c r="D44" s="122">
        <f>IFERROR(AVERAGEIFS('Shorts ideas'!$U$6:$U$400,'Shorts ideas'!$AO$6:$AO$400,$A44,'Shorts ideas'!$U$6:$U$400,"&gt;0"),"")</f>
        <v/>
      </c>
      <c r="E44" s="122">
        <f>IFERROR(AVERAGEIFS('Shorts ideas'!$AD$6:$AD$400,'Shorts ideas'!$AO$6:$AO$400,$A44,'Shorts ideas'!$AD$6:$AD$400,"&gt;0"),"")</f>
        <v/>
      </c>
      <c r="F44" s="121">
        <f>IFERROR(AVERAGEIFS('Shorts ideas'!$AL$6:$AL$400,'Shorts ideas'!$AO$6:$AO$400,$A44,'Shorts ideas'!$AL$6:$AL$400,"&gt;0"),"")</f>
        <v/>
      </c>
    </row>
    <row r="45" ht="15" customHeight="1" s="62">
      <c r="A45" s="89" t="inlineStr">
        <is>
          <t>spy-noir</t>
        </is>
      </c>
      <c r="B45" s="89">
        <f>COUNTIFS('Shorts ideas'!$AO$6:$AO$400,$A45,'Shorts ideas'!$H$6:$H$400,"Published")</f>
        <v/>
      </c>
      <c r="C45" s="121">
        <f>IFERROR(AVERAGEIFS('Shorts ideas'!$AC$6:$AC$400,'Shorts ideas'!$AO$6:$AO$400,$A45,'Shorts ideas'!$AC$6:$AC$400,"&gt;0"),"")</f>
        <v/>
      </c>
      <c r="D45" s="122">
        <f>IFERROR(AVERAGEIFS('Shorts ideas'!$U$6:$U$400,'Shorts ideas'!$AO$6:$AO$400,$A45,'Shorts ideas'!$U$6:$U$400,"&gt;0"),"")</f>
        <v/>
      </c>
      <c r="E45" s="122">
        <f>IFERROR(AVERAGEIFS('Shorts ideas'!$AD$6:$AD$400,'Shorts ideas'!$AO$6:$AO$400,$A45,'Shorts ideas'!$AD$6:$AD$400,"&gt;0"),"")</f>
        <v/>
      </c>
      <c r="F45" s="121">
        <f>IFERROR(AVERAGEIFS('Shorts ideas'!$AL$6:$AL$400,'Shorts ideas'!$AO$6:$AO$400,$A45,'Shorts ideas'!$AL$6:$AL$400,"&gt;0"),"")</f>
        <v/>
      </c>
    </row>
    <row r="46" ht="15" customHeight="1" s="62">
      <c r="A46" s="89" t="inlineStr">
        <is>
          <t>crayon</t>
        </is>
      </c>
      <c r="B46" s="89">
        <f>COUNTIFS('Shorts ideas'!$AO$6:$AO$400,$A46,'Shorts ideas'!$H$6:$H$400,"Published")</f>
        <v/>
      </c>
      <c r="C46" s="121">
        <f>IFERROR(AVERAGEIFS('Shorts ideas'!$AC$6:$AC$400,'Shorts ideas'!$AO$6:$AO$400,$A46,'Shorts ideas'!$AC$6:$AC$400,"&gt;0"),"")</f>
        <v/>
      </c>
      <c r="D46" s="122">
        <f>IFERROR(AVERAGEIFS('Shorts ideas'!$U$6:$U$400,'Shorts ideas'!$AO$6:$AO$400,$A46,'Shorts ideas'!$U$6:$U$400,"&gt;0"),"")</f>
        <v/>
      </c>
      <c r="E46" s="122">
        <f>IFERROR(AVERAGEIFS('Shorts ideas'!$AD$6:$AD$400,'Shorts ideas'!$AO$6:$AO$400,$A46,'Shorts ideas'!$AD$6:$AD$400,"&gt;0"),"")</f>
        <v/>
      </c>
      <c r="F46" s="121">
        <f>IFERROR(AVERAGEIFS('Shorts ideas'!$AL$6:$AL$400,'Shorts ideas'!$AO$6:$AO$400,$A46,'Shorts ideas'!$AL$6:$AL$400,"&gt;0"),"")</f>
        <v/>
      </c>
    </row>
    <row r="47" ht="15" customHeight="1" s="62">
      <c r="A47" s="89" t="inlineStr">
        <is>
          <t>pixel-quest</t>
        </is>
      </c>
      <c r="B47" s="89">
        <f>COUNTIFS('Shorts ideas'!$AO$6:$AO$400,$A47,'Shorts ideas'!$H$6:$H$400,"Published")</f>
        <v/>
      </c>
      <c r="C47" s="121">
        <f>IFERROR(AVERAGEIFS('Shorts ideas'!$AC$6:$AC$400,'Shorts ideas'!$AO$6:$AO$400,$A47,'Shorts ideas'!$AC$6:$AC$400,"&gt;0"),"")</f>
        <v/>
      </c>
      <c r="D47" s="122">
        <f>IFERROR(AVERAGEIFS('Shorts ideas'!$U$6:$U$400,'Shorts ideas'!$AO$6:$AO$400,$A47,'Shorts ideas'!$U$6:$U$400,"&gt;0"),"")</f>
        <v/>
      </c>
      <c r="E47" s="122">
        <f>IFERROR(AVERAGEIFS('Shorts ideas'!$AD$6:$AD$400,'Shorts ideas'!$AO$6:$AO$400,$A47,'Shorts ideas'!$AD$6:$AD$400,"&gt;0"),"")</f>
        <v/>
      </c>
      <c r="F47" s="121">
        <f>IFERROR(AVERAGEIFS('Shorts ideas'!$AL$6:$AL$400,'Shorts ideas'!$AO$6:$AO$400,$A47,'Shorts ideas'!$AL$6:$AL$400,"&gt;0"),"")</f>
        <v/>
      </c>
    </row>
    <row r="48" ht="15" customHeight="1" s="62">
      <c r="A48" s="89" t="inlineStr">
        <is>
          <t>one-line</t>
        </is>
      </c>
      <c r="B48" s="89">
        <f>COUNTIFS('Shorts ideas'!$AO$6:$AO$400,$A48,'Shorts ideas'!$H$6:$H$400,"Published")</f>
        <v/>
      </c>
      <c r="C48" s="121">
        <f>IFERROR(AVERAGEIFS('Shorts ideas'!$AC$6:$AC$400,'Shorts ideas'!$AO$6:$AO$400,$A48,'Shorts ideas'!$AC$6:$AC$400,"&gt;0"),"")</f>
        <v/>
      </c>
      <c r="D48" s="122">
        <f>IFERROR(AVERAGEIFS('Shorts ideas'!$U$6:$U$400,'Shorts ideas'!$AO$6:$AO$400,$A48,'Shorts ideas'!$U$6:$U$400,"&gt;0"),"")</f>
        <v/>
      </c>
      <c r="E48" s="122">
        <f>IFERROR(AVERAGEIFS('Shorts ideas'!$AD$6:$AD$400,'Shorts ideas'!$AO$6:$AO$400,$A48,'Shorts ideas'!$AD$6:$AD$400,"&gt;0"),"")</f>
        <v/>
      </c>
      <c r="F48" s="121">
        <f>IFERROR(AVERAGEIFS('Shorts ideas'!$AL$6:$AL$400,'Shorts ideas'!$AO$6:$AO$400,$A48,'Shorts ideas'!$AL$6:$AL$400,"&gt;0"),"")</f>
        <v/>
      </c>
    </row>
    <row r="49" ht="15" customHeight="1" s="62">
      <c r="A49" s="89" t="inlineStr">
        <is>
          <t>ted1</t>
        </is>
      </c>
      <c r="B49" s="89">
        <f>COUNTIFS('Shorts ideas'!$AO$6:$AO$400,$A49,'Shorts ideas'!$H$6:$H$400,"Published")</f>
        <v/>
      </c>
      <c r="C49" s="121">
        <f>IFERROR(AVERAGEIFS('Shorts ideas'!$AC$6:$AC$400,'Shorts ideas'!$AO$6:$AO$400,$A49,'Shorts ideas'!$AC$6:$AC$400,"&gt;0"),"")</f>
        <v/>
      </c>
      <c r="D49" s="122">
        <f>IFERROR(AVERAGEIFS('Shorts ideas'!$U$6:$U$400,'Shorts ideas'!$AO$6:$AO$400,$A49,'Shorts ideas'!$U$6:$U$400,"&gt;0"),"")</f>
        <v/>
      </c>
      <c r="E49" s="122">
        <f>IFERROR(AVERAGEIFS('Shorts ideas'!$AD$6:$AD$400,'Shorts ideas'!$AO$6:$AO$400,$A49,'Shorts ideas'!$AD$6:$AD$400,"&gt;0"),"")</f>
        <v/>
      </c>
      <c r="F49" s="121">
        <f>IFERROR(AVERAGEIFS('Shorts ideas'!$AL$6:$AL$400,'Shorts ideas'!$AO$6:$AO$400,$A49,'Shorts ideas'!$AL$6:$AL$400,"&gt;0"),"")</f>
        <v/>
      </c>
    </row>
    <row r="50" ht="15" customHeight="1" s="62">
      <c r="A50" s="89" t="inlineStr">
        <is>
          <t>ted2</t>
        </is>
      </c>
      <c r="B50" s="89">
        <f>COUNTIFS('Shorts ideas'!$AO$6:$AO$400,$A50,'Shorts ideas'!$H$6:$H$400,"Published")</f>
        <v/>
      </c>
      <c r="C50" s="121">
        <f>IFERROR(AVERAGEIFS('Shorts ideas'!$AC$6:$AC$400,'Shorts ideas'!$AO$6:$AO$400,$A50,'Shorts ideas'!$AC$6:$AC$400,"&gt;0"),"")</f>
        <v/>
      </c>
      <c r="D50" s="122">
        <f>IFERROR(AVERAGEIFS('Shorts ideas'!$U$6:$U$400,'Shorts ideas'!$AO$6:$AO$400,$A50,'Shorts ideas'!$U$6:$U$400,"&gt;0"),"")</f>
        <v/>
      </c>
      <c r="E50" s="122">
        <f>IFERROR(AVERAGEIFS('Shorts ideas'!$AD$6:$AD$400,'Shorts ideas'!$AO$6:$AO$400,$A50,'Shorts ideas'!$AD$6:$AD$400,"&gt;0"),"")</f>
        <v/>
      </c>
      <c r="F50" s="121">
        <f>IFERROR(AVERAGEIFS('Shorts ideas'!$AL$6:$AL$400,'Shorts ideas'!$AO$6:$AO$400,$A50,'Shorts ideas'!$AL$6:$AL$400,"&gt;0"),"")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2026-10-11T22:10:01Z</dcterms:created>
  <dcterms:modified xsi:type="dcterms:W3CDTF">2026-10-25T07:14:17Z</dcterms:modified>
  <cp:revision>0</cp:revision>
</cp:coreProperties>
</file>