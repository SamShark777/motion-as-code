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orts ideas" sheetId="1" state="visible" r:id="rId1"/>
    <sheet xmlns:r="http://schemas.openxmlformats.org/officeDocument/2006/relationships" name="Long form" sheetId="2" state="visible" r:id="rId2"/>
    <sheet xmlns:r="http://schemas.openxmlformats.org/officeDocument/2006/relationships" name="Looks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  <font>
      <name val="Arial"/>
      <b val="1"/>
      <sz val="14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9" fillId="0" borderId="0" pivotButton="0" quotePrefix="0" xfId="0"/>
    <xf numFmtId="165" fontId="0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U107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  <col width="10" customWidth="1" min="42" max="42"/>
    <col width="34" customWidth="1" min="43" max="43"/>
    <col width="60" customWidth="1" min="44" max="44"/>
    <col width="30" customWidth="1" min="45" max="45"/>
    <col width="26" customWidth="1" min="46" max="46"/>
    <col width="34" customWidth="1" min="47" max="47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  <c r="AP4" s="9" t="inlineStr">
        <is>
          <t>STORY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  <c r="AP5" s="8" t="inlineStr">
        <is>
          <t>Format</t>
        </is>
      </c>
      <c r="AQ5" s="8" t="inlineStr">
        <is>
          <t>Animation style</t>
        </is>
      </c>
      <c r="AR5" s="8" t="inlineStr">
        <is>
          <t>Storyboard</t>
        </is>
      </c>
      <c r="AS5" s="8" t="inlineStr">
        <is>
          <t>Palette &amp; type</t>
        </is>
      </c>
      <c r="AT5" s="8" t="inlineStr">
        <is>
          <t>Characters</t>
        </is>
      </c>
      <c r="AU5" s="8" t="inlineStr">
        <is>
          <t>Sound cues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  <c r="AP6" s="51" t="n"/>
      <c r="AQ6" s="51" t="n"/>
      <c r="AR6" s="51" t="n"/>
      <c r="AS6" s="51" t="n"/>
      <c r="AT6" s="51" t="n"/>
      <c r="AU6" s="51" t="n"/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Vetoed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inlineStr">
        <is>
          <t>Cancelled in Buffer 2026-10-15 before posting: Shivam retired the 8-bit avatar format (Ted type 2 only)</t>
        </is>
      </c>
      <c r="AO7" s="10" t="inlineStr">
        <is>
          <t>keynote</t>
        </is>
      </c>
      <c r="AP7" s="51" t="n"/>
      <c r="AQ7" s="51" t="n"/>
      <c r="AR7" s="51" t="n"/>
      <c r="AS7" s="51" t="n"/>
      <c r="AT7" s="51" t="n"/>
      <c r="AU7" s="51" t="n"/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Scheduled</t>
        </is>
      </c>
      <c r="I8" s="10" t="n">
        <v>21</v>
      </c>
      <c r="J8" s="10" t="inlineStr">
        <is>
          <t>Strong</t>
        </is>
      </c>
      <c r="K8" s="10" t="inlineStr">
        <is>
          <t>anchoring</t>
        </is>
      </c>
      <c r="L8" s="11" t="n">
        <v>46310</v>
      </c>
      <c r="M8" s="5">
        <f>IF(L8="","",TEXT(L8,"ddd"))</f>
        <v/>
      </c>
      <c r="N8" s="10" t="n"/>
      <c r="O8" s="10" t="n">
        <v>35</v>
      </c>
      <c r="P8" s="10" t="inlineStr">
        <is>
          <t>Why the First Price You See Sticks in Your Head #shorts</t>
        </is>
      </c>
      <c r="Q8" s="10" t="inlineStr">
        <is>
          <t>Tversky &amp; Kahneman 1974, Science 185(4157):1124-1131; wheel 10 vs 65 -&gt; median 25% vs 45% African UN members</t>
        </is>
      </c>
      <c r="R8" s="10" t="inlineStr">
        <is>
          <t>buffer:youtube=6ad14adb2b2233d4661582ae;tiktok=6ad14adc5533140b41cadc37</t>
        </is>
      </c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ted2</t>
        </is>
      </c>
      <c r="AP8" s="51" t="n"/>
      <c r="AQ8" s="51" t="n"/>
      <c r="AR8" s="51" t="n"/>
      <c r="AS8" s="51" t="n"/>
      <c r="AT8" s="51" t="n"/>
      <c r="AU8" s="51" t="n"/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Scripted</t>
        </is>
      </c>
      <c r="I9" s="10" t="n">
        <v>30</v>
      </c>
      <c r="J9" s="10" t="inlineStr">
        <is>
          <t>Strong</t>
        </is>
      </c>
      <c r="K9" s="10" t="inlineStr">
        <is>
          <t>availability-heuristic</t>
        </is>
      </c>
      <c r="L9" s="11" t="n"/>
      <c r="M9" s="5">
        <f>IF(L9="","",TEXT(L9,"ddd"))</f>
        <v/>
      </c>
      <c r="N9" s="10" t="inlineStr">
        <is>
          <t>thoughts</t>
        </is>
      </c>
      <c r="O9" s="10" t="n"/>
      <c r="P9" s="10" t="n"/>
      <c r="Q9" s="10" t="inlineStr">
        <is>
          <t>Lichtenstein, Slovic et al. 1978, JEP:HLM 4(6):551-578; 41 causes of death, dramatic over-, common underestimated; Tversky &amp; Kahneman 1973</t>
        </is>
      </c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ted2</t>
        </is>
      </c>
      <c r="AP9" s="51" t="n"/>
      <c r="AQ9" s="51" t="n"/>
      <c r="AR9" s="51" t="n"/>
      <c r="AS9" s="51" t="n"/>
      <c r="AT9" s="51" t="n"/>
      <c r="AU9" s="51" t="n"/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Scripted</t>
        </is>
      </c>
      <c r="I10" s="10" t="n">
        <v>38</v>
      </c>
      <c r="J10" s="10" t="inlineStr">
        <is>
          <t>Strong</t>
        </is>
      </c>
      <c r="K10" s="10" t="inlineStr">
        <is>
          <t>sunk-cost</t>
        </is>
      </c>
      <c r="L10" s="11" t="n"/>
      <c r="M10" s="5">
        <f>IF(L10="","",TEXT(L10,"ddd"))</f>
        <v/>
      </c>
      <c r="N10" s="10" t="inlineStr">
        <is>
          <t>thoughts</t>
        </is>
      </c>
      <c r="O10" s="10" t="n"/>
      <c r="P10" s="10" t="n"/>
      <c r="Q10" s="10" t="inlineStr">
        <is>
          <t>Arkes &amp; Blumer 1985, OBHDP 35(1):124-140; ski trip 00 Michigan vs 0 Wisconsin, 54% (33/61) chose Michigan</t>
        </is>
      </c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ted2</t>
        </is>
      </c>
      <c r="AP10" s="51" t="n"/>
      <c r="AQ10" s="51" t="n"/>
      <c r="AR10" s="51" t="n"/>
      <c r="AS10" s="51" t="n"/>
      <c r="AT10" s="51" t="n"/>
      <c r="AU10" s="51" t="n"/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  <c r="AP11" s="51" t="n"/>
      <c r="AQ11" s="51" t="n"/>
      <c r="AR11" s="51" t="n"/>
      <c r="AS11" s="51" t="n"/>
      <c r="AT11" s="51" t="n"/>
      <c r="AU11" s="51" t="n"/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  <c r="AP12" s="51" t="n"/>
      <c r="AQ12" s="51" t="n"/>
      <c r="AR12" s="51" t="n"/>
      <c r="AS12" s="51" t="n"/>
      <c r="AT12" s="51" t="n"/>
      <c r="AU12" s="51" t="n"/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  <c r="AP13" s="51" t="n"/>
      <c r="AQ13" s="51" t="n"/>
      <c r="AR13" s="51" t="n"/>
      <c r="AS13" s="51" t="n"/>
      <c r="AT13" s="51" t="n"/>
      <c r="AU13" s="51" t="n"/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  <c r="AP14" s="51" t="n"/>
      <c r="AQ14" s="51" t="n"/>
      <c r="AR14" s="51" t="n"/>
      <c r="AS14" s="51" t="n"/>
      <c r="AT14" s="51" t="n"/>
      <c r="AU14" s="51" t="n"/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  <c r="AP15" s="51" t="n"/>
      <c r="AQ15" s="51" t="n"/>
      <c r="AR15" s="51" t="n"/>
      <c r="AS15" s="51" t="n"/>
      <c r="AT15" s="51" t="n"/>
      <c r="AU15" s="51" t="n"/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  <c r="AP16" s="51" t="n"/>
      <c r="AQ16" s="51" t="n"/>
      <c r="AR16" s="51" t="n"/>
      <c r="AS16" s="51" t="n"/>
      <c r="AT16" s="51" t="n"/>
      <c r="AU16" s="51" t="n"/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Vetoed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inlineStr">
        <is>
          <t>Cancelled in Buffer 2026-10-15 before posting: Shivam retired the 8-bit avatar format (Ted type 2 only)</t>
        </is>
      </c>
      <c r="AO17" s="10" t="inlineStr">
        <is>
          <t>whiteboard</t>
        </is>
      </c>
      <c r="AP17" s="51" t="n"/>
      <c r="AQ17" s="51" t="n"/>
      <c r="AR17" s="51" t="n"/>
      <c r="AS17" s="51" t="n"/>
      <c r="AT17" s="51" t="n"/>
      <c r="AU17" s="51" t="n"/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Scripted</t>
        </is>
      </c>
      <c r="I18" s="10" t="n">
        <v>22</v>
      </c>
      <c r="J18" s="10" t="inlineStr">
        <is>
          <t>Strong</t>
        </is>
      </c>
      <c r="K18" s="10" t="inlineStr">
        <is>
          <t>spacing-effect</t>
        </is>
      </c>
      <c r="L18" s="11" t="n"/>
      <c r="M18" s="5">
        <f>IF(L18="","",TEXT(L18,"ddd"))</f>
        <v/>
      </c>
      <c r="N18" s="10" t="inlineStr">
        <is>
          <t>thoughts</t>
        </is>
      </c>
      <c r="O18" s="10" t="n"/>
      <c r="P18" s="10" t="n"/>
      <c r="Q18" s="10" t="inlineStr">
        <is>
          <t>Cepeda et al. 2006, Psychological Bulletin 132(3):354-380; 317 experiments/184 articles, spaced &gt; massed recall</t>
        </is>
      </c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ted2</t>
        </is>
      </c>
      <c r="AP18" s="51" t="n"/>
      <c r="AQ18" s="51" t="n"/>
      <c r="AR18" s="51" t="n"/>
      <c r="AS18" s="51" t="n"/>
      <c r="AT18" s="51" t="n"/>
      <c r="AU18" s="51" t="n"/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Scripted</t>
        </is>
      </c>
      <c r="I19" s="10" t="n">
        <v>31</v>
      </c>
      <c r="J19" s="10" t="inlineStr">
        <is>
          <t>Strong</t>
        </is>
      </c>
      <c r="K19" s="10" t="inlineStr">
        <is>
          <t>interleaving</t>
        </is>
      </c>
      <c r="L19" s="11" t="n"/>
      <c r="M19" s="5">
        <f>IF(L19="","",TEXT(L19,"ddd"))</f>
        <v/>
      </c>
      <c r="N19" s="10" t="inlineStr">
        <is>
          <t>thoughts</t>
        </is>
      </c>
      <c r="O19" s="10" t="n"/>
      <c r="P19" s="10" t="n"/>
      <c r="Q19" s="10" t="inlineStr">
        <is>
          <t>Rohrer &amp; Taylor 2007, Instructional Science 35:481-498; practice 89% blocked vs 60% mixed; test 1 wk later 63% mixed vs 20% blocked</t>
        </is>
      </c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ted2</t>
        </is>
      </c>
      <c r="AP19" s="51" t="n"/>
      <c r="AQ19" s="51" t="n"/>
      <c r="AR19" s="51" t="n"/>
      <c r="AS19" s="51" t="n"/>
      <c r="AT19" s="51" t="n"/>
      <c r="AU19" s="51" t="n"/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Scripted</t>
        </is>
      </c>
      <c r="I20" s="10" t="n">
        <v>39</v>
      </c>
      <c r="J20" s="10" t="inlineStr">
        <is>
          <t>Strong</t>
        </is>
      </c>
      <c r="K20" s="10" t="inlineStr">
        <is>
          <t>memory-rebuilds</t>
        </is>
      </c>
      <c r="L20" s="11" t="n"/>
      <c r="M20" s="5">
        <f>IF(L20="","",TEXT(L20,"ddd"))</f>
        <v/>
      </c>
      <c r="N20" s="10" t="inlineStr">
        <is>
          <t>thoughts</t>
        </is>
      </c>
      <c r="O20" s="10" t="n"/>
      <c r="P20" s="10" t="n"/>
      <c r="Q20" s="10" t="inlineStr">
        <is>
          <t>Loftus &amp; Palmer 1974, JVLVB 13(5):585-589; smashed 40.5 mph vs hit 34.0; broken glass 32% vs 14%</t>
        </is>
      </c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ted2</t>
        </is>
      </c>
      <c r="AP20" s="51" t="n"/>
      <c r="AQ20" s="51" t="n"/>
      <c r="AR20" s="51" t="n"/>
      <c r="AS20" s="51" t="n"/>
      <c r="AT20" s="51" t="n"/>
      <c r="AU20" s="51" t="n"/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  <c r="AP21" s="51" t="n"/>
      <c r="AQ21" s="51" t="n"/>
      <c r="AR21" s="51" t="n"/>
      <c r="AS21" s="51" t="n"/>
      <c r="AT21" s="51" t="n"/>
      <c r="AU21" s="51" t="n"/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  <c r="AP22" s="51" t="n"/>
      <c r="AQ22" s="51" t="n"/>
      <c r="AR22" s="51" t="n"/>
      <c r="AS22" s="51" t="n"/>
      <c r="AT22" s="51" t="n"/>
      <c r="AU22" s="51" t="n"/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  <c r="AP23" s="51" t="n"/>
      <c r="AQ23" s="51" t="n"/>
      <c r="AR23" s="51" t="n"/>
      <c r="AS23" s="51" t="n"/>
      <c r="AT23" s="51" t="n"/>
      <c r="AU23" s="51" t="n"/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  <c r="AP24" s="51" t="n"/>
      <c r="AQ24" s="51" t="n"/>
      <c r="AR24" s="51" t="n"/>
      <c r="AS24" s="51" t="n"/>
      <c r="AT24" s="51" t="n"/>
      <c r="AU24" s="51" t="n"/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  <c r="AP25" s="51" t="n"/>
      <c r="AQ25" s="51" t="n"/>
      <c r="AR25" s="51" t="n"/>
      <c r="AS25" s="51" t="n"/>
      <c r="AT25" s="51" t="n"/>
      <c r="AU25" s="51" t="n"/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Scripted</t>
        </is>
      </c>
      <c r="I26" s="10" t="n">
        <v>72</v>
      </c>
      <c r="J26" s="10" t="inlineStr">
        <is>
          <t>Weak</t>
        </is>
      </c>
      <c r="K26" s="10" t="inlineStr">
        <is>
          <t>stroop-ink</t>
        </is>
      </c>
      <c r="L26" s="11" t="n"/>
      <c r="M26" s="5">
        <f>IF(L26="","",TEXT(L26,"ddd"))</f>
        <v/>
      </c>
      <c r="N26" s="10" t="inlineStr">
        <is>
          <t>challenge</t>
        </is>
      </c>
      <c r="O26" s="10" t="n"/>
      <c r="P26" s="10" t="n"/>
      <c r="Q26" s="10" t="inlineStr">
        <is>
          <t>Stroop, J. R. (1935). Studies of interference in serial verbal reactions. J Exp Psychol 18:643-662 (Exp. 2, 100 students: ~110 s vs ~63 s per sheet, +74%); MacLeod (1991) review</t>
        </is>
      </c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inlineStr">
        <is>
          <t>Story format demo (2026-10-16). Held from posting until 2026-11-01.</t>
        </is>
      </c>
      <c r="AO26" s="10" t="inlineStr">
        <is>
          <t>game-show</t>
        </is>
      </c>
      <c r="AP26" s="51" t="inlineStr">
        <is>
          <t>story</t>
        </is>
      </c>
      <c r="AQ26" s="51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51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51" t="inlineStr">
        <is>
          <t>White page, ink #210B3D, violet #7624CE, hot pink, cyan, neon green highlight; Barlow Condensed headlines, Barlow captions</t>
        </is>
      </c>
      <c r="AT26" s="51" t="inlineStr">
        <is>
          <t>the One More protagonist (curly hair, violet jacket)</t>
        </is>
      </c>
      <c r="AU26" s="51" t="inlineStr">
        <is>
          <t>pop as each word appears, ticks while trying, a lightning zap when ink and word clash, chime-bright on +74%, three wooden taps at the end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  <c r="AP27" s="51" t="n"/>
      <c r="AQ27" s="51" t="n"/>
      <c r="AR27" s="51" t="n"/>
      <c r="AS27" s="51" t="n"/>
      <c r="AT27" s="51" t="n"/>
      <c r="AU27" s="51" t="n"/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  <c r="AP28" s="51" t="n"/>
      <c r="AQ28" s="51" t="n"/>
      <c r="AR28" s="51" t="n"/>
      <c r="AS28" s="51" t="n"/>
      <c r="AT28" s="51" t="n"/>
      <c r="AU28" s="51" t="n"/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Vetoed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inlineStr">
        <is>
          <t>Cancelled in Buffer 2026-10-15 before posting: Shivam retired the 8-bit avatar format (Ted type 2 only)</t>
        </is>
      </c>
      <c r="AO29" s="10" t="inlineStr">
        <is>
          <t>terminal</t>
        </is>
      </c>
      <c r="AP29" s="51" t="n"/>
      <c r="AQ29" s="51" t="n"/>
      <c r="AR29" s="51" t="n"/>
      <c r="AS29" s="51" t="n"/>
      <c r="AT29" s="51" t="n"/>
      <c r="AU29" s="51" t="n"/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Scripted</t>
        </is>
      </c>
      <c r="I30" s="10" t="n">
        <v>23</v>
      </c>
      <c r="J30" s="10" t="inlineStr">
        <is>
          <t>Strong</t>
        </is>
      </c>
      <c r="K30" s="10" t="inlineStr">
        <is>
          <t>cocktail-party</t>
        </is>
      </c>
      <c r="L30" s="11" t="n"/>
      <c r="M30" s="5">
        <f>IF(L30="","",TEXT(L30,"ddd"))</f>
        <v/>
      </c>
      <c r="N30" s="10" t="inlineStr">
        <is>
          <t>thoughts</t>
        </is>
      </c>
      <c r="O30" s="10" t="n"/>
      <c r="P30" s="10" t="n"/>
      <c r="Q30" s="10" t="inlineStr">
        <is>
          <t>Moray 1959, QJEP 11(1):56-60; words repeated 35x in rejected ear not recalled, ~1/3 noticed own name (cf. Wood &amp; Cowan 1995)</t>
        </is>
      </c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ted2</t>
        </is>
      </c>
      <c r="AP30" s="51" t="n"/>
      <c r="AQ30" s="51" t="n"/>
      <c r="AR30" s="51" t="n"/>
      <c r="AS30" s="51" t="n"/>
      <c r="AT30" s="51" t="n"/>
      <c r="AU30" s="51" t="n"/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  <c r="AP31" s="51" t="n"/>
      <c r="AQ31" s="51" t="n"/>
      <c r="AR31" s="51" t="n"/>
      <c r="AS31" s="51" t="n"/>
      <c r="AT31" s="51" t="n"/>
      <c r="AU31" s="51" t="n"/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  <c r="AP32" s="51" t="n"/>
      <c r="AQ32" s="51" t="n"/>
      <c r="AR32" s="51" t="n"/>
      <c r="AS32" s="51" t="n"/>
      <c r="AT32" s="51" t="n"/>
      <c r="AU32" s="51" t="n"/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  <c r="AP33" s="51" t="n"/>
      <c r="AQ33" s="51" t="n"/>
      <c r="AR33" s="51" t="n"/>
      <c r="AS33" s="51" t="n"/>
      <c r="AT33" s="51" t="n"/>
      <c r="AU33" s="51" t="n"/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  <c r="AP34" s="51" t="n"/>
      <c r="AQ34" s="51" t="n"/>
      <c r="AR34" s="51" t="n"/>
      <c r="AS34" s="51" t="n"/>
      <c r="AT34" s="51" t="n"/>
      <c r="AU34" s="51" t="n"/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  <c r="AP35" s="51" t="n"/>
      <c r="AQ35" s="51" t="n"/>
      <c r="AR35" s="51" t="n"/>
      <c r="AS35" s="51" t="n"/>
      <c r="AT35" s="51" t="n"/>
      <c r="AU35" s="51" t="n"/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  <c r="AP36" s="51" t="n"/>
      <c r="AQ36" s="51" t="n"/>
      <c r="AR36" s="51" t="n"/>
      <c r="AS36" s="51" t="n"/>
      <c r="AT36" s="51" t="n"/>
      <c r="AU36" s="51" t="n"/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  <c r="AP37" s="51" t="n"/>
      <c r="AQ37" s="51" t="n"/>
      <c r="AR37" s="51" t="n"/>
      <c r="AS37" s="51" t="n"/>
      <c r="AT37" s="51" t="n"/>
      <c r="AU37" s="51" t="n"/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  <c r="AP38" s="51" t="n"/>
      <c r="AQ38" s="51" t="n"/>
      <c r="AR38" s="51" t="n"/>
      <c r="AS38" s="51" t="n"/>
      <c r="AT38" s="51" t="n"/>
      <c r="AU38" s="51" t="n"/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  <c r="AP39" s="51" t="n"/>
      <c r="AQ39" s="51" t="n"/>
      <c r="AR39" s="51" t="n"/>
      <c r="AS39" s="51" t="n"/>
      <c r="AT39" s="51" t="n"/>
      <c r="AU39" s="51" t="n"/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Scheduled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>
        <v>46311</v>
      </c>
      <c r="M40" s="5">
        <f>IF(L40="","",TEXT(L40,"ddd"))</f>
        <v/>
      </c>
      <c r="N40" s="10" t="n"/>
      <c r="O40" s="10" t="n">
        <v>30</v>
      </c>
      <c r="P40" s="10" t="inlineStr">
        <is>
          <t>Why You Always Choose Now Over Later #shorts</t>
        </is>
      </c>
      <c r="Q40" s="10" t="inlineStr">
        <is>
          <t>Read &amp; van Leeuwen (1998), Organizational Behavior and Human Decision Processes 76(2)</t>
        </is>
      </c>
      <c r="R40" s="10" t="inlineStr">
        <is>
          <t>buffer:youtube=6ad131005063ce0336b55163;tiktok=6ad13101b4510d553d75dea0</t>
        </is>
      </c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ted2</t>
        </is>
      </c>
      <c r="AP40" s="51" t="n"/>
      <c r="AQ40" s="51" t="n"/>
      <c r="AR40" s="51" t="n"/>
      <c r="AS40" s="51" t="n"/>
      <c r="AT40" s="51" t="n"/>
      <c r="AU40" s="51" t="n"/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Scripted</t>
        </is>
      </c>
      <c r="I41" s="10" t="n">
        <v>24</v>
      </c>
      <c r="J41" s="10" t="inlineStr">
        <is>
          <t>Strong</t>
        </is>
      </c>
      <c r="K41" s="10" t="inlineStr">
        <is>
          <t>procrastination-feelings</t>
        </is>
      </c>
      <c r="L41" s="11" t="n"/>
      <c r="M41" s="5">
        <f>IF(L41="","",TEXT(L41,"ddd"))</f>
        <v/>
      </c>
      <c r="N41" s="10" t="inlineStr">
        <is>
          <t>thoughts</t>
        </is>
      </c>
      <c r="O41" s="10" t="n"/>
      <c r="P41" s="10" t="n"/>
      <c r="Q41" s="10" t="inlineStr">
        <is>
          <t>Tice &amp; Baumeister 1997, Psychological Science 8(6):454-458; less stress early, more stress/illness late, lower grades; Sirois &amp; Pychyl 2013 mood repair</t>
        </is>
      </c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ted2</t>
        </is>
      </c>
      <c r="AP41" s="51" t="n"/>
      <c r="AQ41" s="51" t="n"/>
      <c r="AR41" s="51" t="n"/>
      <c r="AS41" s="51" t="n"/>
      <c r="AT41" s="51" t="n"/>
      <c r="AU41" s="51" t="n"/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Scripted</t>
        </is>
      </c>
      <c r="I42" s="10" t="n">
        <v>33</v>
      </c>
      <c r="J42" s="10" t="inlineStr">
        <is>
          <t>Strong</t>
        </is>
      </c>
      <c r="K42" s="10" t="inlineStr">
        <is>
          <t>immediate-rewards</t>
        </is>
      </c>
      <c r="L42" s="11" t="n"/>
      <c r="M42" s="5">
        <f>IF(L42="","",TEXT(L42,"ddd"))</f>
        <v/>
      </c>
      <c r="N42" s="10" t="inlineStr">
        <is>
          <t>thoughts</t>
        </is>
      </c>
      <c r="O42" s="10" t="n"/>
      <c r="P42" s="10" t="n"/>
      <c r="Q42" s="10" t="inlineStr">
        <is>
          <t>Woolley &amp; Fishbach 2018, JPSP 114(6):877-890; immediate vs delayed rewards increase interest/persistence after reward ends</t>
        </is>
      </c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ted2</t>
        </is>
      </c>
      <c r="AP42" s="51" t="n"/>
      <c r="AQ42" s="51" t="n"/>
      <c r="AR42" s="51" t="n"/>
      <c r="AS42" s="51" t="n"/>
      <c r="AT42" s="51" t="n"/>
      <c r="AU42" s="51" t="n"/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  <c r="AP43" s="51" t="n"/>
      <c r="AQ43" s="51" t="n"/>
      <c r="AR43" s="51" t="n"/>
      <c r="AS43" s="51" t="n"/>
      <c r="AT43" s="51" t="n"/>
      <c r="AU43" s="51" t="n"/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  <c r="AP44" s="51" t="n"/>
      <c r="AQ44" s="51" t="n"/>
      <c r="AR44" s="51" t="n"/>
      <c r="AS44" s="51" t="n"/>
      <c r="AT44" s="51" t="n"/>
      <c r="AU44" s="51" t="n"/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  <c r="AP45" s="51" t="n"/>
      <c r="AQ45" s="51" t="n"/>
      <c r="AR45" s="51" t="n"/>
      <c r="AS45" s="51" t="n"/>
      <c r="AT45" s="51" t="n"/>
      <c r="AU45" s="51" t="n"/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  <c r="AP46" s="51" t="n"/>
      <c r="AQ46" s="51" t="n"/>
      <c r="AR46" s="51" t="n"/>
      <c r="AS46" s="51" t="n"/>
      <c r="AT46" s="51" t="n"/>
      <c r="AU46" s="51" t="n"/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  <c r="AP47" s="51" t="n"/>
      <c r="AQ47" s="51" t="n"/>
      <c r="AR47" s="51" t="n"/>
      <c r="AS47" s="51" t="n"/>
      <c r="AT47" s="51" t="n"/>
      <c r="AU47" s="51" t="n"/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Scheduled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>
        <v>46309</v>
      </c>
      <c r="M48" s="5">
        <f>IF(L48="","",TEXT(L48,"ddd"))</f>
        <v/>
      </c>
      <c r="N48" s="10" t="n"/>
      <c r="O48" s="10" t="n">
        <v>27</v>
      </c>
      <c r="P48" s="10" t="inlineStr">
        <is>
          <t>Say These 3 Words Before Anything Scary #shorts</t>
        </is>
      </c>
      <c r="Q48" s="10" t="inlineStr">
        <is>
          <t>Brooks (2014), Journal of Experimental Psychology: General 143(3)</t>
        </is>
      </c>
      <c r="R48" s="10" t="inlineStr">
        <is>
          <t>buffer:youtube=6ad04e620d0df6a75bc21aba;instagram=6ad04e6278f377d888aeff2b;tiktok=6ad04e63e09e6bdb27e11075</t>
        </is>
      </c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  <c r="AP48" s="51" t="n"/>
      <c r="AQ48" s="51" t="n"/>
      <c r="AR48" s="51" t="n"/>
      <c r="AS48" s="51" t="n"/>
      <c r="AT48" s="51" t="n"/>
      <c r="AU48" s="51" t="n"/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  <c r="AP49" s="51" t="n"/>
      <c r="AQ49" s="51" t="n"/>
      <c r="AR49" s="51" t="n"/>
      <c r="AS49" s="51" t="n"/>
      <c r="AT49" s="51" t="n"/>
      <c r="AU49" s="51" t="n"/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  <c r="AP50" s="51" t="n"/>
      <c r="AQ50" s="51" t="n"/>
      <c r="AR50" s="51" t="n"/>
      <c r="AS50" s="51" t="n"/>
      <c r="AT50" s="51" t="n"/>
      <c r="AU50" s="51" t="n"/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  <c r="AP51" s="51" t="n"/>
      <c r="AQ51" s="51" t="n"/>
      <c r="AR51" s="51" t="n"/>
      <c r="AS51" s="51" t="n"/>
      <c r="AT51" s="51" t="n"/>
      <c r="AU51" s="51" t="n"/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Scripted</t>
        </is>
      </c>
      <c r="I52" s="10" t="n">
        <v>25</v>
      </c>
      <c r="J52" s="10" t="inlineStr">
        <is>
          <t>Strong</t>
        </is>
      </c>
      <c r="K52" s="10" t="inlineStr">
        <is>
          <t>suppression</t>
        </is>
      </c>
      <c r="L52" s="11" t="n"/>
      <c r="M52" s="5">
        <f>IF(L52="","",TEXT(L52,"ddd"))</f>
        <v/>
      </c>
      <c r="N52" s="10" t="inlineStr">
        <is>
          <t>eyes</t>
        </is>
      </c>
      <c r="O52" s="10" t="n"/>
      <c r="P52" s="10" t="n"/>
      <c r="Q52" s="10" t="inlineStr">
        <is>
          <t>Butler et al. 2003, Emotion 3(1):48-67; suppression raised partners' blood pressure, lowered rapport/affiliation</t>
        </is>
      </c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ted2</t>
        </is>
      </c>
      <c r="AP52" s="51" t="n"/>
      <c r="AQ52" s="51" t="n"/>
      <c r="AR52" s="51" t="n"/>
      <c r="AS52" s="51" t="n"/>
      <c r="AT52" s="51" t="n"/>
      <c r="AU52" s="51" t="n"/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  <c r="AP53" s="51" t="n"/>
      <c r="AQ53" s="51" t="n"/>
      <c r="AR53" s="51" t="n"/>
      <c r="AS53" s="51" t="n"/>
      <c r="AT53" s="51" t="n"/>
      <c r="AU53" s="51" t="n"/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  <c r="AP54" s="51" t="n"/>
      <c r="AQ54" s="51" t="n"/>
      <c r="AR54" s="51" t="n"/>
      <c r="AS54" s="51" t="n"/>
      <c r="AT54" s="51" t="n"/>
      <c r="AU54" s="51" t="n"/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  <c r="AP55" s="51" t="n"/>
      <c r="AQ55" s="51" t="n"/>
      <c r="AR55" s="51" t="n"/>
      <c r="AS55" s="51" t="n"/>
      <c r="AT55" s="51" t="n"/>
      <c r="AU55" s="51" t="n"/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  <c r="AP56" s="51" t="n"/>
      <c r="AQ56" s="51" t="n"/>
      <c r="AR56" s="51" t="n"/>
      <c r="AS56" s="51" t="n"/>
      <c r="AT56" s="51" t="n"/>
      <c r="AU56" s="51" t="n"/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  <c r="AP57" s="51" t="n"/>
      <c r="AQ57" s="51" t="n"/>
      <c r="AR57" s="51" t="n"/>
      <c r="AS57" s="51" t="n"/>
      <c r="AT57" s="51" t="n"/>
      <c r="AU57" s="51" t="n"/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  <c r="AP58" s="51" t="n"/>
      <c r="AQ58" s="51" t="n"/>
      <c r="AR58" s="51" t="n"/>
      <c r="AS58" s="51" t="n"/>
      <c r="AT58" s="51" t="n"/>
      <c r="AU58" s="51" t="n"/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  <c r="AP59" s="51" t="n"/>
      <c r="AQ59" s="51" t="n"/>
      <c r="AR59" s="51" t="n"/>
      <c r="AS59" s="51" t="n"/>
      <c r="AT59" s="51" t="n"/>
      <c r="AU59" s="51" t="n"/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  <c r="AP60" s="51" t="n"/>
      <c r="AQ60" s="51" t="n"/>
      <c r="AR60" s="51" t="n"/>
      <c r="AS60" s="51" t="n"/>
      <c r="AT60" s="51" t="n"/>
      <c r="AU60" s="51" t="n"/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  <c r="AP61" s="51" t="n"/>
      <c r="AQ61" s="51" t="n"/>
      <c r="AR61" s="51" t="n"/>
      <c r="AS61" s="51" t="n"/>
      <c r="AT61" s="51" t="n"/>
      <c r="AU61" s="51" t="n"/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  <c r="AP62" s="51" t="n"/>
      <c r="AQ62" s="51" t="n"/>
      <c r="AR62" s="51" t="n"/>
      <c r="AS62" s="51" t="n"/>
      <c r="AT62" s="51" t="n"/>
      <c r="AU62" s="51" t="n"/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  <c r="AP63" s="51" t="n"/>
      <c r="AQ63" s="51" t="n"/>
      <c r="AR63" s="51" t="n"/>
      <c r="AS63" s="51" t="n"/>
      <c r="AT63" s="51" t="n"/>
      <c r="AU63" s="51" t="n"/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Scheduled</t>
        </is>
      </c>
      <c r="I64" s="10" t="n">
        <v>16</v>
      </c>
      <c r="J64" s="10" t="inlineStr">
        <is>
          <t>Strong</t>
        </is>
      </c>
      <c r="K64" s="10" t="inlineStr">
        <is>
          <t>mere-exposure</t>
        </is>
      </c>
      <c r="L64" s="11" t="n">
        <v>46311</v>
      </c>
      <c r="M64" s="5">
        <f>IF(L64="","",TEXT(L64,"ddd"))</f>
        <v/>
      </c>
      <c r="N64" s="10" t="n"/>
      <c r="O64" s="10" t="n">
        <v>31</v>
      </c>
      <c r="P64" s="10" t="inlineStr">
        <is>
          <t>Why People Like You More Without Knowing Why #shorts</t>
        </is>
      </c>
      <c r="Q64" s="10" t="inlineStr">
        <is>
          <t>Moreland &amp; Beach 1992, J Exp Social Psych 28(3):255-276; women attended 0/5/10/15 lectures, rated more attractive/likeable with more exposure</t>
        </is>
      </c>
      <c r="R64" s="10" t="inlineStr">
        <is>
          <t>buffer:youtube=6ad131032aec0f0a6da4b49c;tiktok=6ad131044fd04e4eb3ab0df1</t>
        </is>
      </c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ted2</t>
        </is>
      </c>
      <c r="AP64" s="51" t="n"/>
      <c r="AQ64" s="51" t="n"/>
      <c r="AR64" s="51" t="n"/>
      <c r="AS64" s="51" t="n"/>
      <c r="AT64" s="51" t="n"/>
      <c r="AU64" s="51" t="n"/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  <c r="AP65" s="51" t="n"/>
      <c r="AQ65" s="51" t="n"/>
      <c r="AR65" s="51" t="n"/>
      <c r="AS65" s="51" t="n"/>
      <c r="AT65" s="51" t="n"/>
      <c r="AU65" s="51" t="n"/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  <c r="AP66" s="51" t="n"/>
      <c r="AQ66" s="51" t="n"/>
      <c r="AR66" s="51" t="n"/>
      <c r="AS66" s="51" t="n"/>
      <c r="AT66" s="51" t="n"/>
      <c r="AU66" s="51" t="n"/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Scheduled</t>
        </is>
      </c>
      <c r="I67" s="10" t="n">
        <v>17</v>
      </c>
      <c r="J67" s="10" t="inlineStr">
        <is>
          <t>Strong</t>
        </is>
      </c>
      <c r="K67" s="10" t="inlineStr">
        <is>
          <t>informational-influence</t>
        </is>
      </c>
      <c r="L67" s="11" t="n">
        <v>46311</v>
      </c>
      <c r="M67" s="5">
        <f>IF(L67="","",TEXT(L67,"ddd"))</f>
        <v/>
      </c>
      <c r="N67" s="10" t="n"/>
      <c r="O67" s="10" t="n">
        <v>32</v>
      </c>
      <c r="P67" s="10" t="inlineStr">
        <is>
          <t>Why You Copy Others When You're Unsure #shorts</t>
        </is>
      </c>
      <c r="Q67" s="10" t="inlineStr">
        <is>
          <t>Sherif 1935, Archives of Psychology 27(187); autokinetic effect, group estimates converge and persist when tested alone</t>
        </is>
      </c>
      <c r="R67" s="10" t="inlineStr">
        <is>
          <t>buffer:youtube=6ad1310584453eae6f32ec7f;tiktok=6ad131064fd04e4eb3ab0eb3</t>
        </is>
      </c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ted2</t>
        </is>
      </c>
      <c r="AP67" s="51" t="n"/>
      <c r="AQ67" s="51" t="n"/>
      <c r="AR67" s="51" t="n"/>
      <c r="AS67" s="51" t="n"/>
      <c r="AT67" s="51" t="n"/>
      <c r="AU67" s="51" t="n"/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Scripted</t>
        </is>
      </c>
      <c r="I68" s="10" t="n">
        <v>26</v>
      </c>
      <c r="J68" s="10" t="inlineStr">
        <is>
          <t>Strong</t>
        </is>
      </c>
      <c r="K68" s="10" t="inlineStr">
        <is>
          <t>normative-influence</t>
        </is>
      </c>
      <c r="L68" s="11" t="n"/>
      <c r="M68" s="5">
        <f>IF(L68="","",TEXT(L68,"ddd"))</f>
        <v/>
      </c>
      <c r="N68" s="10" t="inlineStr">
        <is>
          <t>eyes</t>
        </is>
      </c>
      <c r="O68" s="10" t="n"/>
      <c r="P68" s="10" t="n"/>
      <c r="Q68" s="10" t="inlineStr">
        <is>
          <t>Asch 1956, Psychological Monographs 70(9); written private answers cut conformity sharply (cf. Deutsch &amp; Gerard 1955)</t>
        </is>
      </c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ted2</t>
        </is>
      </c>
      <c r="AP68" s="51" t="n"/>
      <c r="AQ68" s="51" t="n"/>
      <c r="AR68" s="51" t="n"/>
      <c r="AS68" s="51" t="n"/>
      <c r="AT68" s="51" t="n"/>
      <c r="AU68" s="51" t="n"/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Scripted</t>
        </is>
      </c>
      <c r="I69" s="10" t="n">
        <v>34</v>
      </c>
      <c r="J69" s="10" t="inlineStr">
        <is>
          <t>Strong</t>
        </is>
      </c>
      <c r="K69" s="10" t="inlineStr">
        <is>
          <t>social-proof</t>
        </is>
      </c>
      <c r="L69" s="11" t="n"/>
      <c r="M69" s="5">
        <f>IF(L69="","",TEXT(L69,"ddd"))</f>
        <v/>
      </c>
      <c r="N69" s="10" t="inlineStr">
        <is>
          <t>eyes</t>
        </is>
      </c>
      <c r="O69" s="10" t="n"/>
      <c r="P69" s="10" t="n"/>
      <c r="Q69" s="10" t="inlineStr">
        <is>
          <t>Goldstein, Cialdini &amp; Griskevicius 2008, J Consumer Research 35(3):472-482; towel reuse 35% standard, 44% descriptive norm, 49% same-room norm</t>
        </is>
      </c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ted2</t>
        </is>
      </c>
      <c r="AP69" s="51" t="n"/>
      <c r="AQ69" s="51" t="n"/>
      <c r="AR69" s="51" t="n"/>
      <c r="AS69" s="51" t="n"/>
      <c r="AT69" s="51" t="n"/>
      <c r="AU69" s="51" t="n"/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Scripted</t>
        </is>
      </c>
      <c r="I70" s="10" t="n">
        <v>41</v>
      </c>
      <c r="J70" s="10" t="inlineStr">
        <is>
          <t>Strong</t>
        </is>
      </c>
      <c r="K70" s="10" t="inlineStr">
        <is>
          <t>bystander-effect</t>
        </is>
      </c>
      <c r="L70" s="11" t="n"/>
      <c r="M70" s="5">
        <f>IF(L70="","",TEXT(L70,"ddd"))</f>
        <v/>
      </c>
      <c r="N70" s="10" t="inlineStr">
        <is>
          <t>eyes</t>
        </is>
      </c>
      <c r="O70" s="10" t="n"/>
      <c r="P70" s="10" t="n"/>
      <c r="Q70" s="10" t="inlineStr">
        <is>
          <t>Darley &amp; Latane 1968, JPSP 8(4):377-383; alone 85% helped before seizure ended vs 31% with four others</t>
        </is>
      </c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ted2</t>
        </is>
      </c>
      <c r="AP70" s="51" t="n"/>
      <c r="AQ70" s="51" t="n"/>
      <c r="AR70" s="51" t="n"/>
      <c r="AS70" s="51" t="n"/>
      <c r="AT70" s="51" t="n"/>
      <c r="AU70" s="51" t="n"/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  <c r="AP71" s="51" t="n"/>
      <c r="AQ71" s="51" t="n"/>
      <c r="AR71" s="51" t="n"/>
      <c r="AS71" s="51" t="n"/>
      <c r="AT71" s="51" t="n"/>
      <c r="AU71" s="51" t="n"/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  <c r="AP72" s="51" t="n"/>
      <c r="AQ72" s="51" t="n"/>
      <c r="AR72" s="51" t="n"/>
      <c r="AS72" s="51" t="n"/>
      <c r="AT72" s="51" t="n"/>
      <c r="AU72" s="51" t="n"/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  <c r="AP73" s="51" t="n"/>
      <c r="AQ73" s="51" t="n"/>
      <c r="AR73" s="51" t="n"/>
      <c r="AS73" s="51" t="n"/>
      <c r="AT73" s="51" t="n"/>
      <c r="AU73" s="51" t="n"/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  <c r="AP74" s="51" t="n"/>
      <c r="AQ74" s="51" t="n"/>
      <c r="AR74" s="51" t="n"/>
      <c r="AS74" s="51" t="n"/>
      <c r="AT74" s="51" t="n"/>
      <c r="AU74" s="51" t="n"/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  <c r="AP75" s="51" t="n"/>
      <c r="AQ75" s="51" t="n"/>
      <c r="AR75" s="51" t="n"/>
      <c r="AS75" s="51" t="n"/>
      <c r="AT75" s="51" t="n"/>
      <c r="AU75" s="51" t="n"/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  <c r="AP76" s="51" t="n"/>
      <c r="AQ76" s="51" t="n"/>
      <c r="AR76" s="51" t="n"/>
      <c r="AS76" s="51" t="n"/>
      <c r="AT76" s="51" t="n"/>
      <c r="AU76" s="51" t="n"/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Scheduled</t>
        </is>
      </c>
      <c r="I77" s="10" t="n">
        <v>18</v>
      </c>
      <c r="J77" s="10" t="inlineStr">
        <is>
          <t>Strong</t>
        </is>
      </c>
      <c r="K77" s="10" t="inlineStr">
        <is>
          <t>better-than-average</t>
        </is>
      </c>
      <c r="L77" s="11" t="n">
        <v>46311</v>
      </c>
      <c r="M77" s="5">
        <f>IF(L77="","",TEXT(L77,"ddd"))</f>
        <v/>
      </c>
      <c r="N77" s="10" t="n"/>
      <c r="O77" s="10" t="n">
        <v>31</v>
      </c>
      <c r="P77" s="10" t="inlineStr">
        <is>
          <t>93% Rated Their Driving Above Average. You? #shorts</t>
        </is>
      </c>
      <c r="Q77" s="10" t="inlineStr">
        <is>
          <t>Svenson 1981, Acta Psychologica 47(2):143-148; 93% US / 69% Swedish students rated driving skill above median</t>
        </is>
      </c>
      <c r="R77" s="10" t="inlineStr">
        <is>
          <t>buffer:youtube=6ad131084fd04e4eb3ab0f47;tiktok=6ad13108b4510d553d75e196</t>
        </is>
      </c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ted2</t>
        </is>
      </c>
      <c r="AP77" s="51" t="n"/>
      <c r="AQ77" s="51" t="n"/>
      <c r="AR77" s="51" t="n"/>
      <c r="AS77" s="51" t="n"/>
      <c r="AT77" s="51" t="n"/>
      <c r="AU77" s="51" t="n"/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Scripted</t>
        </is>
      </c>
      <c r="I78" s="10" t="n">
        <v>27</v>
      </c>
      <c r="J78" s="10" t="inlineStr">
        <is>
          <t>Strong</t>
        </is>
      </c>
      <c r="K78" s="10" t="inlineStr">
        <is>
          <t>impostor-feelings</t>
        </is>
      </c>
      <c r="L78" s="11" t="n"/>
      <c r="M78" s="5">
        <f>IF(L78="","",TEXT(L78,"ddd"))</f>
        <v/>
      </c>
      <c r="N78" s="10" t="inlineStr">
        <is>
          <t>thoughts</t>
        </is>
      </c>
      <c r="O78" s="10" t="n"/>
      <c r="P78" s="10" t="n"/>
      <c r="Q78" s="10" t="inlineStr">
        <is>
          <t>Clance &amp; Imes 1978, Psychotherapy 15(3):241-247 (150+ high-achieving women); Bravata et al. 2020 JGIM review, 62 studies, 9-82%</t>
        </is>
      </c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ted2</t>
        </is>
      </c>
      <c r="AP78" s="51" t="n"/>
      <c r="AQ78" s="51" t="n"/>
      <c r="AR78" s="51" t="n"/>
      <c r="AS78" s="51" t="n"/>
      <c r="AT78" s="51" t="n"/>
      <c r="AU78" s="51" t="n"/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  <c r="AP79" s="51" t="n"/>
      <c r="AQ79" s="51" t="n"/>
      <c r="AR79" s="51" t="n"/>
      <c r="AS79" s="51" t="n"/>
      <c r="AT79" s="51" t="n"/>
      <c r="AU79" s="51" t="n"/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  <c r="AP80" s="51" t="n"/>
      <c r="AQ80" s="51" t="n"/>
      <c r="AR80" s="51" t="n"/>
      <c r="AS80" s="51" t="n"/>
      <c r="AT80" s="51" t="n"/>
      <c r="AU80" s="51" t="n"/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  <c r="AP81" s="51" t="n"/>
      <c r="AQ81" s="51" t="n"/>
      <c r="AR81" s="51" t="n"/>
      <c r="AS81" s="51" t="n"/>
      <c r="AT81" s="51" t="n"/>
      <c r="AU81" s="51" t="n"/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  <c r="AP82" s="51" t="n"/>
      <c r="AQ82" s="51" t="n"/>
      <c r="AR82" s="51" t="n"/>
      <c r="AS82" s="51" t="n"/>
      <c r="AT82" s="51" t="n"/>
      <c r="AU82" s="51" t="n"/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  <c r="AP83" s="51" t="n"/>
      <c r="AQ83" s="51" t="n"/>
      <c r="AR83" s="51" t="n"/>
      <c r="AS83" s="51" t="n"/>
      <c r="AT83" s="51" t="n"/>
      <c r="AU83" s="51" t="n"/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  <c r="AP84" s="51" t="n"/>
      <c r="AQ84" s="51" t="n"/>
      <c r="AR84" s="51" t="n"/>
      <c r="AS84" s="51" t="n"/>
      <c r="AT84" s="51" t="n"/>
      <c r="AU84" s="51" t="n"/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  <c r="AP85" s="51" t="n"/>
      <c r="AQ85" s="51" t="n"/>
      <c r="AR85" s="51" t="n"/>
      <c r="AS85" s="51" t="n"/>
      <c r="AT85" s="51" t="n"/>
      <c r="AU85" s="51" t="n"/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  <c r="AP86" s="51" t="n"/>
      <c r="AQ86" s="51" t="n"/>
      <c r="AR86" s="51" t="n"/>
      <c r="AS86" s="51" t="n"/>
      <c r="AT86" s="51" t="n"/>
      <c r="AU86" s="51" t="n"/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  <c r="AP87" s="51" t="n"/>
      <c r="AQ87" s="51" t="n"/>
      <c r="AR87" s="51" t="n"/>
      <c r="AS87" s="51" t="n"/>
      <c r="AT87" s="51" t="n"/>
      <c r="AU87" s="51" t="n"/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Scheduled</t>
        </is>
      </c>
      <c r="I88" s="10" t="n">
        <v>19</v>
      </c>
      <c r="J88" s="10" t="inlineStr">
        <is>
          <t>Strong</t>
        </is>
      </c>
      <c r="K88" s="10" t="inlineStr">
        <is>
          <t>likes-feedback</t>
        </is>
      </c>
      <c r="L88" s="11" t="n">
        <v>46311</v>
      </c>
      <c r="M88" s="5">
        <f>IF(L88="","",TEXT(L88,"ddd"))</f>
        <v/>
      </c>
      <c r="N88" s="10" t="n"/>
      <c r="O88" s="10" t="n">
        <v>32</v>
      </c>
      <c r="P88" s="10" t="inlineStr">
        <is>
          <t>Would You Still Post It If Likes Were Hidden? #shorts</t>
        </is>
      </c>
      <c r="Q88" s="10" t="inlineStr">
        <is>
          <t>Sherman et al. 2016, Psychological Science 27(7):1027-1035; n=32 teens 13-18, many-like photos liked more, NAcc activity for own photos with many likes</t>
        </is>
      </c>
      <c r="R88" s="10" t="inlineStr">
        <is>
          <t>buffer:youtube=6ad1310ab4510d553d75e22a;tiktok=6ad1310b84453eae6f32edcf</t>
        </is>
      </c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ted2</t>
        </is>
      </c>
      <c r="AP88" s="51" t="n"/>
      <c r="AQ88" s="51" t="n"/>
      <c r="AR88" s="51" t="n"/>
      <c r="AS88" s="51" t="n"/>
      <c r="AT88" s="51" t="n"/>
      <c r="AU88" s="51" t="n"/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Scripted</t>
        </is>
      </c>
      <c r="I89" s="10" t="n">
        <v>28</v>
      </c>
      <c r="J89" s="10" t="inlineStr">
        <is>
          <t>Strong</t>
        </is>
      </c>
      <c r="K89" s="10" t="inlineStr">
        <is>
          <t>highlight-reel</t>
        </is>
      </c>
      <c r="L89" s="11" t="n"/>
      <c r="M89" s="5">
        <f>IF(L89="","",TEXT(L89,"ddd"))</f>
        <v/>
      </c>
      <c r="N89" s="10" t="inlineStr">
        <is>
          <t>eyes</t>
        </is>
      </c>
      <c r="O89" s="10" t="n"/>
      <c r="P89" s="10" t="n"/>
      <c r="Q89" s="10" t="inlineStr">
        <is>
          <t>Jordan et al. 2011, PSPB 37(1):120-135; peers' negative emotions underestimated, positive overestimated; linked to loneliness, lower life satisfaction</t>
        </is>
      </c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ted2</t>
        </is>
      </c>
      <c r="AP89" s="51" t="n"/>
      <c r="AQ89" s="51" t="n"/>
      <c r="AR89" s="51" t="n"/>
      <c r="AS89" s="51" t="n"/>
      <c r="AT89" s="51" t="n"/>
      <c r="AU89" s="51" t="n"/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Scripted</t>
        </is>
      </c>
      <c r="I90" s="10" t="n">
        <v>36</v>
      </c>
      <c r="J90" s="10" t="inlineStr">
        <is>
          <t>Strong</t>
        </is>
      </c>
      <c r="K90" s="10" t="inlineStr">
        <is>
          <t>fomo</t>
        </is>
      </c>
      <c r="L90" s="11" t="n"/>
      <c r="M90" s="5">
        <f>IF(L90="","",TEXT(L90,"ddd"))</f>
        <v/>
      </c>
      <c r="N90" s="10" t="inlineStr">
        <is>
          <t>eyes</t>
        </is>
      </c>
      <c r="O90" s="10" t="n"/>
      <c r="P90" s="10" t="n"/>
      <c r="Q90" s="10" t="inlineStr">
        <is>
          <t>Przybylski et al. 2013, Computers in Human Behavior 29(4):1841-1848; FOMO correlates w/ lower mood &amp; life satisfaction, social media in lectures/driving</t>
        </is>
      </c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ted2</t>
        </is>
      </c>
      <c r="AP90" s="51" t="n"/>
      <c r="AQ90" s="51" t="n"/>
      <c r="AR90" s="51" t="n"/>
      <c r="AS90" s="51" t="n"/>
      <c r="AT90" s="51" t="n"/>
      <c r="AU90" s="51" t="n"/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Scripted</t>
        </is>
      </c>
      <c r="I91" s="10" t="n">
        <v>43</v>
      </c>
      <c r="J91" s="10" t="inlineStr">
        <is>
          <t>Strong</t>
        </is>
      </c>
      <c r="K91" s="10" t="inlineStr">
        <is>
          <t>loss-framing</t>
        </is>
      </c>
      <c r="L91" s="11" t="n"/>
      <c r="M91" s="5">
        <f>IF(L91="","",TEXT(L91,"ddd"))</f>
        <v/>
      </c>
      <c r="N91" s="10" t="inlineStr">
        <is>
          <t>thoughts</t>
        </is>
      </c>
      <c r="O91" s="10" t="n"/>
      <c r="P91" s="10" t="n"/>
      <c r="Q91" s="10" t="inlineStr">
        <is>
          <t>Tversky &amp; Kahneman 1981, Science 211(4481):453-458; 200 saved 72% vs 400 die 22%</t>
        </is>
      </c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ted2</t>
        </is>
      </c>
      <c r="AP91" s="51" t="n"/>
      <c r="AQ91" s="51" t="n"/>
      <c r="AR91" s="51" t="n"/>
      <c r="AS91" s="51" t="n"/>
      <c r="AT91" s="51" t="n"/>
      <c r="AU91" s="51" t="n"/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  <c r="AP92" s="51" t="n"/>
      <c r="AQ92" s="51" t="n"/>
      <c r="AR92" s="51" t="n"/>
      <c r="AS92" s="51" t="n"/>
      <c r="AT92" s="51" t="n"/>
      <c r="AU92" s="51" t="n"/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  <c r="AP93" s="51" t="n"/>
      <c r="AQ93" s="51" t="n"/>
      <c r="AR93" s="51" t="n"/>
      <c r="AS93" s="51" t="n"/>
      <c r="AT93" s="51" t="n"/>
      <c r="AU93" s="51" t="n"/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  <c r="AP94" s="51" t="n"/>
      <c r="AQ94" s="51" t="n"/>
      <c r="AR94" s="51" t="n"/>
      <c r="AS94" s="51" t="n"/>
      <c r="AT94" s="51" t="n"/>
      <c r="AU94" s="51" t="n"/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  <c r="AP95" s="51" t="n"/>
      <c r="AQ95" s="51" t="n"/>
      <c r="AR95" s="51" t="n"/>
      <c r="AS95" s="51" t="n"/>
      <c r="AT95" s="51" t="n"/>
      <c r="AU95" s="51" t="n"/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Vetoed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inlineStr">
        <is>
          <t>Cancelled in Buffer 2026-10-15 before posting: Shivam retired the 8-bit avatar format (Ted type 2 only)</t>
        </is>
      </c>
      <c r="AO96" s="10" t="inlineStr">
        <is>
          <t>whiteboard</t>
        </is>
      </c>
      <c r="AP96" s="51" t="n"/>
      <c r="AQ96" s="51" t="n"/>
      <c r="AR96" s="51" t="n"/>
      <c r="AS96" s="51" t="n"/>
      <c r="AT96" s="51" t="n"/>
      <c r="AU96" s="51" t="n"/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Scheduled</t>
        </is>
      </c>
      <c r="I97" s="10" t="n">
        <v>20</v>
      </c>
      <c r="J97" s="10" t="inlineStr">
        <is>
          <t>Strong</t>
        </is>
      </c>
      <c r="K97" s="10" t="inlineStr">
        <is>
          <t>left-right-brain-myth</t>
        </is>
      </c>
      <c r="L97" s="11" t="n">
        <v>46310</v>
      </c>
      <c r="M97" s="5">
        <f>IF(L97="","",TEXT(L97,"ddd"))</f>
        <v/>
      </c>
      <c r="N97" s="10" t="n"/>
      <c r="O97" s="10" t="n">
        <v>34</v>
      </c>
      <c r="P97" s="10" t="inlineStr">
        <is>
          <t>Left-Brained or Right-Brained? 1,000 Brain Scans Say #shorts</t>
        </is>
      </c>
      <c r="Q97" s="10" t="inlineStr">
        <is>
          <t>Nielsen et al. 2013, PLOS ONE 8(8):e71275; 1,011 people aged 7-29, no whole-brain left/right dominance</t>
        </is>
      </c>
      <c r="R97" s="10" t="inlineStr">
        <is>
          <t>buffer:youtube=6ad14ad97998c185a61ca9af;tiktok=6ad14ada5533140b41cadc08</t>
        </is>
      </c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ted2</t>
        </is>
      </c>
      <c r="AP97" s="51" t="n"/>
      <c r="AQ97" s="51" t="n"/>
      <c r="AR97" s="51" t="n"/>
      <c r="AS97" s="51" t="n"/>
      <c r="AT97" s="51" t="n"/>
      <c r="AU97" s="51" t="n"/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Scripted</t>
        </is>
      </c>
      <c r="I98" s="10" t="n">
        <v>29</v>
      </c>
      <c r="J98" s="10" t="inlineStr">
        <is>
          <t>Strong</t>
        </is>
      </c>
      <c r="K98" s="10" t="inlineStr">
        <is>
          <t>ten-percent-myth</t>
        </is>
      </c>
      <c r="L98" s="11" t="n"/>
      <c r="M98" s="5">
        <f>IF(L98="","",TEXT(L98,"ddd"))</f>
        <v/>
      </c>
      <c r="N98" s="10" t="inlineStr">
        <is>
          <t>thoughts</t>
        </is>
      </c>
      <c r="O98" s="10" t="n"/>
      <c r="P98" s="10" t="n"/>
      <c r="Q98" s="10" t="inlineStr">
        <is>
          <t>Beyerstein 1999, in Mind Myths (Della Sala ed.); imaging shows activity across all regions; brain ~2% body weight, ~20% energy</t>
        </is>
      </c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ted2</t>
        </is>
      </c>
      <c r="AP98" s="51" t="n"/>
      <c r="AQ98" s="51" t="n"/>
      <c r="AR98" s="51" t="n"/>
      <c r="AS98" s="51" t="n"/>
      <c r="AT98" s="51" t="n"/>
      <c r="AU98" s="51" t="n"/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Scripted</t>
        </is>
      </c>
      <c r="I99" s="10" t="n">
        <v>37</v>
      </c>
      <c r="J99" s="10" t="inlineStr">
        <is>
          <t>Strong</t>
        </is>
      </c>
      <c r="K99" s="10" t="inlineStr">
        <is>
          <t>body-language-lies</t>
        </is>
      </c>
      <c r="L99" s="11" t="n"/>
      <c r="M99" s="5">
        <f>IF(L99="","",TEXT(L99,"ddd"))</f>
        <v/>
      </c>
      <c r="N99" s="10" t="inlineStr">
        <is>
          <t>eyes</t>
        </is>
      </c>
      <c r="O99" s="10" t="n"/>
      <c r="P99" s="10" t="n"/>
      <c r="Q99" s="10" t="inlineStr">
        <is>
          <t>Bond &amp; DePaulo 2006, PSPR 10(3):214-234; 206 studies, ~24,000 judges, 54% accuracy</t>
        </is>
      </c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ted2</t>
        </is>
      </c>
      <c r="AP99" s="51" t="n"/>
      <c r="AQ99" s="51" t="n"/>
      <c r="AR99" s="51" t="n"/>
      <c r="AS99" s="51" t="n"/>
      <c r="AT99" s="51" t="n"/>
      <c r="AU99" s="51" t="n"/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  <c r="AP100" s="51" t="n"/>
      <c r="AQ100" s="51" t="n"/>
      <c r="AR100" s="51" t="n"/>
      <c r="AS100" s="51" t="n"/>
      <c r="AT100" s="51" t="n"/>
      <c r="AU100" s="51" t="n"/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  <c r="AP101" s="51" t="n"/>
      <c r="AQ101" s="51" t="n"/>
      <c r="AR101" s="51" t="n"/>
      <c r="AS101" s="51" t="n"/>
      <c r="AT101" s="51" t="n"/>
      <c r="AU101" s="51" t="n"/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  <c r="AP102" s="51" t="n"/>
      <c r="AQ102" s="51" t="n"/>
      <c r="AR102" s="51" t="n"/>
      <c r="AS102" s="51" t="n"/>
      <c r="AT102" s="51" t="n"/>
      <c r="AU102" s="51" t="n"/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  <c r="AP103" s="51" t="n"/>
      <c r="AQ103" s="51" t="n"/>
      <c r="AR103" s="51" t="n"/>
      <c r="AS103" s="51" t="n"/>
      <c r="AT103" s="51" t="n"/>
      <c r="AU103" s="51" t="n"/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  <c r="AP104" s="51" t="n"/>
      <c r="AQ104" s="51" t="n"/>
      <c r="AR104" s="51" t="n"/>
      <c r="AS104" s="51" t="n"/>
      <c r="AT104" s="51" t="n"/>
      <c r="AU104" s="51" t="n"/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  <c r="AP105" s="51" t="n"/>
      <c r="AQ105" s="51" t="n"/>
      <c r="AR105" s="51" t="n"/>
      <c r="AS105" s="51" t="n"/>
      <c r="AT105" s="51" t="n"/>
      <c r="AU105" s="51" t="n"/>
    </row>
    <row r="106">
      <c r="A106" s="5" t="n">
        <v>101</v>
      </c>
      <c r="B106" s="5" t="inlineStr">
        <is>
          <t>Memory and learning</t>
        </is>
      </c>
      <c r="C106" s="5" t="inlineStr">
        <is>
          <t>Open loops (Zeigarnik effect)</t>
        </is>
      </c>
      <c r="D106" s="5" t="inlineStr">
        <is>
          <t>Nova, my brain won't let me sleep.</t>
        </is>
      </c>
      <c r="E106" s="5" t="inlineStr">
        <is>
          <t>Unfinished tasks stay active in memory (Zeigarnik 1927); writing the next step quiets them (Masicampo &amp; Baumeister 2011).</t>
        </is>
      </c>
      <c r="F106" s="5" t="inlineStr">
        <is>
          <t>Nova dialogue: Ash and robot Nova in a low-poly night room</t>
        </is>
      </c>
      <c r="G106" s="5" t="n">
        <v>41</v>
      </c>
      <c r="H106" s="5" t="inlineStr">
        <is>
          <t>Scheduled</t>
        </is>
      </c>
      <c r="I106" s="10" t="n">
        <v>16</v>
      </c>
      <c r="J106" s="10" t="n"/>
      <c r="K106" s="10" t="inlineStr">
        <is>
          <t>open-loops</t>
        </is>
      </c>
      <c r="L106" s="11" t="n">
        <v>46310</v>
      </c>
      <c r="M106" s="5">
        <f>IF(L106="","",TEXT(L106,"ddd"))</f>
        <v/>
      </c>
      <c r="N106" s="10" t="n"/>
      <c r="O106" s="10" t="n">
        <v>41</v>
      </c>
      <c r="P106" s="10" t="inlineStr">
        <is>
          <t>Why Your Brain Replays Your To-Do List at Night #shorts</t>
        </is>
      </c>
      <c r="Q106" s="10" t="inlineStr">
        <is>
          <t>Zeigarnik 1927, Psychologische Forschung 9:1-85; Masicampo &amp; Baumeister 2011, JPSP 101(4):667-683</t>
        </is>
      </c>
      <c r="R106" s="10" t="inlineStr">
        <is>
          <t>buffer:youtube=6ad0715a8b6f374826e2018a;instagram=6ad0715b8886414c963c3815;tiktok=6ad0715b0ad4869c077e294a</t>
        </is>
      </c>
      <c r="S106" s="12" t="n"/>
      <c r="T106" s="10" t="n"/>
      <c r="U106" s="13">
        <f>IF(OR(T106="",N(O106)=0),"",T106/O106)</f>
        <v/>
      </c>
      <c r="V106" s="10" t="n"/>
      <c r="W106" s="10" t="n"/>
      <c r="X106" s="10" t="n"/>
      <c r="Y106" s="12" t="n"/>
      <c r="Z106" s="10" t="n"/>
      <c r="AA106" s="12" t="n"/>
      <c r="AB106" s="10" t="n"/>
      <c r="AC106" s="14">
        <f>IF(COUNT(S106,Y106,AA106)=0,"",SUM(S106,Y106,AA106))</f>
        <v/>
      </c>
      <c r="AD106" s="13">
        <f>IF(N(AC106)=0,"",SUM(V106,W106,X106,Z106,AB106)/AC106)</f>
        <v/>
      </c>
      <c r="AE106" s="12" t="n"/>
      <c r="AF106" s="12" t="n"/>
      <c r="AG106" s="12" t="n"/>
      <c r="AH106" s="14">
        <f>IF(COUNT(AE106,AF106,AG106)=0,"",SUM(AE106,AF106,AG106))</f>
        <v/>
      </c>
      <c r="AI106" s="12" t="n"/>
      <c r="AJ106" s="12" t="n"/>
      <c r="AK106" s="12" t="n"/>
      <c r="AL106" s="14">
        <f>IF(COUNT(AI106,AJ106,AK106)=0,"",SUM(AI106,AJ106,AK106))</f>
        <v/>
      </c>
      <c r="AM106" s="5">
        <f>IF(N(AC106)=0,"",IF(COUNT($AC$6:$AC$105)&lt;5,"Too early",IF(AC106&gt;=1.5*MEDIAN($AC$6:$AC$105),"Top",IF(AC106&lt;=0.5*MEDIAN($AC$6:$AC$105),"Low","Average"))))</f>
        <v/>
      </c>
      <c r="AN106" s="10" t="n"/>
      <c r="AO106" s="10" t="inlineStr">
        <is>
          <t>nova</t>
        </is>
      </c>
      <c r="AP106" s="51" t="n"/>
      <c r="AQ106" s="51" t="n"/>
      <c r="AR106" s="51" t="n"/>
      <c r="AS106" s="51" t="n"/>
      <c r="AT106" s="51" t="n"/>
      <c r="AU106" s="51" t="n"/>
    </row>
    <row r="107">
      <c r="A107" s="5" t="n">
        <v>102</v>
      </c>
      <c r="B107" s="5" t="inlineStr">
        <is>
          <t>Digital life and consumer behavior</t>
        </is>
      </c>
      <c r="C107" s="5" t="inlineStr">
        <is>
          <t>Why one more never feels like enough (dopamine and checking)</t>
        </is>
      </c>
      <c r="D107" s="5" t="inlineStr">
        <is>
          <t>You opened your phone for a minute.</t>
        </is>
      </c>
      <c r="E107" s="5" t="inlineStr">
        <is>
          <t>Dopamine helps the brain learn what to pursue; uncertain rewards keep you checking; small steps to make room for what matters.</t>
        </is>
      </c>
      <c r="F107" s="5" t="inlineStr">
        <is>
          <t>Claude Design editorial animation (One More Never Enough)</t>
        </is>
      </c>
      <c r="G107" s="5" t="n">
        <v>58</v>
      </c>
      <c r="H107" s="5" t="inlineStr">
        <is>
          <t>Scheduled</t>
        </is>
      </c>
      <c r="I107" s="10" t="n">
        <v>17</v>
      </c>
      <c r="J107" s="10" t="n"/>
      <c r="K107" s="10" t="inlineStr">
        <is>
          <t>one-more</t>
        </is>
      </c>
      <c r="L107" s="11" t="n">
        <v>46311</v>
      </c>
      <c r="M107" s="5">
        <f>IF(L107="","",TEXT(L107,"ddd"))</f>
        <v/>
      </c>
      <c r="N107" s="10" t="n"/>
      <c r="O107" s="10" t="n">
        <v>58</v>
      </c>
      <c r="P107" s="10" t="inlineStr">
        <is>
          <t>Why One More Scroll Never Feels Like Enough #shorts</t>
        </is>
      </c>
      <c r="Q107" s="10" t="n"/>
      <c r="R107" s="10" t="inlineStr">
        <is>
          <t>buffer:youtube=6ad1a654a82f34dbe1464882;tiktok=6ad1a654fb64fffcf1b41af2</t>
        </is>
      </c>
      <c r="S107" s="12" t="n"/>
      <c r="T107" s="10" t="n"/>
      <c r="U107" s="13">
        <f>IF(OR(T107="",N(O107)=0),"",T107/O107)</f>
        <v/>
      </c>
      <c r="V107" s="10" t="n"/>
      <c r="W107" s="10" t="n"/>
      <c r="X107" s="10" t="n"/>
      <c r="Y107" s="12" t="n"/>
      <c r="Z107" s="10" t="n"/>
      <c r="AA107" s="12" t="n"/>
      <c r="AB107" s="10" t="n"/>
      <c r="AC107" s="14">
        <f>IF(COUNT(S107,Y107,AA107)=0,"",SUM(S107,Y107,AA107))</f>
        <v/>
      </c>
      <c r="AD107" s="13">
        <f>IF(N(AC107)=0,"",SUM(V107,W107,X107,Z107,AB107)/AC107)</f>
        <v/>
      </c>
      <c r="AE107" s="12" t="n"/>
      <c r="AF107" s="12" t="n"/>
      <c r="AG107" s="12" t="n"/>
      <c r="AH107" s="14">
        <f>IF(COUNT(AE107,AF107,AG107)=0,"",SUM(AE107,AF107,AG107))</f>
        <v/>
      </c>
      <c r="AI107" s="12" t="n"/>
      <c r="AJ107" s="12" t="n"/>
      <c r="AK107" s="12" t="n"/>
      <c r="AL107" s="14">
        <f>IF(COUNT(AI107,AJ107,AK107)=0,"",SUM(AI107,AJ107,AK107))</f>
        <v/>
      </c>
      <c r="AM107" s="5">
        <f>IF(N(AC107)=0,"",IF(COUNT($AC$6:$AC$105)&lt;5,"Too early",IF(AC107&gt;=1.5*MEDIAN($AC$6:$AC$105),"Top",IF(AC107&lt;=0.5*MEDIAN($AC$6:$AC$105),"Low","Average"))))</f>
        <v/>
      </c>
      <c r="AN107" s="10" t="n"/>
      <c r="AO107" s="10" t="inlineStr">
        <is>
          <t>editorial</t>
        </is>
      </c>
      <c r="AP107" s="51" t="n"/>
      <c r="AQ107" s="51" t="n"/>
      <c r="AR107" s="51" t="n"/>
      <c r="AS107" s="51" t="n"/>
      <c r="AT107" s="51" t="n"/>
      <c r="AU107" s="51" t="n"/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4">
    <dataValidation sqref="H6:H107" showDropDown="0" showInputMessage="0" showErrorMessage="0" allowBlank="1" type="list">
      <formula1>"Idea,Researching,Scripted,Scheduled,Published,Vetoed,Failed,Filming,Editing"</formula1>
    </dataValidation>
    <dataValidation sqref="J6:J107" showDropDown="0" showInputMessage="0" showErrorMessage="0" allowBlank="1" type="list">
      <formula1>"Strong,Weak"</formula1>
    </dataValidation>
    <dataValidation sqref="AO6:AO107" showDropDown="0" showInputMessage="0" showErrorMessage="0" allowBlank="1" type="list">
      <formula1>=Looks!$A$5:$A$21</formula1>
    </dataValidation>
    <dataValidation sqref="AP6:AP107" showDropDown="0" showInputMessage="0" showErrorMessage="0" allowBlank="1" type="list">
      <formula1>"ted2,story"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11" customWidth="1" min="4" max="4"/>
    <col width="8" customWidth="1" min="5" max="5"/>
    <col width="26" customWidth="1" min="6" max="6"/>
    <col width="11" customWidth="1" min="7" max="7"/>
    <col width="40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>
      <c r="A1" s="49" t="inlineStr">
        <is>
          <t>Long-form videos (Ted type 1, 16:9, YouTube) — twice a week</t>
        </is>
      </c>
    </row>
    <row r="2">
      <c r="A2" s="15" t="inlineStr">
        <is>
          <t>Built by the "Long-form" GitHub workflow (Mon &amp; Thu) for posting Tue &amp; Fri. Status: Idea → Scripted → Scheduled → Published | Vetoed | Failed.</t>
        </is>
      </c>
    </row>
    <row r="4">
      <c r="A4" s="8" t="inlineStr">
        <is>
          <t>No.</t>
        </is>
      </c>
      <c r="B4" s="8" t="inlineStr">
        <is>
          <t>Topic</t>
        </is>
      </c>
      <c r="C4" s="8" t="inlineStr">
        <is>
          <t>Angle / hook</t>
        </is>
      </c>
      <c r="D4" s="8" t="inlineStr">
        <is>
          <t>Status</t>
        </is>
      </c>
      <c r="E4" s="8" t="inlineStr">
        <is>
          <t>Priority</t>
        </is>
      </c>
      <c r="F4" s="8" t="inlineStr">
        <is>
          <t>Slug</t>
        </is>
      </c>
      <c r="G4" s="8" t="inlineStr">
        <is>
          <t>Post date</t>
        </is>
      </c>
      <c r="H4" s="8" t="inlineStr">
        <is>
          <t>Title used</t>
        </is>
      </c>
      <c r="I4" s="8" t="inlineStr">
        <is>
          <t>Length (min)</t>
        </is>
      </c>
      <c r="J4" s="8" t="inlineStr">
        <is>
          <t>YT views d7</t>
        </is>
      </c>
      <c r="K4" s="8" t="inlineStr">
        <is>
          <t>YT avg view (s) d7</t>
        </is>
      </c>
      <c r="L4" s="8" t="inlineStr">
        <is>
          <t>YT retention d7</t>
        </is>
      </c>
      <c r="M4" s="8" t="inlineStr">
        <is>
          <t>YT likes d7</t>
        </is>
      </c>
      <c r="N4" s="8" t="inlineStr">
        <is>
          <t>YT views d30</t>
        </is>
      </c>
      <c r="O4" s="8" t="inlineStr">
        <is>
          <t>Lesson / notes</t>
        </is>
      </c>
    </row>
    <row r="5">
      <c r="A5" s="16" t="n">
        <v>1</v>
      </c>
      <c r="B5" s="16" t="inlineStr">
        <is>
          <t>Liking &amp; influence</t>
        </is>
      </c>
      <c r="C5" s="16" t="inlineStr">
        <is>
          <t>7 psychology tricks that make people like you (and why they work)</t>
        </is>
      </c>
      <c r="D5" s="16" t="inlineStr">
        <is>
          <t>Scripted</t>
        </is>
      </c>
      <c r="E5" s="16" t="n">
        <v>1</v>
      </c>
      <c r="F5" t="inlineStr">
        <is>
          <t>seven-tricks-liked</t>
        </is>
      </c>
      <c r="H5" t="inlineStr">
        <is>
          <t>7 Psychology Tricks That Make People Like You (Backed by Research)</t>
        </is>
      </c>
      <c r="L5" s="50">
        <f>IF(OR(K5="",N(I5)=0),"",K5/(I5*60))</f>
        <v/>
      </c>
    </row>
    <row r="6">
      <c r="A6" s="16" t="n">
        <v>2</v>
      </c>
      <c r="B6" s="16" t="inlineStr">
        <is>
          <t>Cognitive biases</t>
        </is>
      </c>
      <c r="C6" s="16" t="inlineStr">
        <is>
          <t>8 ways your brain lies to you every day</t>
        </is>
      </c>
      <c r="D6" s="16" t="inlineStr">
        <is>
          <t>Idea</t>
        </is>
      </c>
      <c r="E6" s="16" t="n">
        <v>2</v>
      </c>
      <c r="L6" s="50">
        <f>IF(OR(K6="",N(I6)=0),"",K6/(I6*60))</f>
        <v/>
      </c>
    </row>
    <row r="7">
      <c r="A7" s="16" t="n">
        <v>3</v>
      </c>
      <c r="B7" s="16" t="inlineStr">
        <is>
          <t>Learning</t>
        </is>
      </c>
      <c r="C7" s="16" t="inlineStr">
        <is>
          <t>How to study smarter: 6 techniques backed by research</t>
        </is>
      </c>
      <c r="D7" s="16" t="inlineStr">
        <is>
          <t>Idea</t>
        </is>
      </c>
      <c r="E7" s="16" t="n">
        <v>3</v>
      </c>
      <c r="L7" s="50">
        <f>IF(OR(K7="",N(I7)=0),"",K7/(I7*60))</f>
        <v/>
      </c>
    </row>
    <row r="8">
      <c r="A8" s="16" t="n">
        <v>4</v>
      </c>
      <c r="B8" s="16" t="inlineStr">
        <is>
          <t>Habits</t>
        </is>
      </c>
      <c r="C8" s="16" t="inlineStr">
        <is>
          <t>The psychology of habits: why you can't stop (and how to)</t>
        </is>
      </c>
      <c r="D8" s="16" t="inlineStr">
        <is>
          <t>Idea</t>
        </is>
      </c>
      <c r="E8" s="16" t="n">
        <v>4</v>
      </c>
      <c r="L8" s="50">
        <f>IF(OR(K8="",N(I8)=0),"",K8/(I8*60))</f>
        <v/>
      </c>
    </row>
    <row r="9">
      <c r="A9" s="16" t="n">
        <v>5</v>
      </c>
      <c r="B9" s="16" t="inlineStr">
        <is>
          <t>Social pressure</t>
        </is>
      </c>
      <c r="C9" s="16" t="inlineStr">
        <is>
          <t>Why good people go along with bad things: conformity, obedience and the bystander effect</t>
        </is>
      </c>
      <c r="D9" s="16" t="inlineStr">
        <is>
          <t>Idea</t>
        </is>
      </c>
      <c r="E9" s="16" t="n">
        <v>5</v>
      </c>
      <c r="L9" s="50">
        <f>IF(OR(K9="",N(I9)=0),"",K9/(I9*60))</f>
        <v/>
      </c>
    </row>
    <row r="10">
      <c r="A10" s="16" t="n">
        <v>6</v>
      </c>
      <c r="B10" s="16" t="inlineStr">
        <is>
          <t>Persuasion defense</t>
        </is>
      </c>
      <c r="C10" s="16" t="inlineStr">
        <is>
          <t>Manipulation tactics people use on you, and how to spot them</t>
        </is>
      </c>
      <c r="D10" s="16" t="inlineStr">
        <is>
          <t>Idea</t>
        </is>
      </c>
      <c r="E10" s="16" t="n">
        <v>6</v>
      </c>
      <c r="L10" s="50">
        <f>IF(OR(K10="",N(I10)=0),"",K10/(I10*60))</f>
        <v/>
      </c>
    </row>
    <row r="11">
      <c r="A11" s="16" t="n">
        <v>7</v>
      </c>
      <c r="B11" s="16" t="inlineStr">
        <is>
          <t>Memory</t>
        </is>
      </c>
      <c r="C11" s="16" t="inlineStr">
        <is>
          <t>Memory hacks that actually work, according to science</t>
        </is>
      </c>
      <c r="D11" s="16" t="inlineStr">
        <is>
          <t>Idea</t>
        </is>
      </c>
      <c r="E11" s="16" t="n">
        <v>7</v>
      </c>
      <c r="L11" s="50">
        <f>IF(OR(K11="",N(I11)=0),"",K11/(I11*60))</f>
        <v/>
      </c>
    </row>
    <row r="12">
      <c r="A12" s="16" t="n">
        <v>8</v>
      </c>
      <c r="B12" s="16" t="inlineStr">
        <is>
          <t>Procrastination</t>
        </is>
      </c>
      <c r="C12" s="16" t="inlineStr">
        <is>
          <t>Why you procrastinate (it's not laziness) and what fixes it</t>
        </is>
      </c>
      <c r="D12" s="16" t="inlineStr">
        <is>
          <t>Idea</t>
        </is>
      </c>
      <c r="E12" s="16" t="n">
        <v>8</v>
      </c>
      <c r="L12" s="50">
        <f>IF(OR(K12="",N(I12)=0),"",K12/(I12*60))</f>
        <v/>
      </c>
    </row>
  </sheetData>
  <dataValidations count="1">
    <dataValidation sqref="D5:D200" showDropDown="0" showInputMessage="0" showErrorMessage="0" allowBlank="1" type="list">
      <formula1>"Idea,Scripted,Scheduled,Published,Vetoed,Failed"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  <row r="21">
      <c r="A21" s="16" t="inlineStr">
        <is>
          <t>ted2</t>
        </is>
      </c>
      <c r="B21" s="16" t="inlineStr">
        <is>
          <t>Ted type 2 (Claude Design style)</t>
        </is>
      </c>
      <c r="C21" s="16" t="inlineStr">
        <is>
          <t>Shivam's Claude Design 'Rename Your Nerves Short'</t>
        </is>
      </c>
      <c r="D21" s="16" t="inlineStr">
        <is>
          <t>Faceless tips: drawn SVG scene per line, kinetic emphasis captions, deep narrator</t>
        </is>
      </c>
      <c r="E21" s="16">
        <f>COUNTIF('Shorts ideas'!$AO$6:$AO$400,A21)</f>
        <v/>
      </c>
      <c r="F21" s="47" t="n"/>
      <c r="G21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  <row r="50">
      <c r="A50" s="16" t="inlineStr">
        <is>
          <t>ted2</t>
        </is>
      </c>
      <c r="B50" s="16">
        <f>COUNTIFS('Shorts ideas'!$AO$6:$AO$400,$A50,'Shorts ideas'!$H$6:$H$400,"Published")</f>
        <v/>
      </c>
      <c r="C50" s="17">
        <f>IFERROR(AVERAGEIFS('Shorts ideas'!$AC$6:$AC$400,'Shorts ideas'!$AO$6:$AO$400,$A50,'Shorts ideas'!$AC$6:$AC$400,"&gt;0"),"")</f>
        <v/>
      </c>
      <c r="D50" s="18">
        <f>IFERROR(AVERAGEIFS('Shorts ideas'!$U$6:$U$400,'Shorts ideas'!$AO$6:$AO$400,$A50,'Shorts ideas'!$U$6:$U$400,"&gt;0"),"")</f>
        <v/>
      </c>
      <c r="E50" s="18">
        <f>IFERROR(AVERAGEIFS('Shorts ideas'!$AD$6:$AD$400,'Shorts ideas'!$AO$6:$AO$400,$A50,'Shorts ideas'!$AD$6:$AD$400,"&gt;0"),"")</f>
        <v/>
      </c>
      <c r="F50" s="17">
        <f>IFERROR(AVERAGEIFS('Shorts ideas'!$AL$6:$AL$400,'Shorts ideas'!$AO$6:$AO$400,$A50,'Shorts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2026-10-16T05:00:30Z</dcterms:modified>
</cp:coreProperties>
</file>