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orts ideas" sheetId="1" state="visible" r:id="rId1"/>
    <sheet name="3-Act Scripts" sheetId="2" state="visible" r:id="rId2"/>
    <sheet name="Long form" sheetId="3" state="visible" r:id="rId3"/>
    <sheet name="Looks" sheetId="4" state="visible" r:id="rId4"/>
    <sheet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/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/>
      <c r="T8" s="69" t="n"/>
      <c r="U8" s="72">
        <f>IF(OR(T8="",N(O8)=0),"",T8/O8)</f>
        <v/>
      </c>
      <c r="V8" s="69" t="n"/>
      <c r="W8" s="69" t="n"/>
      <c r="X8" s="69" t="n"/>
      <c r="Y8" s="71" t="n"/>
      <c r="Z8" s="69" t="n"/>
      <c r="AA8" s="71" t="n"/>
      <c r="AB8" s="69" t="n"/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n"/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/>
      <c r="T16" s="69" t="n"/>
      <c r="U16" s="72">
        <f>IF(OR(T16="",N(O16)=0),"",T16/O16)</f>
        <v/>
      </c>
      <c r="V16" s="69" t="n"/>
      <c r="W16" s="69" t="n"/>
      <c r="X16" s="69" t="n"/>
      <c r="Y16" s="71" t="n"/>
      <c r="Z16" s="69" t="n"/>
      <c r="AA16" s="71" t="n"/>
      <c r="AB16" s="69" t="n"/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buffer:youtube=6ad27dfc346e510ac44f4f11;tiktok=6ad27dfd5720e82b418e1add;instagram=6addab04bd33ce99c35d20e4</t>
        </is>
      </c>
      <c r="S18" s="71" t="n"/>
      <c r="T18" s="69" t="n"/>
      <c r="U18" s="72">
        <f>IF(OR(T18="",N(O18)=0),"",T18/O18)</f>
        <v/>
      </c>
      <c r="V18" s="69" t="n"/>
      <c r="W18" s="69" t="n"/>
      <c r="X18" s="69" t="n"/>
      <c r="Y18" s="71" t="n"/>
      <c r="Z18" s="69" t="n"/>
      <c r="AA18" s="71" t="n"/>
      <c r="AB18" s="69" t="n"/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n"/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Published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/>
      <c r="T27" s="69" t="n"/>
      <c r="U27" s="72">
        <f>IF(OR(T27="",N(O27)=0),"",T27/O27)</f>
        <v/>
      </c>
      <c r="V27" s="69" t="n"/>
      <c r="W27" s="69" t="n"/>
      <c r="X27" s="69" t="n"/>
      <c r="Y27" s="71" t="n"/>
      <c r="Z27" s="69" t="n"/>
      <c r="AA27" s="71" t="n"/>
      <c r="AB27" s="69" t="n"/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</t>
        </is>
      </c>
      <c r="S30" s="71" t="n"/>
      <c r="T30" s="69" t="n"/>
      <c r="U30" s="72">
        <f>IF(OR(T30="",N(O30)=0),"",T30/O30)</f>
        <v/>
      </c>
      <c r="V30" s="69" t="n"/>
      <c r="W30" s="69" t="n"/>
      <c r="X30" s="69" t="n"/>
      <c r="Y30" s="71" t="n"/>
      <c r="Z30" s="69" t="n"/>
      <c r="AA30" s="71" t="n"/>
      <c r="AB30" s="69" t="n"/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n"/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Published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Published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buffer:youtube=6adae02e9ef33e7811b8d0de;instagram=6adae02fd447d56a6477a51b;tiktok=6adae02f1dc335d347f312c1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/>
      <c r="T37" s="69" t="n"/>
      <c r="U37" s="72">
        <f>IF(OR(T37="",N(O37)=0),"",T37/O37)</f>
        <v/>
      </c>
      <c r="V37" s="69" t="n"/>
      <c r="W37" s="69" t="n"/>
      <c r="X37" s="69" t="n"/>
      <c r="Y37" s="71" t="n"/>
      <c r="Z37" s="69" t="n"/>
      <c r="AA37" s="71" t="n"/>
      <c r="AB37" s="69" t="n"/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n"/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/>
      <c r="T40" s="69" t="n"/>
      <c r="U40" s="72">
        <f>IF(OR(T40="",N(O40)=0),"",T40/O40)</f>
        <v/>
      </c>
      <c r="V40" s="69" t="n"/>
      <c r="W40" s="69" t="n"/>
      <c r="X40" s="69" t="n"/>
      <c r="Y40" s="71" t="n"/>
      <c r="Z40" s="69" t="n"/>
      <c r="AA40" s="71" t="n"/>
      <c r="AB40" s="69" t="n"/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n"/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/>
      <c r="T41" s="69" t="n"/>
      <c r="U41" s="72">
        <f>IF(OR(T41="",N(O41)=0),"",T41/O41)</f>
        <v/>
      </c>
      <c r="V41" s="69" t="n"/>
      <c r="W41" s="69" t="n"/>
      <c r="X41" s="69" t="n"/>
      <c r="Y41" s="71" t="n"/>
      <c r="Z41" s="69" t="n"/>
      <c r="AA41" s="71" t="n"/>
      <c r="AB41" s="69" t="n"/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n"/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/>
      <c r="T47" s="69" t="n"/>
      <c r="U47" s="72">
        <f>IF(OR(T47="",N(O47)=0),"",T47/O47)</f>
        <v/>
      </c>
      <c r="V47" s="69" t="n"/>
      <c r="W47" s="69" t="n"/>
      <c r="X47" s="69" t="n"/>
      <c r="Y47" s="71" t="n"/>
      <c r="Z47" s="69" t="n"/>
      <c r="AA47" s="71" t="n"/>
      <c r="AB47" s="69" t="n"/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n"/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/>
      <c r="T48" s="69" t="n"/>
      <c r="U48" s="72">
        <f>IF(OR(T48="",N(O48)=0),"",T48/O48)</f>
        <v/>
      </c>
      <c r="V48" s="69" t="n"/>
      <c r="W48" s="69" t="n"/>
      <c r="X48" s="69" t="n"/>
      <c r="Y48" s="71" t="n"/>
      <c r="Z48" s="69" t="n"/>
      <c r="AA48" s="71" t="n"/>
      <c r="AB48" s="69" t="n"/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n"/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/>
      <c r="T52" s="69" t="n"/>
      <c r="U52" s="72">
        <f>IF(OR(T52="",N(O52)=0),"",T52/O52)</f>
        <v/>
      </c>
      <c r="V52" s="69" t="n"/>
      <c r="W52" s="69" t="n"/>
      <c r="X52" s="69" t="n"/>
      <c r="Y52" s="71" t="n"/>
      <c r="Z52" s="69" t="n"/>
      <c r="AA52" s="71" t="n"/>
      <c r="AB52" s="69" t="n"/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n"/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/>
      <c r="T63" s="69" t="n"/>
      <c r="U63" s="72">
        <f>IF(OR(T63="",N(O63)=0),"",T63/O63)</f>
        <v/>
      </c>
      <c r="V63" s="69" t="n"/>
      <c r="W63" s="69" t="n"/>
      <c r="X63" s="69" t="n"/>
      <c r="Y63" s="71" t="n"/>
      <c r="Z63" s="69" t="n"/>
      <c r="AA63" s="71" t="n"/>
      <c r="AB63" s="69" t="n"/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n"/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/>
      <c r="T64" s="69" t="n"/>
      <c r="U64" s="72">
        <f>IF(OR(T64="",N(O64)=0),"",T64/O64)</f>
        <v/>
      </c>
      <c r="V64" s="69" t="n"/>
      <c r="W64" s="69" t="n"/>
      <c r="X64" s="69" t="n"/>
      <c r="Y64" s="71" t="n"/>
      <c r="Z64" s="69" t="n"/>
      <c r="AA64" s="71" t="n"/>
      <c r="AB64" s="69" t="n"/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n"/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/>
      <c r="T66" s="69" t="n"/>
      <c r="U66" s="72">
        <f>IF(OR(T66="",N(O66)=0),"",T66/O66)</f>
        <v/>
      </c>
      <c r="V66" s="69" t="n"/>
      <c r="W66" s="69" t="n"/>
      <c r="X66" s="69" t="n"/>
      <c r="Y66" s="71" t="n"/>
      <c r="Z66" s="69" t="n"/>
      <c r="AA66" s="71" t="n"/>
      <c r="AB66" s="69" t="n"/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n"/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/>
      <c r="T67" s="69" t="n"/>
      <c r="U67" s="72">
        <f>IF(OR(T67="",N(O67)=0),"",T67/O67)</f>
        <v/>
      </c>
      <c r="V67" s="69" t="n"/>
      <c r="W67" s="69" t="n"/>
      <c r="X67" s="69" t="n"/>
      <c r="Y67" s="71" t="n"/>
      <c r="Z67" s="69" t="n"/>
      <c r="AA67" s="71" t="n"/>
      <c r="AB67" s="69" t="n"/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n"/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/>
      <c r="T68" s="69" t="n"/>
      <c r="U68" s="72">
        <f>IF(OR(T68="",N(O68)=0),"",T68/O68)</f>
        <v/>
      </c>
      <c r="V68" s="69" t="n"/>
      <c r="W68" s="69" t="n"/>
      <c r="X68" s="69" t="n"/>
      <c r="Y68" s="71" t="n"/>
      <c r="Z68" s="69" t="n"/>
      <c r="AA68" s="71" t="n"/>
      <c r="AB68" s="69" t="n"/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n"/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Published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buffer:youtube=6adae0329ef33e7811b8d1f6;instagram=6adae032535235087b7f4483;tiktok=6adae033cc1b7cdc08cdae8d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/>
      <c r="T76" s="69" t="n"/>
      <c r="U76" s="72">
        <f>IF(OR(T76="",N(O76)=0),"",T76/O76)</f>
        <v/>
      </c>
      <c r="V76" s="69" t="n"/>
      <c r="W76" s="69" t="n"/>
      <c r="X76" s="69" t="n"/>
      <c r="Y76" s="71" t="n"/>
      <c r="Z76" s="69" t="n"/>
      <c r="AA76" s="71" t="n"/>
      <c r="AB76" s="69" t="n"/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n"/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/>
      <c r="T77" s="69" t="n"/>
      <c r="U77" s="72">
        <f>IF(OR(T77="",N(O77)=0),"",T77/O77)</f>
        <v/>
      </c>
      <c r="V77" s="69" t="n"/>
      <c r="W77" s="69" t="n"/>
      <c r="X77" s="69" t="n"/>
      <c r="Y77" s="71" t="n"/>
      <c r="Z77" s="69" t="n"/>
      <c r="AA77" s="71" t="n"/>
      <c r="AB77" s="69" t="n"/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n"/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/>
      <c r="T78" s="69" t="n"/>
      <c r="U78" s="72">
        <f>IF(OR(T78="",N(O78)=0),"",T78/O78)</f>
        <v/>
      </c>
      <c r="V78" s="69" t="n"/>
      <c r="W78" s="69" t="n"/>
      <c r="X78" s="69" t="n"/>
      <c r="Y78" s="71" t="n"/>
      <c r="Z78" s="69" t="n"/>
      <c r="AA78" s="71" t="n"/>
      <c r="AB78" s="69" t="n"/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n"/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Published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Published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buffer:youtube=6adae0369ef33e7811b8d2b1;instagram=6adae036cc1b7cdc08cdb0b5;tiktok=6adae037cc1b7cdc08cdb15f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/>
      <c r="T87" s="69" t="n"/>
      <c r="U87" s="72">
        <f>IF(OR(T87="",N(O87)=0),"",T87/O87)</f>
        <v/>
      </c>
      <c r="V87" s="69" t="n"/>
      <c r="W87" s="69" t="n"/>
      <c r="X87" s="69" t="n"/>
      <c r="Y87" s="71" t="n"/>
      <c r="Z87" s="69" t="n"/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n"/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buffer:youtube=6ad1310ab4510d553d75e22a;tiktok=6ad1310b84453eae6f32edcf;instagram=6adbc6ad8b3d437ddc85eb35</t>
        </is>
      </c>
      <c r="S88" s="71" t="n"/>
      <c r="T88" s="69" t="n"/>
      <c r="U88" s="72">
        <f>IF(OR(T88="",N(O88)=0),"",T88/O88)</f>
        <v/>
      </c>
      <c r="V88" s="69" t="n"/>
      <c r="W88" s="69" t="n"/>
      <c r="X88" s="69" t="n"/>
      <c r="Y88" s="71" t="n"/>
      <c r="Z88" s="69" t="n"/>
      <c r="AA88" s="71" t="n"/>
      <c r="AB88" s="69" t="n"/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n"/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/>
      <c r="T97" s="69" t="n"/>
      <c r="U97" s="72">
        <f>IF(OR(T97="",N(O97)=0),"",T97/O97)</f>
        <v/>
      </c>
      <c r="V97" s="69" t="n"/>
      <c r="W97" s="69" t="n"/>
      <c r="X97" s="69" t="n"/>
      <c r="Y97" s="71" t="n"/>
      <c r="Z97" s="69" t="n"/>
      <c r="AA97" s="71" t="n"/>
      <c r="AB97" s="69" t="n"/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n"/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/>
      <c r="T106" s="69" t="n"/>
      <c r="U106" s="72">
        <f>IF(OR(T106="",N(O106)=0),"",T106/O106)</f>
        <v/>
      </c>
      <c r="V106" s="69" t="n"/>
      <c r="W106" s="69" t="n"/>
      <c r="X106" s="69" t="n"/>
      <c r="Y106" s="71" t="n"/>
      <c r="Z106" s="69" t="n"/>
      <c r="AA106" s="71" t="n"/>
      <c r="AB106" s="69" t="n"/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n"/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buffer:youtube=6ad1a654a82f34dbe1464882;tiktok=6ad1a654fb64fffcf1b41af2;instagram=6adcff3c3d5b27036b9ba0a4</t>
        </is>
      </c>
      <c r="S107" s="71" t="n"/>
      <c r="T107" s="69" t="n"/>
      <c r="U107" s="72">
        <f>IF(OR(T107="",N(O107)=0),"",T107/O107)</f>
        <v/>
      </c>
      <c r="V107" s="69" t="n"/>
      <c r="W107" s="69" t="n"/>
      <c r="X107" s="69" t="n"/>
      <c r="Y107" s="71" t="n"/>
      <c r="Z107" s="69" t="n"/>
      <c r="AA107" s="71" t="n"/>
      <c r="AB107" s="69" t="n"/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n"/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Scheduled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>
        <v>46319</v>
      </c>
      <c r="M108" s="123">
        <f>IF(L108="","",TEXT(L108,"ddd"))</f>
        <v/>
      </c>
      <c r="N108" s="124" t="n"/>
      <c r="O108" s="124" t="n">
        <v>29</v>
      </c>
      <c r="P108" s="124" t="inlineStr">
        <is>
          <t>The Experiment That Fooled Psychiatrists #shorts</t>
        </is>
      </c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inlineStr">
        <is>
          <t>buffer:youtube=6adbc6a6bd33ce99c3ed0fa3;instagram=6adbc6a6bd33ce99c3ed0fcf;tiktok=6adbc6a70b5343d0704ce897</t>
        </is>
      </c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n"/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Scheduled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>
        <v>46319</v>
      </c>
      <c r="M109" s="123">
        <f>IF(L109="","",TEXT(L109,"ddd"))</f>
        <v/>
      </c>
      <c r="N109" s="124" t="n"/>
      <c r="O109" s="124" t="n">
        <v>40</v>
      </c>
      <c r="P109" s="124" t="inlineStr">
        <is>
          <t>The Tiny Yes Trick People Use On You #shorts</t>
        </is>
      </c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inlineStr">
        <is>
          <t>buffer:youtube=6adbc6a99acae620d8192a7d;instagram=6adbc6a93d5b27036b4fa580;tiktok=6adbc6a9bd33ce99c3ed1021</t>
        </is>
      </c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n"/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Scheduled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>
        <v>46319</v>
      </c>
      <c r="M110" s="123">
        <f>IF(L110="","",TEXT(L110,"ddd"))</f>
        <v/>
      </c>
      <c r="N110" s="124" t="n"/>
      <c r="O110" s="124" t="n">
        <v>30</v>
      </c>
      <c r="P110" s="124" t="inlineStr">
        <is>
          <t>Psychology Of People Who Are Always Late #shorts</t>
        </is>
      </c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inlineStr">
        <is>
          <t>buffer:youtube=6adbc6abe4be8a4d86255e76;instagram=6adbc6acbd33ce99c3ed1093;tiktok=6adbc6ac3d5b27036b4fa5fc</t>
        </is>
      </c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n"/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Vetoed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>
        <v>46320</v>
      </c>
      <c r="M111" s="123">
        <f>IF(L111="","",TEXT(L111,"ddd"))</f>
        <v/>
      </c>
      <c r="N111" s="124" t="n"/>
      <c r="O111" s="124" t="n">
        <v>29</v>
      </c>
      <c r="P111" s="124" t="inlineStr">
        <is>
          <t>3 Reasons Your Mind Goes Blank #shorts</t>
        </is>
      </c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inlineStr">
        <is>
          <t>buffer:youtube=6adcff348b3d437ddcd3cc95;instagram=6adcff35e4be8a4d86734cd5;tiktok=6adcff356887a2efc1cf66b7</t>
        </is>
      </c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inlineStr">
        <is>
          <t>2026-10-24: pulled from Buffer for the stick story format (Shivam)</t>
        </is>
      </c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Vetoed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>
        <v>46320</v>
      </c>
      <c r="M112" s="123">
        <f>IF(L112="","",TEXT(L112,"ddd"))</f>
        <v/>
      </c>
      <c r="N112" s="124" t="n"/>
      <c r="O112" s="124" t="n">
        <v>31</v>
      </c>
      <c r="P112" s="124" t="inlineStr">
        <is>
          <t>A 5-Minute Breath That Beat Mindfulness #shorts</t>
        </is>
      </c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inlineStr">
        <is>
          <t>buffer:youtube=6adcff370b5343d0709a8cb9;instagram=6adcff373d5b27036b9b9fe3;tiktok=6adcff38e4be8a4d86734d26</t>
        </is>
      </c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inlineStr">
        <is>
          <t>2026-10-24: pulled from Buffer for the stick story format (Shivam)</t>
        </is>
      </c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Vetoed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>
        <v>46320</v>
      </c>
      <c r="M113" s="123">
        <f>IF(L113="","",TEXT(L113,"ddd"))</f>
        <v/>
      </c>
      <c r="N113" s="124" t="n"/>
      <c r="O113" s="124" t="n">
        <v>36</v>
      </c>
      <c r="P113" s="124" t="inlineStr">
        <is>
          <t>Why Small Mistakes Make People Like You More #shorts</t>
        </is>
      </c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inlineStr">
        <is>
          <t>buffer:youtube=6adcff3a8b3d437ddcd3ce6a;instagram=6adcff3ae4be8a4d86734d77;tiktok=6adcff3a0b5343d0709a8d2b</t>
        </is>
      </c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inlineStr">
        <is>
          <t>2026-10-24: pulled from Buffer for the stick story format (Shivam)</t>
        </is>
      </c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Idea</t>
        </is>
      </c>
      <c r="I114" s="124" t="n">
        <v>7</v>
      </c>
      <c r="J114" s="124" t="inlineStr">
        <is>
          <t>Strong</t>
        </is>
      </c>
      <c r="K114" s="124" t="inlineStr">
        <is>
          <t>tetris-effect</t>
        </is>
      </c>
      <c r="L114" s="125" t="n"/>
      <c r="M114" s="123">
        <f>IF(L114="","",TEXT(L114,"ddd"))</f>
        <v/>
      </c>
      <c r="N114" s="124" t="inlineStr">
        <is>
          <t>pattern</t>
        </is>
      </c>
      <c r="O114" s="124" t="n"/>
      <c r="P114" s="124" t="n"/>
      <c r="Q114" s="124" t="inlineStr">
        <is>
          <t>Stickgold et al. (2000, Science): after playing Tetris for hours over three days, more than 60% of players (17 of 27) saw falling blocks at sleep onset, including 3 of 5 amnesic patients who couldn't remember playing. The Tetris effect.</t>
        </is>
      </c>
      <c r="R114" s="124" t="n"/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inlineStr">
        <is>
          <t>2026-10-25: explainer script shelved; rewrite as a stick character story (Shivam)</t>
        </is>
      </c>
      <c r="AO114" s="124" t="inlineStr">
        <is>
          <t>ted2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Idea</t>
        </is>
      </c>
      <c r="I115" s="124" t="n">
        <v>8</v>
      </c>
      <c r="J115" s="124" t="inlineStr">
        <is>
          <t>Strong</t>
        </is>
      </c>
      <c r="K115" s="124" t="inlineStr">
        <is>
          <t>bat-and-ball</t>
        </is>
      </c>
      <c r="L115" s="125" t="n"/>
      <c r="M115" s="123">
        <f>IF(L115="","",TEXT(L115,"ddd"))</f>
        <v/>
      </c>
      <c r="N115" s="124" t="inlineStr">
        <is>
          <t>pattern</t>
        </is>
      </c>
      <c r="O115" s="124" t="n"/>
      <c r="P115" s="124" t="n"/>
      <c r="Q115" s="124" t="inlineStr">
        <is>
          <t>The bat-and-ball question from Shane Frederick's Cognitive Reflection Test (2005): a bat and a ball cost $1.10 together and the bat costs $1 more than the ball. The intuitive answer (10 cents) is wrong; the ball costs 5 cents. More than half of stude</t>
        </is>
      </c>
      <c r="R115" s="124" t="n"/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inlineStr">
        <is>
          <t>2026-10-25: explainer script shelved; rewrite as a stick character story (Shivam)</t>
        </is>
      </c>
      <c r="AO115" s="124" t="inlineStr">
        <is>
          <t>ted2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Idea</t>
        </is>
      </c>
      <c r="I116" s="124" t="n">
        <v>9</v>
      </c>
      <c r="J116" s="124" t="inlineStr">
        <is>
          <t>Strong</t>
        </is>
      </c>
      <c r="K116" s="124" t="inlineStr">
        <is>
          <t>mirroring-tips</t>
        </is>
      </c>
      <c r="L116" s="125" t="n"/>
      <c r="M116" s="123">
        <f>IF(L116="","",TEXT(L116,"ddd"))</f>
        <v/>
      </c>
      <c r="N116" s="124" t="inlineStr">
        <is>
          <t>pattern</t>
        </is>
      </c>
      <c r="O116" s="124" t="n"/>
      <c r="P116" s="124" t="n"/>
      <c r="Q116" s="124" t="inlineStr">
        <is>
          <t>van Baaren, Holland, Steenaert &amp; van Knippenberg (2003): in a restaurant in the Netherlands, a waitress who repeated customers' orders back word for word received almost twice the tip she got when she only said things like "coming right up". Verbal m</t>
        </is>
      </c>
      <c r="R116" s="124" t="n"/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inlineStr">
        <is>
          <t>2026-10-25: explainer script shelved; rewrite as a stick character story (Shivam)</t>
        </is>
      </c>
      <c r="AO116" s="124" t="inlineStr">
        <is>
          <t>ted2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Idea</t>
        </is>
      </c>
      <c r="I117" s="124" t="n">
        <v>10</v>
      </c>
      <c r="J117" s="124" t="inlineStr">
        <is>
          <t>Strong</t>
        </is>
      </c>
      <c r="K117" s="124" t="inlineStr">
        <is>
          <t>ben-franklin-effect</t>
        </is>
      </c>
      <c r="L117" s="125" t="n"/>
      <c r="M117" s="123">
        <f>IF(L117="","",TEXT(L117,"ddd"))</f>
        <v/>
      </c>
      <c r="N117" s="124" t="n"/>
      <c r="O117" s="124" t="n"/>
      <c r="P117" s="124" t="n"/>
      <c r="Q117" s="124" t="n"/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n"/>
      <c r="AO117" s="124" t="inlineStr">
        <is>
          <t>ted2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Idea</t>
        </is>
      </c>
      <c r="I118" s="124" t="n">
        <v>11</v>
      </c>
      <c r="J118" s="124" t="inlineStr">
        <is>
          <t>Strong</t>
        </is>
      </c>
      <c r="K118" s="124" t="inlineStr">
        <is>
          <t>good-samaritan-hurry</t>
        </is>
      </c>
      <c r="L118" s="125" t="n"/>
      <c r="M118" s="123">
        <f>IF(L118="","",TEXT(L118,"ddd"))</f>
        <v/>
      </c>
      <c r="N118" s="124" t="n"/>
      <c r="O118" s="124" t="n"/>
      <c r="P118" s="124" t="n"/>
      <c r="Q118" s="124" t="n"/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n"/>
      <c r="AO118" s="124" t="inlineStr">
        <is>
          <t>ted2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Idea</t>
        </is>
      </c>
      <c r="I119" s="124" t="n">
        <v>12</v>
      </c>
      <c r="J119" s="124" t="inlineStr">
        <is>
          <t>Strong</t>
        </is>
      </c>
      <c r="K119" s="124" t="inlineStr">
        <is>
          <t>door-in-the-face</t>
        </is>
      </c>
      <c r="L119" s="125" t="n"/>
      <c r="M119" s="123">
        <f>IF(L119="","",TEXT(L119,"ddd"))</f>
        <v/>
      </c>
      <c r="N119" s="124" t="n"/>
      <c r="O119" s="124" t="n"/>
      <c r="P119" s="124" t="n"/>
      <c r="Q119" s="124" t="n"/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n"/>
      <c r="AO119" s="124" t="inlineStr">
        <is>
          <t>ted2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Idea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/>
      <c r="M120" s="123">
        <f>IF(L120="","",TEXT(L120,"ddd"))</f>
        <v/>
      </c>
      <c r="N120" s="124" t="n"/>
      <c r="O120" s="124" t="n"/>
      <c r="P120" s="124" t="n"/>
      <c r="Q120" s="124" t="n"/>
      <c r="R120" s="124" t="n"/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ted2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Idea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/>
      <c r="M121" s="123">
        <f>IF(L121="","",TEXT(L121,"ddd"))</f>
        <v/>
      </c>
      <c r="N121" s="124" t="n"/>
      <c r="O121" s="124" t="n"/>
      <c r="P121" s="124" t="n"/>
      <c r="Q121" s="124" t="n"/>
      <c r="R121" s="124" t="n"/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ted2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Idea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/>
      <c r="M122" s="123">
        <f>IF(L122="","",TEXT(L122,"ddd"))</f>
        <v/>
      </c>
      <c r="N122" s="124" t="n"/>
      <c r="O122" s="124" t="n"/>
      <c r="P122" s="124" t="n"/>
      <c r="Q122" s="124" t="n"/>
      <c r="R122" s="124" t="n"/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Idea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/>
      <c r="M123" s="123">
        <f>IF(L123="","",TEXT(L123,"ddd"))</f>
        <v/>
      </c>
      <c r="N123" s="124" t="n"/>
      <c r="O123" s="124" t="n"/>
      <c r="P123" s="124" t="n"/>
      <c r="Q123" s="124" t="n"/>
      <c r="R123" s="124" t="n"/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ted2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Idea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/>
      <c r="M124" s="123">
        <f>IF(L124="","",TEXT(L124,"ddd"))</f>
        <v/>
      </c>
      <c r="N124" s="124" t="n"/>
      <c r="O124" s="124" t="n"/>
      <c r="P124" s="124" t="n"/>
      <c r="Q124" s="124" t="n"/>
      <c r="R124" s="124" t="n"/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Idea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/>
      <c r="M125" s="123">
        <f>IF(L125="","",TEXT(L125,"ddd"))</f>
        <v/>
      </c>
      <c r="N125" s="124" t="n"/>
      <c r="O125" s="124" t="n"/>
      <c r="P125" s="124" t="n"/>
      <c r="Q125" s="124" t="n"/>
      <c r="R125" s="124" t="n"/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n"/>
      <c r="AO125" s="124" t="inlineStr">
        <is>
          <t>ted2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Idea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/>
      <c r="M126" s="123">
        <f>IF(L126="","",TEXT(L126,"ddd"))</f>
        <v/>
      </c>
      <c r="N126" s="124" t="n"/>
      <c r="O126" s="124" t="n"/>
      <c r="P126" s="124" t="n"/>
      <c r="Q126" s="124" t="n"/>
      <c r="R126" s="124" t="n"/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Idea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/>
      <c r="M127" s="123">
        <f>IF(L127="","",TEXT(L127,"ddd"))</f>
        <v/>
      </c>
      <c r="N127" s="124" t="n"/>
      <c r="O127" s="124" t="n"/>
      <c r="P127" s="124" t="n"/>
      <c r="Q127" s="124" t="n"/>
      <c r="R127" s="124" t="n"/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ted2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Idea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/>
      <c r="M128" s="123">
        <f>IF(L128="","",TEXT(L128,"ddd"))</f>
        <v/>
      </c>
      <c r="N128" s="124" t="n"/>
      <c r="O128" s="124" t="n"/>
      <c r="P128" s="124" t="n"/>
      <c r="Q128" s="124" t="n"/>
      <c r="R128" s="124" t="n"/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Idea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/>
      <c r="M129" s="123">
        <f>IF(L129="","",TEXT(L129,"ddd"))</f>
        <v/>
      </c>
      <c r="N129" s="124" t="n"/>
      <c r="O129" s="124" t="n"/>
      <c r="P129" s="124" t="n"/>
      <c r="Q129" s="124" t="n"/>
      <c r="R129" s="124" t="n"/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ted2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Idea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/>
      <c r="M130" s="123">
        <f>IF(L130="","",TEXT(L130,"ddd"))</f>
        <v/>
      </c>
      <c r="N130" s="124" t="n"/>
      <c r="O130" s="124" t="n"/>
      <c r="P130" s="124" t="n"/>
      <c r="Q130" s="124" t="n"/>
      <c r="R130" s="124" t="n"/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ted2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Idea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n"/>
      <c r="O131" s="124" t="n"/>
      <c r="P131" s="124" t="n"/>
      <c r="Q131" s="124" t="n"/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ted2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  <row r="138">
      <c r="A138" s="123" t="n">
        <v>133</v>
      </c>
      <c r="B138" s="123" t="inlineStr">
        <is>
          <t>Character story: Arjun</t>
        </is>
      </c>
      <c r="C138" s="123" t="inlineStr">
        <is>
          <t>Arjun ep.1: thinks Kabir is mad at him (mind reading)</t>
        </is>
      </c>
      <c r="D138" s="123" t="inlineStr">
        <is>
          <t>Arjun waved at Kabir. Kabir walked right past him.</t>
        </is>
      </c>
      <c r="E138" s="123" t="inlineStr">
        <is>
          <t>Mind reading cognitive distortion (Beck; Burns 1980)</t>
        </is>
      </c>
      <c r="F138" s="123" t="n"/>
      <c r="G138" s="123" t="n">
        <v>32</v>
      </c>
      <c r="H138" s="123" t="inlineStr">
        <is>
          <t>Scheduled</t>
        </is>
      </c>
      <c r="I138" s="124" t="n">
        <v>0</v>
      </c>
      <c r="J138" s="124" t="n"/>
      <c r="K138" s="124" t="inlineStr">
        <is>
          <t>arjun-mind-reading</t>
        </is>
      </c>
      <c r="L138" s="125" t="n">
        <v>46320</v>
      </c>
      <c r="M138" s="123">
        <f>IF(L138="","",TEXT(L138,"ddd"))</f>
        <v/>
      </c>
      <c r="N138" s="124" t="n"/>
      <c r="O138" s="124" t="n">
        <v>31</v>
      </c>
      <c r="P138" s="124" t="inlineStr">
        <is>
          <t>Why You Think Everyone Is Mad at You #shorts</t>
        </is>
      </c>
      <c r="Q138" s="124" t="inlineStr">
        <is>
          <t>Beck cognitive distortions; Burns, Feeling Good (1980)</t>
        </is>
      </c>
      <c r="R138" s="124" t="inlineStr">
        <is>
          <t>buffer:youtube=6addb17f0b5343d070be583b;instagram=6addb17f8b3d437ddcf7b8bd;tiktok=6addb180e4be8a4d8697746f</t>
        </is>
      </c>
      <c r="S138" s="126" t="n"/>
      <c r="T138" s="124" t="n"/>
      <c r="U138" s="127">
        <f>IF(OR(T138="",N(O138)=0),"",T138/O138)</f>
        <v/>
      </c>
      <c r="V138" s="124" t="n"/>
      <c r="W138" s="124" t="n"/>
      <c r="X138" s="124" t="n"/>
      <c r="Y138" s="126" t="n"/>
      <c r="Z138" s="124" t="n"/>
      <c r="AA138" s="126" t="n"/>
      <c r="AB138" s="124" t="n"/>
      <c r="AC138" s="128">
        <f>IF(COUNT(S138,Y138,AA138)=0,"",SUM(S138,Y138,AA138))</f>
        <v/>
      </c>
      <c r="AD138" s="127">
        <f>IF(N(AC138)=0,"",SUM(V138,W138,X138,Z138,AB138)/AC138)</f>
        <v/>
      </c>
      <c r="AE138" s="126" t="n"/>
      <c r="AF138" s="126" t="n"/>
      <c r="AG138" s="126" t="n"/>
      <c r="AH138" s="128">
        <f>IF(COUNT(AE138,AF138,AG138)=0,"",SUM(AE138,AF138,AG138))</f>
        <v/>
      </c>
      <c r="AI138" s="126" t="n"/>
      <c r="AJ138" s="126" t="n"/>
      <c r="AK138" s="126" t="n"/>
      <c r="AL138" s="128">
        <f>IF(COUNT(AI138,AJ138,AK138)=0,"",SUM(AI138,AJ138,AK138))</f>
        <v/>
      </c>
      <c r="AM138" s="123">
        <f>IF(N(AC138)=0,"",IF(COUNT($AC$6:$AC$105)&lt;5,"Too early",IF(AC138&gt;=1.5*MEDIAN($AC$6:$AC$105),"Top",IF(AC138&lt;=0.5*MEDIAN($AC$6:$AC$105),"Low","Average"))))</f>
        <v/>
      </c>
      <c r="AN138" s="124" t="n"/>
      <c r="AO138" s="124" t="inlineStr">
        <is>
          <t>stick</t>
        </is>
      </c>
      <c r="AP138" s="129" t="n"/>
      <c r="AQ138" s="129" t="n"/>
      <c r="AR138" s="129" t="n"/>
      <c r="AS138" s="129" t="n"/>
      <c r="AT138" s="129" t="n"/>
      <c r="AU138" s="129" t="n"/>
      <c r="AV138" s="130" t="n"/>
    </row>
    <row r="139">
      <c r="A139" s="123" t="n">
        <v>134</v>
      </c>
      <c r="B139" s="123" t="inlineStr">
        <is>
          <t>Character story: Zoe</t>
        </is>
      </c>
      <c r="C139" s="123" t="inlineStr">
        <is>
          <t>Zoe ep.1: tiny favor then weekend shift (foot in the door)</t>
        </is>
      </c>
      <c r="D139" s="123" t="inlineStr">
        <is>
          <t>Maya asked Zoe for one tiny favor.</t>
        </is>
      </c>
      <c r="E139" s="123" t="inlineStr">
        <is>
          <t>Freedman &amp; Fraser 1966 17% vs 76%</t>
        </is>
      </c>
      <c r="F139" s="123" t="n"/>
      <c r="G139" s="123" t="n">
        <v>36</v>
      </c>
      <c r="H139" s="123" t="inlineStr">
        <is>
          <t>Scheduled</t>
        </is>
      </c>
      <c r="I139" s="124" t="n">
        <v>0</v>
      </c>
      <c r="J139" s="124" t="n"/>
      <c r="K139" s="124" t="inlineStr">
        <is>
          <t>zoe-tiny-favor</t>
        </is>
      </c>
      <c r="L139" s="125" t="n">
        <v>46320</v>
      </c>
      <c r="M139" s="123">
        <f>IF(L139="","",TEXT(L139,"ddd"))</f>
        <v/>
      </c>
      <c r="N139" s="124" t="n"/>
      <c r="O139" s="124" t="n">
        <v>54</v>
      </c>
      <c r="P139" s="124" t="inlineStr">
        <is>
          <t>Why You Can't Say No After Saying Yes Once #shorts</t>
        </is>
      </c>
      <c r="Q139" s="124" t="inlineStr">
        <is>
          <t>Freedman &amp; Fraser (1966) JPSP: 17% vs 76%</t>
        </is>
      </c>
      <c r="R139" s="124" t="inlineStr">
        <is>
          <t>buffer:youtube=6addb1818b3d437ddcf7b908;instagram=6addb1828b3d437ddcf7b93a;tiktok=6addb1830b5343d070be5896</t>
        </is>
      </c>
      <c r="S139" s="126" t="n"/>
      <c r="T139" s="124" t="n"/>
      <c r="U139" s="127">
        <f>IF(OR(T139="",N(O139)=0),"",T139/O139)</f>
        <v/>
      </c>
      <c r="V139" s="124" t="n"/>
      <c r="W139" s="124" t="n"/>
      <c r="X139" s="124" t="n"/>
      <c r="Y139" s="126" t="n"/>
      <c r="Z139" s="124" t="n"/>
      <c r="AA139" s="126" t="n"/>
      <c r="AB139" s="124" t="n"/>
      <c r="AC139" s="128">
        <f>IF(COUNT(S139,Y139,AA139)=0,"",SUM(S139,Y139,AA139))</f>
        <v/>
      </c>
      <c r="AD139" s="127">
        <f>IF(N(AC139)=0,"",SUM(V139,W139,X139,Z139,AB139)/AC139)</f>
        <v/>
      </c>
      <c r="AE139" s="126" t="n"/>
      <c r="AF139" s="126" t="n"/>
      <c r="AG139" s="126" t="n"/>
      <c r="AH139" s="128">
        <f>IF(COUNT(AE139,AF139,AG139)=0,"",SUM(AE139,AF139,AG139))</f>
        <v/>
      </c>
      <c r="AI139" s="126" t="n"/>
      <c r="AJ139" s="126" t="n"/>
      <c r="AK139" s="126" t="n"/>
      <c r="AL139" s="128">
        <f>IF(COUNT(AI139,AJ139,AK139)=0,"",SUM(AI139,AJ139,AK139))</f>
        <v/>
      </c>
      <c r="AM139" s="123">
        <f>IF(N(AC139)=0,"",IF(COUNT($AC$6:$AC$105)&lt;5,"Too early",IF(AC139&gt;=1.5*MEDIAN($AC$6:$AC$105),"Top",IF(AC139&lt;=0.5*MEDIAN($AC$6:$AC$105),"Low","Average"))))</f>
        <v/>
      </c>
      <c r="AN139" s="124" t="inlineStr">
        <is>
          <t>CI 2026-10-25: build produced no video</t>
        </is>
      </c>
      <c r="AO139" s="124" t="inlineStr">
        <is>
          <t>stick</t>
        </is>
      </c>
      <c r="AP139" s="129" t="n"/>
      <c r="AQ139" s="129" t="n"/>
      <c r="AR139" s="129" t="n"/>
      <c r="AS139" s="129" t="n"/>
      <c r="AT139" s="129" t="n"/>
      <c r="AU139" s="129" t="n"/>
      <c r="AV139" s="130" t="n"/>
    </row>
    <row r="140">
      <c r="A140" s="123" t="n">
        <v>135</v>
      </c>
      <c r="B140" s="123" t="inlineStr">
        <is>
          <t>Character story: Kabir</t>
        </is>
      </c>
      <c r="C140" s="123" t="inlineStr">
        <is>
          <t>Kabir ep.1: two days, tops (planning fallacy)</t>
        </is>
      </c>
      <c r="D140" s="123" t="inlineStr">
        <is>
          <t>Kabir had a whole week for his essay.</t>
        </is>
      </c>
      <c r="E140" s="123" t="inlineStr">
        <is>
          <t>Buehler, Griffin &amp; Ross 1994: 33.9 / 55.5 days, ~30%</t>
        </is>
      </c>
      <c r="F140" s="123" t="n"/>
      <c r="G140" s="123" t="n">
        <v>34</v>
      </c>
      <c r="H140" s="123" t="inlineStr">
        <is>
          <t>Scheduled</t>
        </is>
      </c>
      <c r="I140" s="124" t="n">
        <v>0</v>
      </c>
      <c r="J140" s="124" t="n"/>
      <c r="K140" s="124" t="inlineStr">
        <is>
          <t>kabir-two-days</t>
        </is>
      </c>
      <c r="L140" s="125" t="n">
        <v>46320</v>
      </c>
      <c r="M140" s="123">
        <f>IF(L140="","",TEXT(L140,"ddd"))</f>
        <v/>
      </c>
      <c r="N140" s="124" t="n"/>
      <c r="O140" s="124" t="n">
        <v>44</v>
      </c>
      <c r="P140" s="124" t="inlineStr">
        <is>
          <t>Why Everything Takes Longer Than You Planned #shorts</t>
        </is>
      </c>
      <c r="Q140" s="124" t="inlineStr">
        <is>
          <t>Buehler, Griffin &amp; Ross (1994) JPSP: 33.9 predicted, 55.5 actual, ~30% on time</t>
        </is>
      </c>
      <c r="R140" s="124" t="inlineStr">
        <is>
          <t>buffer:youtube=6addb1846887a2efc1f34fd0;instagram=6addb185e4be8a4d869774d0;tiktok=6addb1853d5b27036bbfc791</t>
        </is>
      </c>
      <c r="S140" s="126" t="n"/>
      <c r="T140" s="124" t="n"/>
      <c r="U140" s="127">
        <f>IF(OR(T140="",N(O140)=0),"",T140/O140)</f>
        <v/>
      </c>
      <c r="V140" s="124" t="n"/>
      <c r="W140" s="124" t="n"/>
      <c r="X140" s="124" t="n"/>
      <c r="Y140" s="126" t="n"/>
      <c r="Z140" s="124" t="n"/>
      <c r="AA140" s="126" t="n"/>
      <c r="AB140" s="124" t="n"/>
      <c r="AC140" s="128">
        <f>IF(COUNT(S140,Y140,AA140)=0,"",SUM(S140,Y140,AA140))</f>
        <v/>
      </c>
      <c r="AD140" s="127">
        <f>IF(N(AC140)=0,"",SUM(V140,W140,X140,Z140,AB140)/AC140)</f>
        <v/>
      </c>
      <c r="AE140" s="126" t="n"/>
      <c r="AF140" s="126" t="n"/>
      <c r="AG140" s="126" t="n"/>
      <c r="AH140" s="128">
        <f>IF(COUNT(AE140,AF140,AG140)=0,"",SUM(AE140,AF140,AG140))</f>
        <v/>
      </c>
      <c r="AI140" s="126" t="n"/>
      <c r="AJ140" s="126" t="n"/>
      <c r="AK140" s="126" t="n"/>
      <c r="AL140" s="128">
        <f>IF(COUNT(AI140,AJ140,AK140)=0,"",SUM(AI140,AJ140,AK140))</f>
        <v/>
      </c>
      <c r="AM140" s="123">
        <f>IF(N(AC140)=0,"",IF(COUNT($AC$6:$AC$105)&lt;5,"Too early",IF(AC140&gt;=1.5*MEDIAN($AC$6:$AC$105),"Top",IF(AC140&lt;=0.5*MEDIAN($AC$6:$AC$105),"Low","Average"))))</f>
        <v/>
      </c>
      <c r="AN140" s="124" t="inlineStr">
        <is>
          <t>CI 2026-10-25: build produced no video</t>
        </is>
      </c>
      <c r="AO140" s="124" t="inlineStr">
        <is>
          <t>stick</t>
        </is>
      </c>
      <c r="AP140" s="129" t="n"/>
      <c r="AQ140" s="129" t="n"/>
      <c r="AR140" s="129" t="n"/>
      <c r="AS140" s="129" t="n"/>
      <c r="AT140" s="129" t="n"/>
      <c r="AU140" s="129" t="n"/>
      <c r="AV140" s="130" t="n"/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40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40" showDropDown="0" showInputMessage="0" showErrorMessage="0" allowBlank="1" type="list" errorStyle="stop" operator="between">
      <formula1>"Strong,Weak"</formula1>
      <formula2>0</formula2>
    </dataValidation>
    <dataValidation sqref="AO6:AO140" showDropDown="0" showInputMessage="0" showErrorMessage="0" allowBlank="1" type="list" errorStyle="stop" operator="between">
      <formula1>Looks!$A$5:$A$21</formula1>
      <formula2>0</formula2>
    </dataValidation>
    <dataValidation sqref="AP6:AP140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2026-10-11T22:10:01Z</dcterms:created>
  <dcterms:modified xsi:type="dcterms:W3CDTF">2026-10-25T07:36:38Z</dcterms:modified>
  <cp:revision>0</cp:revision>
</cp:coreProperties>
</file>