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orts idea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9">
    <font>
      <name val="Carlito"/>
      <sz val="11"/>
    </font>
    <font>
      <name val="Arial"/>
      <color rgb="FF111111"/>
      <sz val="11"/>
    </font>
    <font>
      <name val="Arial"/>
      <b val="1"/>
      <color rgb="FF111111"/>
      <sz val="16"/>
    </font>
    <font>
      <name val="Arial"/>
      <i val="1"/>
      <color rgb="FF555555"/>
      <sz val="10"/>
    </font>
    <font>
      <name val="Arial"/>
      <b val="1"/>
      <color rgb="FFFFFFFF"/>
      <sz val="11"/>
    </font>
    <font>
      <name val="Arial"/>
      <b val="1"/>
      <color rgb="FF555555"/>
      <sz val="10"/>
    </font>
    <font>
      <name val="Arial"/>
      <color rgb="FF0000FF"/>
      <sz val="11"/>
    </font>
    <font>
      <name val="Arial"/>
      <color rgb="FF555555"/>
      <sz val="10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FF3030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applyAlignment="1" pivotButton="0" quotePrefix="0" xfId="0">
      <alignment vertical="center" wrapText="1"/>
    </xf>
    <xf numFmtId="164" fontId="6" fillId="0" borderId="0" applyAlignment="1" pivotButton="0" quotePrefix="0" xfId="0">
      <alignment vertical="center" wrapText="1"/>
    </xf>
    <xf numFmtId="3" fontId="6" fillId="0" borderId="0" applyAlignment="1" pivotButton="0" quotePrefix="0" xfId="0">
      <alignment vertical="center" wrapText="1"/>
    </xf>
    <xf numFmtId="165" fontId="1" fillId="0" borderId="0" applyAlignment="1" pivotButton="0" quotePrefix="0" xfId="0">
      <alignment vertical="center" wrapText="1"/>
    </xf>
    <xf numFmtId="3" fontId="1" fillId="0" borderId="0" applyAlignment="1" pivotButton="0" quotePrefix="0" xfId="0">
      <alignment vertical="center" wrapText="1"/>
    </xf>
    <xf numFmtId="0" fontId="7" fillId="0" borderId="0" pivotButton="0" quotePrefix="0" xfId="0"/>
    <xf numFmtId="0" fontId="8" fillId="0" borderId="0" pivotButton="0" quotePrefix="0" xfId="0"/>
    <xf numFmtId="3" fontId="8" fillId="0" borderId="0" pivotButton="0" quotePrefix="0" xfId="0"/>
    <xf numFmtId="165" fontId="8" fillId="0" borderId="0" pivotButton="0" quotePrefix="0" xfId="0"/>
  </cellXfs>
  <cellStyles count="1">
    <cellStyle name="Normal" xfId="0"/>
  </cellStyles>
  <dxfs count="2">
    <dxf>
      <fill>
        <patternFill patternType="solid">
          <fgColor rgb="FFD9EAD3"/>
        </patternFill>
      </fill>
    </dxf>
    <dxf>
      <fill>
        <patternFill patternType="solid">
          <fgColor rgb="FFF4CC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Pipeline</author>
  </authors>
  <commentList>
    <comment ref="I4" authorId="0" shapeId="0">
      <text>
        <t>Blue = filled in by the daily pipeline (you can edit too). Black = formulas. Priority: lowest number with Status 'Idea' is made next — renumber to reorder.</t>
      </text>
    </comment>
  </commentList>
</comments>
</file>

<file path=xl/tables/table1.xml><?xml version="1.0" encoding="utf-8"?>
<table xmlns="http://schemas.openxmlformats.org/spreadsheetml/2006/main" id="1" name="PsychologyShorts" displayName="PsychologyShorts" ref="A5:H105" headerRowCount="1" totalsRowCount="0" totalsRowShown="0">
  <autoFilter ref="A5:H105"/>
  <tableColumns count="8">
    <tableColumn id="1" name="No."/>
    <tableColumn id="2" name="Theme"/>
    <tableColumn id="3" name="Video idea"/>
    <tableColumn id="4" name="Opening hook"/>
    <tableColumn id="5" name="Content outline"/>
    <tableColumn id="6" name="Visual / filming idea"/>
    <tableColumn id="7" name="Seconds"/>
    <tableColumn id="8" name="Statu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N105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25" customWidth="1" min="2" max="2"/>
    <col width="38" customWidth="1" min="3" max="3"/>
    <col width="48" customWidth="1" min="4" max="4"/>
    <col width="59" customWidth="1" min="5" max="5"/>
    <col width="39" customWidth="1" min="6" max="6"/>
    <col width="10" customWidth="1" min="7" max="7"/>
    <col width="17" customWidth="1" min="8" max="8"/>
    <col width="9" customWidth="1" min="9" max="9"/>
    <col width="12" customWidth="1" min="10" max="10"/>
    <col width="24" customWidth="1" min="11" max="11"/>
    <col width="12" customWidth="1" min="12" max="12"/>
    <col width="10" customWidth="1" min="13" max="13"/>
    <col width="11" customWidth="1" min="14" max="14"/>
    <col width="10" customWidth="1" min="15" max="15"/>
    <col width="40" customWidth="1" min="16" max="16"/>
    <col width="30" customWidth="1" min="17" max="17"/>
    <col width="14" customWidth="1" min="18" max="18"/>
    <col width="11" customWidth="1" min="19" max="19"/>
    <col width="12" customWidth="1" min="20" max="20"/>
    <col width="12" customWidth="1" min="21" max="21"/>
    <col width="10" customWidth="1" min="22" max="22"/>
    <col width="11" customWidth="1" min="23" max="23"/>
    <col width="10" customWidth="1" min="24" max="24"/>
    <col width="11" customWidth="1" min="25" max="25"/>
    <col width="10" customWidth="1" min="26" max="26"/>
    <col width="11" customWidth="1" min="27" max="27"/>
    <col width="10" customWidth="1" min="28" max="28"/>
    <col width="12" customWidth="1" min="29" max="29"/>
    <col width="12" customWidth="1" min="30" max="30"/>
    <col width="11" customWidth="1" min="31" max="31"/>
    <col width="11" customWidth="1" min="32" max="32"/>
    <col width="11" customWidth="1" min="33" max="33"/>
    <col width="12" customWidth="1" min="34" max="34"/>
    <col width="11" customWidth="1" min="35" max="35"/>
    <col width="11" customWidth="1" min="36" max="36"/>
    <col width="11" customWidth="1" min="37" max="37"/>
    <col width="12" customWidth="1" min="38" max="38"/>
    <col width="11" customWidth="1" min="39" max="39"/>
    <col width="50" customWidth="1" min="40" max="40"/>
  </cols>
  <sheetData>
    <row r="2">
      <c r="A2" s="2" t="inlineStr">
        <is>
          <t>100 Psychology YouTube Shorts Ideas</t>
        </is>
      </c>
      <c r="B2" s="1" t="n"/>
      <c r="C2" s="1" t="n"/>
      <c r="D2" s="1" t="n"/>
      <c r="E2" s="1" t="n"/>
      <c r="F2" s="1" t="n"/>
      <c r="G2" s="1" t="n"/>
      <c r="H2" s="1" t="n"/>
    </row>
    <row r="3">
      <c r="A3" s="3" t="inlineStr">
        <is>
          <t>Original concept prompts. Research and verify claims before scripting. Durations are suggested seconds.  Columns I→AN are filled by the daily Shorts pipeline; Priority sets the order.</t>
        </is>
      </c>
      <c r="B3" s="1" t="n"/>
      <c r="C3" s="1" t="n"/>
      <c r="D3" s="1" t="n"/>
      <c r="E3" s="1" t="n"/>
      <c r="F3" s="1" t="n"/>
      <c r="G3" s="1" t="n"/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9" t="inlineStr">
        <is>
          <t>PRODUCTION</t>
        </is>
      </c>
      <c r="S4" s="9" t="inlineStr">
        <is>
          <t>DAY 7</t>
        </is>
      </c>
      <c r="AE4" s="9" t="inlineStr">
        <is>
          <t>DAY 14</t>
        </is>
      </c>
      <c r="AI4" s="9" t="inlineStr">
        <is>
          <t>DAY 30</t>
        </is>
      </c>
      <c r="AM4" s="9" t="inlineStr">
        <is>
          <t>LEARNING</t>
        </is>
      </c>
    </row>
    <row r="5" ht="30" customHeight="1">
      <c r="A5" s="8" t="inlineStr">
        <is>
          <t>No.</t>
        </is>
      </c>
      <c r="B5" s="8" t="inlineStr">
        <is>
          <t>Theme</t>
        </is>
      </c>
      <c r="C5" s="8" t="inlineStr">
        <is>
          <t>Video idea</t>
        </is>
      </c>
      <c r="D5" s="8" t="inlineStr">
        <is>
          <t>Opening hook</t>
        </is>
      </c>
      <c r="E5" s="8" t="inlineStr">
        <is>
          <t>Content outline</t>
        </is>
      </c>
      <c r="F5" s="8" t="inlineStr">
        <is>
          <t>Visual / filming idea</t>
        </is>
      </c>
      <c r="G5" s="8" t="inlineStr">
        <is>
          <t>Seconds</t>
        </is>
      </c>
      <c r="H5" s="8" t="inlineStr">
        <is>
          <t>Status</t>
        </is>
      </c>
      <c r="I5" s="8" t="inlineStr">
        <is>
          <t>Priority</t>
        </is>
      </c>
      <c r="J5" s="8" t="inlineStr">
        <is>
          <t>Template fit</t>
        </is>
      </c>
      <c r="K5" s="8" t="inlineStr">
        <is>
          <t>Slug</t>
        </is>
      </c>
      <c r="L5" s="8" t="inlineStr">
        <is>
          <t>Post date</t>
        </is>
      </c>
      <c r="M5" s="8" t="inlineStr">
        <is>
          <t>Weekday</t>
        </is>
      </c>
      <c r="N5" s="8" t="inlineStr">
        <is>
          <t>Hook style</t>
        </is>
      </c>
      <c r="O5" s="8" t="inlineStr">
        <is>
          <t>Length (s)</t>
        </is>
      </c>
      <c r="P5" s="8" t="inlineStr">
        <is>
          <t>Title used</t>
        </is>
      </c>
      <c r="Q5" s="8" t="inlineStr">
        <is>
          <t>Source checked</t>
        </is>
      </c>
      <c r="R5" s="8" t="inlineStr">
        <is>
          <t>Metricool ID</t>
        </is>
      </c>
      <c r="S5" s="8" t="inlineStr">
        <is>
          <t>YT views d7</t>
        </is>
      </c>
      <c r="T5" s="8" t="inlineStr">
        <is>
          <t>YT avg view (s) d7</t>
        </is>
      </c>
      <c r="U5" s="8" t="inlineStr">
        <is>
          <t>YT retention d7</t>
        </is>
      </c>
      <c r="V5" s="8" t="inlineStr">
        <is>
          <t>YT likes d7</t>
        </is>
      </c>
      <c r="W5" s="8" t="inlineStr">
        <is>
          <t>YT comments d7</t>
        </is>
      </c>
      <c r="X5" s="8" t="inlineStr">
        <is>
          <t>YT shares d7</t>
        </is>
      </c>
      <c r="Y5" s="8" t="inlineStr">
        <is>
          <t>IG views d7</t>
        </is>
      </c>
      <c r="Z5" s="8" t="inlineStr">
        <is>
          <t>IG likes d7</t>
        </is>
      </c>
      <c r="AA5" s="8" t="inlineStr">
        <is>
          <t>TT views d7</t>
        </is>
      </c>
      <c r="AB5" s="8" t="inlineStr">
        <is>
          <t>TT likes d7</t>
        </is>
      </c>
      <c r="AC5" s="8" t="inlineStr">
        <is>
          <t>Total views d7</t>
        </is>
      </c>
      <c r="AD5" s="8" t="inlineStr">
        <is>
          <t>Engagement d7</t>
        </is>
      </c>
      <c r="AE5" s="8" t="inlineStr">
        <is>
          <t>YT views d14</t>
        </is>
      </c>
      <c r="AF5" s="8" t="inlineStr">
        <is>
          <t>IG views d14</t>
        </is>
      </c>
      <c r="AG5" s="8" t="inlineStr">
        <is>
          <t>TT views d14</t>
        </is>
      </c>
      <c r="AH5" s="8" t="inlineStr">
        <is>
          <t>Total views d14</t>
        </is>
      </c>
      <c r="AI5" s="8" t="inlineStr">
        <is>
          <t>YT views d30</t>
        </is>
      </c>
      <c r="AJ5" s="8" t="inlineStr">
        <is>
          <t>IG views d30</t>
        </is>
      </c>
      <c r="AK5" s="8" t="inlineStr">
        <is>
          <t>TT views d30</t>
        </is>
      </c>
      <c r="AL5" s="8" t="inlineStr">
        <is>
          <t>Total views d30</t>
        </is>
      </c>
      <c r="AM5" s="8" t="inlineStr">
        <is>
          <t>Verdict d7</t>
        </is>
      </c>
      <c r="AN5" s="8" t="inlineStr">
        <is>
          <t>Lesson / notes</t>
        </is>
      </c>
    </row>
    <row r="6" ht="60" customHeight="1">
      <c r="A6" s="5" t="n">
        <v>1</v>
      </c>
      <c r="B6" s="5" t="inlineStr">
        <is>
          <t>Cognitive biases</t>
        </is>
      </c>
      <c r="C6" s="5" t="inlineStr">
        <is>
          <t>The spotlight effect</t>
        </is>
      </c>
      <c r="D6" s="5" t="inlineStr">
        <is>
          <t>Think everyone noticed your awkward moment?</t>
        </is>
      </c>
      <c r="E6" s="5" t="inlineStr">
        <is>
          <t>Contrast what you noticed with what others were focused on.</t>
        </is>
      </c>
      <c r="F6" s="5" t="inlineStr">
        <is>
          <t>Crowded room with one imagined spotlight</t>
        </is>
      </c>
      <c r="G6" s="5" t="n">
        <v>45</v>
      </c>
      <c r="H6" s="5" t="inlineStr">
        <is>
          <t>Published</t>
        </is>
      </c>
      <c r="I6" s="10" t="n">
        <v>1</v>
      </c>
      <c r="J6" s="10" t="inlineStr">
        <is>
          <t>Strong</t>
        </is>
      </c>
      <c r="K6" s="10" t="inlineStr">
        <is>
          <t>spotlight-effect</t>
        </is>
      </c>
      <c r="L6" s="11" t="n">
        <v>46306</v>
      </c>
      <c r="M6" s="5">
        <f>IF(L6="","",TEXT(L6,"ddd"))</f>
        <v/>
      </c>
      <c r="N6" s="10" t="inlineStr">
        <is>
          <t>eyes</t>
        </is>
      </c>
      <c r="O6" s="10" t="n">
        <v>27</v>
      </c>
      <c r="P6" s="10" t="inlineStr">
        <is>
          <t>Why It Feels Like Everyone's Watching You | The Spotlight Effect</t>
        </is>
      </c>
      <c r="Q6" s="10" t="inlineStr">
        <is>
          <t>Gilovich, Medvec &amp; Savitsky (2000), JPSP 78(2)</t>
        </is>
      </c>
      <c r="R6" s="10" t="inlineStr">
        <is>
          <t>393438157</t>
        </is>
      </c>
      <c r="S6" s="12" t="n"/>
      <c r="T6" s="10" t="n"/>
      <c r="U6" s="13">
        <f>IF(OR(T6="",N(O6)=0),"",T6/O6)</f>
        <v/>
      </c>
      <c r="V6" s="10" t="n"/>
      <c r="W6" s="10" t="n"/>
      <c r="X6" s="10" t="n"/>
      <c r="Y6" s="12" t="n"/>
      <c r="Z6" s="10" t="n"/>
      <c r="AA6" s="12" t="n"/>
      <c r="AB6" s="10" t="n"/>
      <c r="AC6" s="14">
        <f>IF(COUNT(S6,Y6,AA6)=0,"",SUM(S6,Y6,AA6))</f>
        <v/>
      </c>
      <c r="AD6" s="13">
        <f>IF(N(AC6)=0,"",SUM(V6,W6,X6,Z6,AB6)/AC6)</f>
        <v/>
      </c>
      <c r="AE6" s="12" t="n"/>
      <c r="AF6" s="12" t="n"/>
      <c r="AG6" s="12" t="n"/>
      <c r="AH6" s="14">
        <f>IF(COUNT(AE6,AF6,AG6)=0,"",SUM(AE6,AF6,AG6))</f>
        <v/>
      </c>
      <c r="AI6" s="12" t="n"/>
      <c r="AJ6" s="12" t="n"/>
      <c r="AK6" s="12" t="n"/>
      <c r="AL6" s="14">
        <f>IF(COUNT(AI6,AJ6,AK6)=0,"",SUM(AI6,AJ6,AK6))</f>
        <v/>
      </c>
      <c r="AM6" s="5">
        <f>IF(N(AC6)=0,"",IF(COUNT($AC$6:$AC$105)&lt;5,"Too early",IF(AC6&gt;=1.5*MEDIAN($AC$6:$AC$105),"Top",IF(AC6&lt;=0.5*MEDIAN($AC$6:$AC$105),"Low","Average"))))</f>
        <v/>
      </c>
      <c r="AN6" s="10" t="inlineStr">
        <is>
          <t>Pilot: 16:9 horizontal, YouTube only — not comparable with the vertical Shorts.</t>
        </is>
      </c>
    </row>
    <row r="7" ht="60" customHeight="1">
      <c r="A7" s="5" t="n">
        <v>2</v>
      </c>
      <c r="B7" s="5" t="inlineStr">
        <is>
          <t>Cognitive biases</t>
        </is>
      </c>
      <c r="C7" s="5" t="inlineStr">
        <is>
          <t>Confirmation bias</t>
        </is>
      </c>
      <c r="D7" s="5" t="inlineStr">
        <is>
          <t>Could your feed be proving you right on purpose?</t>
        </is>
      </c>
      <c r="E7" s="5" t="inlineStr">
        <is>
          <t>Show two people interpreting the same headline differently.</t>
        </is>
      </c>
      <c r="F7" s="5" t="inlineStr">
        <is>
          <t>Split-screen headline reactions</t>
        </is>
      </c>
      <c r="G7" s="5" t="n">
        <v>45</v>
      </c>
      <c r="H7" s="5" t="inlineStr">
        <is>
          <t>Idea</t>
        </is>
      </c>
      <c r="I7" s="10" t="n">
        <v>11</v>
      </c>
      <c r="J7" s="10" t="inlineStr">
        <is>
          <t>Strong</t>
        </is>
      </c>
      <c r="K7" s="10" t="n"/>
      <c r="L7" s="11" t="n"/>
      <c r="M7" s="5">
        <f>IF(L7="","",TEXT(L7,"ddd"))</f>
        <v/>
      </c>
      <c r="N7" s="10" t="n"/>
      <c r="O7" s="10" t="n"/>
      <c r="P7" s="10" t="n"/>
      <c r="Q7" s="10" t="n"/>
      <c r="R7" s="10" t="n"/>
      <c r="S7" s="12" t="n"/>
      <c r="T7" s="10" t="n"/>
      <c r="U7" s="13">
        <f>IF(OR(T7="",N(O7)=0),"",T7/O7)</f>
        <v/>
      </c>
      <c r="V7" s="10" t="n"/>
      <c r="W7" s="10" t="n"/>
      <c r="X7" s="10" t="n"/>
      <c r="Y7" s="12" t="n"/>
      <c r="Z7" s="10" t="n"/>
      <c r="AA7" s="12" t="n"/>
      <c r="AB7" s="10" t="n"/>
      <c r="AC7" s="14">
        <f>IF(COUNT(S7,Y7,AA7)=0,"",SUM(S7,Y7,AA7))</f>
        <v/>
      </c>
      <c r="AD7" s="13">
        <f>IF(N(AC7)=0,"",SUM(V7,W7,X7,Z7,AB7)/AC7)</f>
        <v/>
      </c>
      <c r="AE7" s="12" t="n"/>
      <c r="AF7" s="12" t="n"/>
      <c r="AG7" s="12" t="n"/>
      <c r="AH7" s="14">
        <f>IF(COUNT(AE7,AF7,AG7)=0,"",SUM(AE7,AF7,AG7))</f>
        <v/>
      </c>
      <c r="AI7" s="12" t="n"/>
      <c r="AJ7" s="12" t="n"/>
      <c r="AK7" s="12" t="n"/>
      <c r="AL7" s="14">
        <f>IF(COUNT(AI7,AJ7,AK7)=0,"",SUM(AI7,AJ7,AK7))</f>
        <v/>
      </c>
      <c r="AM7" s="5">
        <f>IF(N(AC7)=0,"",IF(COUNT($AC$6:$AC$105)&lt;5,"Too early",IF(AC7&gt;=1.5*MEDIAN($AC$6:$AC$105),"Top",IF(AC7&lt;=0.5*MEDIAN($AC$6:$AC$105),"Low","Average"))))</f>
        <v/>
      </c>
      <c r="AN7" s="10" t="n"/>
    </row>
    <row r="8" ht="60" customHeight="1">
      <c r="A8" s="5" t="n">
        <v>3</v>
      </c>
      <c r="B8" s="5" t="inlineStr">
        <is>
          <t>Cognitive biases</t>
        </is>
      </c>
      <c r="C8" s="5" t="inlineStr">
        <is>
          <t>The anchoring effect</t>
        </is>
      </c>
      <c r="D8" s="5" t="inlineStr">
        <is>
          <t>Why does the first price stick in your head?</t>
        </is>
      </c>
      <c r="E8" s="5" t="inlineStr">
        <is>
          <t>Compare a price presented alone with one beside a higher price.</t>
        </is>
      </c>
      <c r="F8" s="5" t="inlineStr">
        <is>
          <t>Two price cards</t>
        </is>
      </c>
      <c r="G8" s="5" t="n">
        <v>45</v>
      </c>
      <c r="H8" s="5" t="inlineStr">
        <is>
          <t>Idea</t>
        </is>
      </c>
      <c r="I8" s="10" t="n">
        <v>21</v>
      </c>
      <c r="J8" s="10" t="inlineStr">
        <is>
          <t>Strong</t>
        </is>
      </c>
      <c r="K8" s="10" t="n"/>
      <c r="L8" s="11" t="n"/>
      <c r="M8" s="5">
        <f>IF(L8="","",TEXT(L8,"ddd"))</f>
        <v/>
      </c>
      <c r="N8" s="10" t="n"/>
      <c r="O8" s="10" t="n"/>
      <c r="P8" s="10" t="n"/>
      <c r="Q8" s="10" t="n"/>
      <c r="R8" s="10" t="n"/>
      <c r="S8" s="12" t="n"/>
      <c r="T8" s="10" t="n"/>
      <c r="U8" s="13">
        <f>IF(OR(T8="",N(O8)=0),"",T8/O8)</f>
        <v/>
      </c>
      <c r="V8" s="10" t="n"/>
      <c r="W8" s="10" t="n"/>
      <c r="X8" s="10" t="n"/>
      <c r="Y8" s="12" t="n"/>
      <c r="Z8" s="10" t="n"/>
      <c r="AA8" s="12" t="n"/>
      <c r="AB8" s="10" t="n"/>
      <c r="AC8" s="14">
        <f>IF(COUNT(S8,Y8,AA8)=0,"",SUM(S8,Y8,AA8))</f>
        <v/>
      </c>
      <c r="AD8" s="13">
        <f>IF(N(AC8)=0,"",SUM(V8,W8,X8,Z8,AB8)/AC8)</f>
        <v/>
      </c>
      <c r="AE8" s="12" t="n"/>
      <c r="AF8" s="12" t="n"/>
      <c r="AG8" s="12" t="n"/>
      <c r="AH8" s="14">
        <f>IF(COUNT(AE8,AF8,AG8)=0,"",SUM(AE8,AF8,AG8))</f>
        <v/>
      </c>
      <c r="AI8" s="12" t="n"/>
      <c r="AJ8" s="12" t="n"/>
      <c r="AK8" s="12" t="n"/>
      <c r="AL8" s="14">
        <f>IF(COUNT(AI8,AJ8,AK8)=0,"",SUM(AI8,AJ8,AK8))</f>
        <v/>
      </c>
      <c r="AM8" s="5">
        <f>IF(N(AC8)=0,"",IF(COUNT($AC$6:$AC$105)&lt;5,"Too early",IF(AC8&gt;=1.5*MEDIAN($AC$6:$AC$105),"Top",IF(AC8&lt;=0.5*MEDIAN($AC$6:$AC$105),"Low","Average"))))</f>
        <v/>
      </c>
      <c r="AN8" s="10" t="n"/>
    </row>
    <row r="9" ht="60" customHeight="1">
      <c r="A9" s="5" t="n">
        <v>4</v>
      </c>
      <c r="B9" s="5" t="inlineStr">
        <is>
          <t>Cognitive biases</t>
        </is>
      </c>
      <c r="C9" s="5" t="inlineStr">
        <is>
          <t>The availability heuristic</t>
        </is>
      </c>
      <c r="D9" s="5" t="inlineStr">
        <is>
          <t>Why can a scary headline feel like a common event?</t>
        </is>
      </c>
      <c r="E9" s="5" t="inlineStr">
        <is>
          <t>Explain how memorable examples can distort frequency judgments.</t>
        </is>
      </c>
      <c r="F9" s="5" t="inlineStr">
        <is>
          <t>News clip illustration and frequency chart</t>
        </is>
      </c>
      <c r="G9" s="5" t="n">
        <v>45</v>
      </c>
      <c r="H9" s="5" t="inlineStr">
        <is>
          <t>Idea</t>
        </is>
      </c>
      <c r="I9" s="10" t="n">
        <v>30</v>
      </c>
      <c r="J9" s="10" t="inlineStr">
        <is>
          <t>Strong</t>
        </is>
      </c>
      <c r="K9" s="10" t="n"/>
      <c r="L9" s="11" t="n"/>
      <c r="M9" s="5">
        <f>IF(L9="","",TEXT(L9,"ddd"))</f>
        <v/>
      </c>
      <c r="N9" s="10" t="n"/>
      <c r="O9" s="10" t="n"/>
      <c r="P9" s="10" t="n"/>
      <c r="Q9" s="10" t="n"/>
      <c r="R9" s="10" t="n"/>
      <c r="S9" s="12" t="n"/>
      <c r="T9" s="10" t="n"/>
      <c r="U9" s="13">
        <f>IF(OR(T9="",N(O9)=0),"",T9/O9)</f>
        <v/>
      </c>
      <c r="V9" s="10" t="n"/>
      <c r="W9" s="10" t="n"/>
      <c r="X9" s="10" t="n"/>
      <c r="Y9" s="12" t="n"/>
      <c r="Z9" s="10" t="n"/>
      <c r="AA9" s="12" t="n"/>
      <c r="AB9" s="10" t="n"/>
      <c r="AC9" s="14">
        <f>IF(COUNT(S9,Y9,AA9)=0,"",SUM(S9,Y9,AA9))</f>
        <v/>
      </c>
      <c r="AD9" s="13">
        <f>IF(N(AC9)=0,"",SUM(V9,W9,X9,Z9,AB9)/AC9)</f>
        <v/>
      </c>
      <c r="AE9" s="12" t="n"/>
      <c r="AF9" s="12" t="n"/>
      <c r="AG9" s="12" t="n"/>
      <c r="AH9" s="14">
        <f>IF(COUNT(AE9,AF9,AG9)=0,"",SUM(AE9,AF9,AG9))</f>
        <v/>
      </c>
      <c r="AI9" s="12" t="n"/>
      <c r="AJ9" s="12" t="n"/>
      <c r="AK9" s="12" t="n"/>
      <c r="AL9" s="14">
        <f>IF(COUNT(AI9,AJ9,AK9)=0,"",SUM(AI9,AJ9,AK9))</f>
        <v/>
      </c>
      <c r="AM9" s="5">
        <f>IF(N(AC9)=0,"",IF(COUNT($AC$6:$AC$105)&lt;5,"Too early",IF(AC9&gt;=1.5*MEDIAN($AC$6:$AC$105),"Top",IF(AC9&lt;=0.5*MEDIAN($AC$6:$AC$105),"Low","Average"))))</f>
        <v/>
      </c>
      <c r="AN9" s="10" t="n"/>
    </row>
    <row r="10" ht="60" customHeight="1">
      <c r="A10" s="5" t="n">
        <v>5</v>
      </c>
      <c r="B10" s="5" t="inlineStr">
        <is>
          <t>Cognitive biases</t>
        </is>
      </c>
      <c r="C10" s="5" t="inlineStr">
        <is>
          <t>The sunk-cost trap</t>
        </is>
      </c>
      <c r="D10" s="5" t="inlineStr">
        <is>
          <t>Would you keep watching a terrible movie just because you paid?</t>
        </is>
      </c>
      <c r="E10" s="5" t="inlineStr">
        <is>
          <t>Separate past spending from the next decision.</t>
        </is>
      </c>
      <c r="F10" s="5" t="inlineStr">
        <is>
          <t>Movie ticket and exit door</t>
        </is>
      </c>
      <c r="G10" s="5" t="n">
        <v>45</v>
      </c>
      <c r="H10" s="5" t="inlineStr">
        <is>
          <t>Idea</t>
        </is>
      </c>
      <c r="I10" s="10" t="n">
        <v>38</v>
      </c>
      <c r="J10" s="10" t="inlineStr">
        <is>
          <t>Strong</t>
        </is>
      </c>
      <c r="K10" s="10" t="n"/>
      <c r="L10" s="11" t="n"/>
      <c r="M10" s="5">
        <f>IF(L10="","",TEXT(L10,"ddd"))</f>
        <v/>
      </c>
      <c r="N10" s="10" t="n"/>
      <c r="O10" s="10" t="n"/>
      <c r="P10" s="10" t="n"/>
      <c r="Q10" s="10" t="n"/>
      <c r="R10" s="10" t="n"/>
      <c r="S10" s="12" t="n"/>
      <c r="T10" s="10" t="n"/>
      <c r="U10" s="13">
        <f>IF(OR(T10="",N(O10)=0),"",T10/O10)</f>
        <v/>
      </c>
      <c r="V10" s="10" t="n"/>
      <c r="W10" s="10" t="n"/>
      <c r="X10" s="10" t="n"/>
      <c r="Y10" s="12" t="n"/>
      <c r="Z10" s="10" t="n"/>
      <c r="AA10" s="12" t="n"/>
      <c r="AB10" s="10" t="n"/>
      <c r="AC10" s="14">
        <f>IF(COUNT(S10,Y10,AA10)=0,"",SUM(S10,Y10,AA10))</f>
        <v/>
      </c>
      <c r="AD10" s="13">
        <f>IF(N(AC10)=0,"",SUM(V10,W10,X10,Z10,AB10)/AC10)</f>
        <v/>
      </c>
      <c r="AE10" s="12" t="n"/>
      <c r="AF10" s="12" t="n"/>
      <c r="AG10" s="12" t="n"/>
      <c r="AH10" s="14">
        <f>IF(COUNT(AE10,AF10,AG10)=0,"",SUM(AE10,AF10,AG10))</f>
        <v/>
      </c>
      <c r="AI10" s="12" t="n"/>
      <c r="AJ10" s="12" t="n"/>
      <c r="AK10" s="12" t="n"/>
      <c r="AL10" s="14">
        <f>IF(COUNT(AI10,AJ10,AK10)=0,"",SUM(AI10,AJ10,AK10))</f>
        <v/>
      </c>
      <c r="AM10" s="5">
        <f>IF(N(AC10)=0,"",IF(COUNT($AC$6:$AC$105)&lt;5,"Too early",IF(AC10&gt;=1.5*MEDIAN($AC$6:$AC$105),"Top",IF(AC10&lt;=0.5*MEDIAN($AC$6:$AC$105),"Low","Average"))))</f>
        <v/>
      </c>
      <c r="AN10" s="10" t="n"/>
    </row>
    <row r="11" ht="60" customHeight="1">
      <c r="A11" s="5" t="n">
        <v>6</v>
      </c>
      <c r="B11" s="5" t="inlineStr">
        <is>
          <t>Cognitive biases</t>
        </is>
      </c>
      <c r="C11" s="5" t="inlineStr">
        <is>
          <t>The halo effect</t>
        </is>
      </c>
      <c r="D11" s="5" t="inlineStr">
        <is>
          <t>Can one good trait change your whole impression?</t>
        </is>
      </c>
      <c r="E11" s="5" t="inlineStr">
        <is>
          <t>Show how polished appearance can influence unrelated judgments.</t>
        </is>
      </c>
      <c r="F11" s="5" t="inlineStr">
        <is>
          <t>Same résumé with different presentation</t>
        </is>
      </c>
      <c r="G11" s="5" t="n">
        <v>45</v>
      </c>
      <c r="H11" s="5" t="inlineStr">
        <is>
          <t>Idea</t>
        </is>
      </c>
      <c r="I11" s="10" t="n">
        <v>45</v>
      </c>
      <c r="J11" s="10" t="inlineStr">
        <is>
          <t>Strong</t>
        </is>
      </c>
      <c r="K11" s="10" t="n"/>
      <c r="L11" s="11" t="n"/>
      <c r="M11" s="5">
        <f>IF(L11="","",TEXT(L11,"ddd"))</f>
        <v/>
      </c>
      <c r="N11" s="10" t="n"/>
      <c r="O11" s="10" t="n"/>
      <c r="P11" s="10" t="n"/>
      <c r="Q11" s="10" t="n"/>
      <c r="R11" s="10" t="n"/>
      <c r="S11" s="12" t="n"/>
      <c r="T11" s="10" t="n"/>
      <c r="U11" s="13">
        <f>IF(OR(T11="",N(O11)=0),"",T11/O11)</f>
        <v/>
      </c>
      <c r="V11" s="10" t="n"/>
      <c r="W11" s="10" t="n"/>
      <c r="X11" s="10" t="n"/>
      <c r="Y11" s="12" t="n"/>
      <c r="Z11" s="10" t="n"/>
      <c r="AA11" s="12" t="n"/>
      <c r="AB11" s="10" t="n"/>
      <c r="AC11" s="14">
        <f>IF(COUNT(S11,Y11,AA11)=0,"",SUM(S11,Y11,AA11))</f>
        <v/>
      </c>
      <c r="AD11" s="13">
        <f>IF(N(AC11)=0,"",SUM(V11,W11,X11,Z11,AB11)/AC11)</f>
        <v/>
      </c>
      <c r="AE11" s="12" t="n"/>
      <c r="AF11" s="12" t="n"/>
      <c r="AG11" s="12" t="n"/>
      <c r="AH11" s="14">
        <f>IF(COUNT(AE11,AF11,AG11)=0,"",SUM(AE11,AF11,AG11))</f>
        <v/>
      </c>
      <c r="AI11" s="12" t="n"/>
      <c r="AJ11" s="12" t="n"/>
      <c r="AK11" s="12" t="n"/>
      <c r="AL11" s="14">
        <f>IF(COUNT(AI11,AJ11,AK11)=0,"",SUM(AI11,AJ11,AK11))</f>
        <v/>
      </c>
      <c r="AM11" s="5">
        <f>IF(N(AC11)=0,"",IF(COUNT($AC$6:$AC$105)&lt;5,"Too early",IF(AC11&gt;=1.5*MEDIAN($AC$6:$AC$105),"Top",IF(AC11&lt;=0.5*MEDIAN($AC$6:$AC$105),"Low","Average"))))</f>
        <v/>
      </c>
      <c r="AN11" s="10" t="n"/>
    </row>
    <row r="12" ht="60" customHeight="1">
      <c r="A12" s="5" t="n">
        <v>7</v>
      </c>
      <c r="B12" s="5" t="inlineStr">
        <is>
          <t>Cognitive biases</t>
        </is>
      </c>
      <c r="C12" s="5" t="inlineStr">
        <is>
          <t>Hindsight bias</t>
        </is>
      </c>
      <c r="D12" s="5" t="inlineStr">
        <is>
          <t>Why does everything seem obvious afterward?</t>
        </is>
      </c>
      <c r="E12" s="5" t="inlineStr">
        <is>
          <t>Reveal a prediction before and after an outcome.</t>
        </is>
      </c>
      <c r="F12" s="5" t="inlineStr">
        <is>
          <t>Sealed prediction envelope</t>
        </is>
      </c>
      <c r="G12" s="5" t="n">
        <v>45</v>
      </c>
      <c r="H12" s="5" t="inlineStr">
        <is>
          <t>Idea</t>
        </is>
      </c>
      <c r="I12" s="10" t="n">
        <v>52</v>
      </c>
      <c r="J12" s="10" t="inlineStr">
        <is>
          <t>Strong</t>
        </is>
      </c>
      <c r="K12" s="10" t="n"/>
      <c r="L12" s="11" t="n"/>
      <c r="M12" s="5">
        <f>IF(L12="","",TEXT(L12,"ddd"))</f>
        <v/>
      </c>
      <c r="N12" s="10" t="n"/>
      <c r="O12" s="10" t="n"/>
      <c r="P12" s="10" t="n"/>
      <c r="Q12" s="10" t="n"/>
      <c r="R12" s="10" t="n"/>
      <c r="S12" s="12" t="n"/>
      <c r="T12" s="10" t="n"/>
      <c r="U12" s="13">
        <f>IF(OR(T12="",N(O12)=0),"",T12/O12)</f>
        <v/>
      </c>
      <c r="V12" s="10" t="n"/>
      <c r="W12" s="10" t="n"/>
      <c r="X12" s="10" t="n"/>
      <c r="Y12" s="12" t="n"/>
      <c r="Z12" s="10" t="n"/>
      <c r="AA12" s="12" t="n"/>
      <c r="AB12" s="10" t="n"/>
      <c r="AC12" s="14">
        <f>IF(COUNT(S12,Y12,AA12)=0,"",SUM(S12,Y12,AA12))</f>
        <v/>
      </c>
      <c r="AD12" s="13">
        <f>IF(N(AC12)=0,"",SUM(V12,W12,X12,Z12,AB12)/AC12)</f>
        <v/>
      </c>
      <c r="AE12" s="12" t="n"/>
      <c r="AF12" s="12" t="n"/>
      <c r="AG12" s="12" t="n"/>
      <c r="AH12" s="14">
        <f>IF(COUNT(AE12,AF12,AG12)=0,"",SUM(AE12,AF12,AG12))</f>
        <v/>
      </c>
      <c r="AI12" s="12" t="n"/>
      <c r="AJ12" s="12" t="n"/>
      <c r="AK12" s="12" t="n"/>
      <c r="AL12" s="14">
        <f>IF(COUNT(AI12,AJ12,AK12)=0,"",SUM(AI12,AJ12,AK12))</f>
        <v/>
      </c>
      <c r="AM12" s="5">
        <f>IF(N(AC12)=0,"",IF(COUNT($AC$6:$AC$105)&lt;5,"Too early",IF(AC12&gt;=1.5*MEDIAN($AC$6:$AC$105),"Top",IF(AC12&lt;=0.5*MEDIAN($AC$6:$AC$105),"Low","Average"))))</f>
        <v/>
      </c>
      <c r="AN12" s="10" t="n"/>
    </row>
    <row r="13" ht="60" customHeight="1">
      <c r="A13" s="5" t="n">
        <v>8</v>
      </c>
      <c r="B13" s="5" t="inlineStr">
        <is>
          <t>Cognitive biases</t>
        </is>
      </c>
      <c r="C13" s="5" t="inlineStr">
        <is>
          <t>Framing effects</t>
        </is>
      </c>
      <c r="D13" s="5" t="inlineStr">
        <is>
          <t>Would you choose differently if the wording changed?</t>
        </is>
      </c>
      <c r="E13" s="5" t="inlineStr">
        <is>
          <t>Present equivalent outcomes as gains and losses.</t>
        </is>
      </c>
      <c r="F13" s="5" t="inlineStr">
        <is>
          <t>Matching percentage cards</t>
        </is>
      </c>
      <c r="G13" s="5" t="n">
        <v>45</v>
      </c>
      <c r="H13" s="5" t="inlineStr">
        <is>
          <t>Idea</t>
        </is>
      </c>
      <c r="I13" s="10" t="n">
        <v>58</v>
      </c>
      <c r="J13" s="10" t="inlineStr">
        <is>
          <t>Strong</t>
        </is>
      </c>
      <c r="K13" s="10" t="n"/>
      <c r="L13" s="11" t="n"/>
      <c r="M13" s="5">
        <f>IF(L13="","",TEXT(L13,"ddd"))</f>
        <v/>
      </c>
      <c r="N13" s="10" t="n"/>
      <c r="O13" s="10" t="n"/>
      <c r="P13" s="10" t="n"/>
      <c r="Q13" s="10" t="n"/>
      <c r="R13" s="10" t="n"/>
      <c r="S13" s="12" t="n"/>
      <c r="T13" s="10" t="n"/>
      <c r="U13" s="13">
        <f>IF(OR(T13="",N(O13)=0),"",T13/O13)</f>
        <v/>
      </c>
      <c r="V13" s="10" t="n"/>
      <c r="W13" s="10" t="n"/>
      <c r="X13" s="10" t="n"/>
      <c r="Y13" s="12" t="n"/>
      <c r="Z13" s="10" t="n"/>
      <c r="AA13" s="12" t="n"/>
      <c r="AB13" s="10" t="n"/>
      <c r="AC13" s="14">
        <f>IF(COUNT(S13,Y13,AA13)=0,"",SUM(S13,Y13,AA13))</f>
        <v/>
      </c>
      <c r="AD13" s="13">
        <f>IF(N(AC13)=0,"",SUM(V13,W13,X13,Z13,AB13)/AC13)</f>
        <v/>
      </c>
      <c r="AE13" s="12" t="n"/>
      <c r="AF13" s="12" t="n"/>
      <c r="AG13" s="12" t="n"/>
      <c r="AH13" s="14">
        <f>IF(COUNT(AE13,AF13,AG13)=0,"",SUM(AE13,AF13,AG13))</f>
        <v/>
      </c>
      <c r="AI13" s="12" t="n"/>
      <c r="AJ13" s="12" t="n"/>
      <c r="AK13" s="12" t="n"/>
      <c r="AL13" s="14">
        <f>IF(COUNT(AI13,AJ13,AK13)=0,"",SUM(AI13,AJ13,AK13))</f>
        <v/>
      </c>
      <c r="AM13" s="5">
        <f>IF(N(AC13)=0,"",IF(COUNT($AC$6:$AC$105)&lt;5,"Too early",IF(AC13&gt;=1.5*MEDIAN($AC$6:$AC$105),"Top",IF(AC13&lt;=0.5*MEDIAN($AC$6:$AC$105),"Low","Average"))))</f>
        <v/>
      </c>
      <c r="AN13" s="10" t="n"/>
    </row>
    <row r="14" ht="60" customHeight="1">
      <c r="A14" s="5" t="n">
        <v>9</v>
      </c>
      <c r="B14" s="5" t="inlineStr">
        <is>
          <t>Cognitive biases</t>
        </is>
      </c>
      <c r="C14" s="5" t="inlineStr">
        <is>
          <t>The default effect</t>
        </is>
      </c>
      <c r="D14" s="5" t="inlineStr">
        <is>
          <t>Did you choose it, or was it already selected?</t>
        </is>
      </c>
      <c r="E14" s="5" t="inlineStr">
        <is>
          <t>Compare an opt-in form with a preselected option.</t>
        </is>
      </c>
      <c r="F14" s="5" t="inlineStr">
        <is>
          <t>Mock settings screen</t>
        </is>
      </c>
      <c r="G14" s="5" t="n">
        <v>45</v>
      </c>
      <c r="H14" s="5" t="inlineStr">
        <is>
          <t>Idea</t>
        </is>
      </c>
      <c r="I14" s="10" t="n">
        <v>64</v>
      </c>
      <c r="J14" s="10" t="inlineStr">
        <is>
          <t>Strong</t>
        </is>
      </c>
      <c r="K14" s="10" t="n"/>
      <c r="L14" s="11" t="n"/>
      <c r="M14" s="5">
        <f>IF(L14="","",TEXT(L14,"ddd"))</f>
        <v/>
      </c>
      <c r="N14" s="10" t="n"/>
      <c r="O14" s="10" t="n"/>
      <c r="P14" s="10" t="n"/>
      <c r="Q14" s="10" t="n"/>
      <c r="R14" s="10" t="n"/>
      <c r="S14" s="12" t="n"/>
      <c r="T14" s="10" t="n"/>
      <c r="U14" s="13">
        <f>IF(OR(T14="",N(O14)=0),"",T14/O14)</f>
        <v/>
      </c>
      <c r="V14" s="10" t="n"/>
      <c r="W14" s="10" t="n"/>
      <c r="X14" s="10" t="n"/>
      <c r="Y14" s="12" t="n"/>
      <c r="Z14" s="10" t="n"/>
      <c r="AA14" s="12" t="n"/>
      <c r="AB14" s="10" t="n"/>
      <c r="AC14" s="14">
        <f>IF(COUNT(S14,Y14,AA14)=0,"",SUM(S14,Y14,AA14))</f>
        <v/>
      </c>
      <c r="AD14" s="13">
        <f>IF(N(AC14)=0,"",SUM(V14,W14,X14,Z14,AB14)/AC14)</f>
        <v/>
      </c>
      <c r="AE14" s="12" t="n"/>
      <c r="AF14" s="12" t="n"/>
      <c r="AG14" s="12" t="n"/>
      <c r="AH14" s="14">
        <f>IF(COUNT(AE14,AF14,AG14)=0,"",SUM(AE14,AF14,AG14))</f>
        <v/>
      </c>
      <c r="AI14" s="12" t="n"/>
      <c r="AJ14" s="12" t="n"/>
      <c r="AK14" s="12" t="n"/>
      <c r="AL14" s="14">
        <f>IF(COUNT(AI14,AJ14,AK14)=0,"",SUM(AI14,AJ14,AK14))</f>
        <v/>
      </c>
      <c r="AM14" s="5">
        <f>IF(N(AC14)=0,"",IF(COUNT($AC$6:$AC$105)&lt;5,"Too early",IF(AC14&gt;=1.5*MEDIAN($AC$6:$AC$105),"Top",IF(AC14&lt;=0.5*MEDIAN($AC$6:$AC$105),"Low","Average"))))</f>
        <v/>
      </c>
      <c r="AN14" s="10" t="n"/>
    </row>
    <row r="15" ht="60" customHeight="1">
      <c r="A15" s="5" t="n">
        <v>10</v>
      </c>
      <c r="B15" s="5" t="inlineStr">
        <is>
          <t>Cognitive biases</t>
        </is>
      </c>
      <c r="C15" s="5" t="inlineStr">
        <is>
          <t>The fundamental attribution error</t>
        </is>
      </c>
      <c r="D15" s="5" t="inlineStr">
        <is>
          <t>Why is their mistake a personality flaw, but yours has a reason?</t>
        </is>
      </c>
      <c r="E15" s="5" t="inlineStr">
        <is>
          <t>Compare explanations for your lateness and someone else's.</t>
        </is>
      </c>
      <c r="F15" s="5" t="inlineStr">
        <is>
          <t>Two late arrivals</t>
        </is>
      </c>
      <c r="G15" s="5" t="n">
        <v>45</v>
      </c>
      <c r="H15" s="5" t="inlineStr">
        <is>
          <t>Idea</t>
        </is>
      </c>
      <c r="I15" s="10" t="n">
        <v>69</v>
      </c>
      <c r="J15" s="10" t="inlineStr">
        <is>
          <t>Strong</t>
        </is>
      </c>
      <c r="K15" s="10" t="n"/>
      <c r="L15" s="11" t="n"/>
      <c r="M15" s="5">
        <f>IF(L15="","",TEXT(L15,"ddd"))</f>
        <v/>
      </c>
      <c r="N15" s="10" t="n"/>
      <c r="O15" s="10" t="n"/>
      <c r="P15" s="10" t="n"/>
      <c r="Q15" s="10" t="n"/>
      <c r="R15" s="10" t="n"/>
      <c r="S15" s="12" t="n"/>
      <c r="T15" s="10" t="n"/>
      <c r="U15" s="13">
        <f>IF(OR(T15="",N(O15)=0),"",T15/O15)</f>
        <v/>
      </c>
      <c r="V15" s="10" t="n"/>
      <c r="W15" s="10" t="n"/>
      <c r="X15" s="10" t="n"/>
      <c r="Y15" s="12" t="n"/>
      <c r="Z15" s="10" t="n"/>
      <c r="AA15" s="12" t="n"/>
      <c r="AB15" s="10" t="n"/>
      <c r="AC15" s="14">
        <f>IF(COUNT(S15,Y15,AA15)=0,"",SUM(S15,Y15,AA15))</f>
        <v/>
      </c>
      <c r="AD15" s="13">
        <f>IF(N(AC15)=0,"",SUM(V15,W15,X15,Z15,AB15)/AC15)</f>
        <v/>
      </c>
      <c r="AE15" s="12" t="n"/>
      <c r="AF15" s="12" t="n"/>
      <c r="AG15" s="12" t="n"/>
      <c r="AH15" s="14">
        <f>IF(COUNT(AE15,AF15,AG15)=0,"",SUM(AE15,AF15,AG15))</f>
        <v/>
      </c>
      <c r="AI15" s="12" t="n"/>
      <c r="AJ15" s="12" t="n"/>
      <c r="AK15" s="12" t="n"/>
      <c r="AL15" s="14">
        <f>IF(COUNT(AI15,AJ15,AK15)=0,"",SUM(AI15,AJ15,AK15))</f>
        <v/>
      </c>
      <c r="AM15" s="5">
        <f>IF(N(AC15)=0,"",IF(COUNT($AC$6:$AC$105)&lt;5,"Too early",IF(AC15&gt;=1.5*MEDIAN($AC$6:$AC$105),"Top",IF(AC15&lt;=0.5*MEDIAN($AC$6:$AC$105),"Low","Average"))))</f>
        <v/>
      </c>
      <c r="AN15" s="10" t="n"/>
    </row>
    <row r="16" ht="60" customHeight="1">
      <c r="A16" s="5" t="n">
        <v>11</v>
      </c>
      <c r="B16" s="5" t="inlineStr">
        <is>
          <t>Memory and learning</t>
        </is>
      </c>
      <c r="C16" s="5" t="inlineStr">
        <is>
          <t>Recognition versus recall</t>
        </is>
      </c>
      <c r="D16" s="5" t="inlineStr">
        <is>
          <t>Recognizing the answer isn't the same as knowing it.</t>
        </is>
      </c>
      <c r="E16" s="5" t="inlineStr">
        <is>
          <t>Compare multiple choice with explaining from a blank page.</t>
        </is>
      </c>
      <c r="F16" s="5" t="inlineStr">
        <is>
          <t>Quiz cards</t>
        </is>
      </c>
      <c r="G16" s="5" t="n">
        <v>45</v>
      </c>
      <c r="H16" s="5" t="inlineStr">
        <is>
          <t>Scheduled</t>
        </is>
      </c>
      <c r="I16" s="10" t="n">
        <v>2</v>
      </c>
      <c r="J16" s="10" t="inlineStr">
        <is>
          <t>Strong</t>
        </is>
      </c>
      <c r="K16" s="10" t="inlineStr">
        <is>
          <t>recognition-vs-recall</t>
        </is>
      </c>
      <c r="L16" s="11" t="n">
        <v>46307</v>
      </c>
      <c r="M16" s="5">
        <f>IF(L16="","",TEXT(L16,"ddd"))</f>
        <v/>
      </c>
      <c r="N16" s="10" t="inlineStr">
        <is>
          <t>thoughts</t>
        </is>
      </c>
      <c r="O16" s="10" t="n">
        <v>35</v>
      </c>
      <c r="P16" s="10" t="inlineStr">
        <is>
          <t>Why You Recognize Answers You Can't Remember #shorts</t>
        </is>
      </c>
      <c r="Q16" s="10" t="inlineStr">
        <is>
          <t>Bahrick, Bahrick &amp; Wittlinger 1975, J Exp Psych: General 104(1):54-75 (ERIC EJ113581); 90% recognition over ~15 yrs and steady free-recall decline per Conway, Cohen &amp; Stanhope 1991 review + Simply Psychology. Recall % left out (secondary sources disagree).</t>
        </is>
      </c>
      <c r="R16" s="10" t="inlineStr">
        <is>
          <t>3390233992092010605</t>
        </is>
      </c>
      <c r="S16" s="12" t="n"/>
      <c r="T16" s="10" t="n"/>
      <c r="U16" s="13">
        <f>IF(OR(T16="",N(O16)=0),"",T16/O16)</f>
        <v/>
      </c>
      <c r="V16" s="10" t="n"/>
      <c r="W16" s="10" t="n"/>
      <c r="X16" s="10" t="n"/>
      <c r="Y16" s="12" t="n"/>
      <c r="Z16" s="10" t="n"/>
      <c r="AA16" s="12" t="n"/>
      <c r="AB16" s="10" t="n"/>
      <c r="AC16" s="14">
        <f>IF(COUNT(S16,Y16,AA16)=0,"",SUM(S16,Y16,AA16))</f>
        <v/>
      </c>
      <c r="AD16" s="13">
        <f>IF(N(AC16)=0,"",SUM(V16,W16,X16,Z16,AB16)/AC16)</f>
        <v/>
      </c>
      <c r="AE16" s="12" t="n"/>
      <c r="AF16" s="12" t="n"/>
      <c r="AG16" s="12" t="n"/>
      <c r="AH16" s="14">
        <f>IF(COUNT(AE16,AF16,AG16)=0,"",SUM(AE16,AF16,AG16))</f>
        <v/>
      </c>
      <c r="AI16" s="12" t="n"/>
      <c r="AJ16" s="12" t="n"/>
      <c r="AK16" s="12" t="n"/>
      <c r="AL16" s="14">
        <f>IF(COUNT(AI16,AJ16,AK16)=0,"",SUM(AI16,AJ16,AK16))</f>
        <v/>
      </c>
      <c r="AM16" s="5">
        <f>IF(N(AC16)=0,"",IF(COUNT($AC$6:$AC$105)&lt;5,"Too early",IF(AC16&gt;=1.5*MEDIAN($AC$6:$AC$105),"Top",IF(AC16&lt;=0.5*MEDIAN($AC$6:$AC$105),"Low","Average"))))</f>
        <v/>
      </c>
      <c r="AN16" s="10" t="n"/>
    </row>
    <row r="17" ht="60" customHeight="1">
      <c r="A17" s="5" t="n">
        <v>12</v>
      </c>
      <c r="B17" s="5" t="inlineStr">
        <is>
          <t>Memory and learning</t>
        </is>
      </c>
      <c r="C17" s="5" t="inlineStr">
        <is>
          <t>The testing effect</t>
        </is>
      </c>
      <c r="D17" s="5" t="inlineStr">
        <is>
          <t>Can a mini quiz help more than another reread?</t>
        </is>
      </c>
      <c r="E17" s="5" t="inlineStr">
        <is>
          <t>Show a study session with retrieval and later checking.</t>
        </is>
      </c>
      <c r="F17" s="5" t="inlineStr">
        <is>
          <t>Notebook closed then reopened</t>
        </is>
      </c>
      <c r="G17" s="5" t="n">
        <v>45</v>
      </c>
      <c r="H17" s="5" t="inlineStr">
        <is>
          <t>Idea</t>
        </is>
      </c>
      <c r="I17" s="10" t="n">
        <v>12</v>
      </c>
      <c r="J17" s="10" t="inlineStr">
        <is>
          <t>Strong</t>
        </is>
      </c>
      <c r="K17" s="10" t="n"/>
      <c r="L17" s="11" t="n"/>
      <c r="M17" s="5">
        <f>IF(L17="","",TEXT(L17,"ddd"))</f>
        <v/>
      </c>
      <c r="N17" s="10" t="n"/>
      <c r="O17" s="10" t="n"/>
      <c r="P17" s="10" t="n"/>
      <c r="Q17" s="10" t="n"/>
      <c r="R17" s="10" t="n"/>
      <c r="S17" s="12" t="n"/>
      <c r="T17" s="10" t="n"/>
      <c r="U17" s="13">
        <f>IF(OR(T17="",N(O17)=0),"",T17/O17)</f>
        <v/>
      </c>
      <c r="V17" s="10" t="n"/>
      <c r="W17" s="10" t="n"/>
      <c r="X17" s="10" t="n"/>
      <c r="Y17" s="12" t="n"/>
      <c r="Z17" s="10" t="n"/>
      <c r="AA17" s="12" t="n"/>
      <c r="AB17" s="10" t="n"/>
      <c r="AC17" s="14">
        <f>IF(COUNT(S17,Y17,AA17)=0,"",SUM(S17,Y17,AA17))</f>
        <v/>
      </c>
      <c r="AD17" s="13">
        <f>IF(N(AC17)=0,"",SUM(V17,W17,X17,Z17,AB17)/AC17)</f>
        <v/>
      </c>
      <c r="AE17" s="12" t="n"/>
      <c r="AF17" s="12" t="n"/>
      <c r="AG17" s="12" t="n"/>
      <c r="AH17" s="14">
        <f>IF(COUNT(AE17,AF17,AG17)=0,"",SUM(AE17,AF17,AG17))</f>
        <v/>
      </c>
      <c r="AI17" s="12" t="n"/>
      <c r="AJ17" s="12" t="n"/>
      <c r="AK17" s="12" t="n"/>
      <c r="AL17" s="14">
        <f>IF(COUNT(AI17,AJ17,AK17)=0,"",SUM(AI17,AJ17,AK17))</f>
        <v/>
      </c>
      <c r="AM17" s="5">
        <f>IF(N(AC17)=0,"",IF(COUNT($AC$6:$AC$105)&lt;5,"Too early",IF(AC17&gt;=1.5*MEDIAN($AC$6:$AC$105),"Top",IF(AC17&lt;=0.5*MEDIAN($AC$6:$AC$105),"Low","Average"))))</f>
        <v/>
      </c>
      <c r="AN17" s="10" t="n"/>
    </row>
    <row r="18" ht="60" customHeight="1">
      <c r="A18" s="5" t="n">
        <v>13</v>
      </c>
      <c r="B18" s="5" t="inlineStr">
        <is>
          <t>Memory and learning</t>
        </is>
      </c>
      <c r="C18" s="5" t="inlineStr">
        <is>
          <t>Spacing your practice</t>
        </is>
      </c>
      <c r="D18" s="5" t="inlineStr">
        <is>
          <t>What happens when studying is spread across the week?</t>
        </is>
      </c>
      <c r="E18" s="5" t="inlineStr">
        <is>
          <t>Compare spaced sessions with one long cram session.</t>
        </is>
      </c>
      <c r="F18" s="5" t="inlineStr">
        <is>
          <t>Two study calendars</t>
        </is>
      </c>
      <c r="G18" s="5" t="n">
        <v>45</v>
      </c>
      <c r="H18" s="5" t="inlineStr">
        <is>
          <t>Idea</t>
        </is>
      </c>
      <c r="I18" s="10" t="n">
        <v>22</v>
      </c>
      <c r="J18" s="10" t="inlineStr">
        <is>
          <t>Strong</t>
        </is>
      </c>
      <c r="K18" s="10" t="n"/>
      <c r="L18" s="11" t="n"/>
      <c r="M18" s="5">
        <f>IF(L18="","",TEXT(L18,"ddd"))</f>
        <v/>
      </c>
      <c r="N18" s="10" t="n"/>
      <c r="O18" s="10" t="n"/>
      <c r="P18" s="10" t="n"/>
      <c r="Q18" s="10" t="n"/>
      <c r="R18" s="10" t="n"/>
      <c r="S18" s="12" t="n"/>
      <c r="T18" s="10" t="n"/>
      <c r="U18" s="13">
        <f>IF(OR(T18="",N(O18)=0),"",T18/O18)</f>
        <v/>
      </c>
      <c r="V18" s="10" t="n"/>
      <c r="W18" s="10" t="n"/>
      <c r="X18" s="10" t="n"/>
      <c r="Y18" s="12" t="n"/>
      <c r="Z18" s="10" t="n"/>
      <c r="AA18" s="12" t="n"/>
      <c r="AB18" s="10" t="n"/>
      <c r="AC18" s="14">
        <f>IF(COUNT(S18,Y18,AA18)=0,"",SUM(S18,Y18,AA18))</f>
        <v/>
      </c>
      <c r="AD18" s="13">
        <f>IF(N(AC18)=0,"",SUM(V18,W18,X18,Z18,AB18)/AC18)</f>
        <v/>
      </c>
      <c r="AE18" s="12" t="n"/>
      <c r="AF18" s="12" t="n"/>
      <c r="AG18" s="12" t="n"/>
      <c r="AH18" s="14">
        <f>IF(COUNT(AE18,AF18,AG18)=0,"",SUM(AE18,AF18,AG18))</f>
        <v/>
      </c>
      <c r="AI18" s="12" t="n"/>
      <c r="AJ18" s="12" t="n"/>
      <c r="AK18" s="12" t="n"/>
      <c r="AL18" s="14">
        <f>IF(COUNT(AI18,AJ18,AK18)=0,"",SUM(AI18,AJ18,AK18))</f>
        <v/>
      </c>
      <c r="AM18" s="5">
        <f>IF(N(AC18)=0,"",IF(COUNT($AC$6:$AC$105)&lt;5,"Too early",IF(AC18&gt;=1.5*MEDIAN($AC$6:$AC$105),"Top",IF(AC18&lt;=0.5*MEDIAN($AC$6:$AC$105),"Low","Average"))))</f>
        <v/>
      </c>
      <c r="AN18" s="10" t="n"/>
    </row>
    <row r="19" ht="60" customHeight="1">
      <c r="A19" s="5" t="n">
        <v>14</v>
      </c>
      <c r="B19" s="5" t="inlineStr">
        <is>
          <t>Memory and learning</t>
        </is>
      </c>
      <c r="C19" s="5" t="inlineStr">
        <is>
          <t>Interleaving practice</t>
        </is>
      </c>
      <c r="D19" s="5" t="inlineStr">
        <is>
          <t>Why mix problem types while studying?</t>
        </is>
      </c>
      <c r="E19" s="5" t="inlineStr">
        <is>
          <t>Show choosing a method rather than repeating one method.</t>
        </is>
      </c>
      <c r="F19" s="5" t="inlineStr">
        <is>
          <t>Shuffled problem cards</t>
        </is>
      </c>
      <c r="G19" s="5" t="n">
        <v>45</v>
      </c>
      <c r="H19" s="5" t="inlineStr">
        <is>
          <t>Idea</t>
        </is>
      </c>
      <c r="I19" s="10" t="n">
        <v>31</v>
      </c>
      <c r="J19" s="10" t="inlineStr">
        <is>
          <t>Strong</t>
        </is>
      </c>
      <c r="K19" s="10" t="n"/>
      <c r="L19" s="11" t="n"/>
      <c r="M19" s="5">
        <f>IF(L19="","",TEXT(L19,"ddd"))</f>
        <v/>
      </c>
      <c r="N19" s="10" t="n"/>
      <c r="O19" s="10" t="n"/>
      <c r="P19" s="10" t="n"/>
      <c r="Q19" s="10" t="n"/>
      <c r="R19" s="10" t="n"/>
      <c r="S19" s="12" t="n"/>
      <c r="T19" s="10" t="n"/>
      <c r="U19" s="13">
        <f>IF(OR(T19="",N(O19)=0),"",T19/O19)</f>
        <v/>
      </c>
      <c r="V19" s="10" t="n"/>
      <c r="W19" s="10" t="n"/>
      <c r="X19" s="10" t="n"/>
      <c r="Y19" s="12" t="n"/>
      <c r="Z19" s="10" t="n"/>
      <c r="AA19" s="12" t="n"/>
      <c r="AB19" s="10" t="n"/>
      <c r="AC19" s="14">
        <f>IF(COUNT(S19,Y19,AA19)=0,"",SUM(S19,Y19,AA19))</f>
        <v/>
      </c>
      <c r="AD19" s="13">
        <f>IF(N(AC19)=0,"",SUM(V19,W19,X19,Z19,AB19)/AC19)</f>
        <v/>
      </c>
      <c r="AE19" s="12" t="n"/>
      <c r="AF19" s="12" t="n"/>
      <c r="AG19" s="12" t="n"/>
      <c r="AH19" s="14">
        <f>IF(COUNT(AE19,AF19,AG19)=0,"",SUM(AE19,AF19,AG19))</f>
        <v/>
      </c>
      <c r="AI19" s="12" t="n"/>
      <c r="AJ19" s="12" t="n"/>
      <c r="AK19" s="12" t="n"/>
      <c r="AL19" s="14">
        <f>IF(COUNT(AI19,AJ19,AK19)=0,"",SUM(AI19,AJ19,AK19))</f>
        <v/>
      </c>
      <c r="AM19" s="5">
        <f>IF(N(AC19)=0,"",IF(COUNT($AC$6:$AC$105)&lt;5,"Too early",IF(AC19&gt;=1.5*MEDIAN($AC$6:$AC$105),"Top",IF(AC19&lt;=0.5*MEDIAN($AC$6:$AC$105),"Low","Average"))))</f>
        <v/>
      </c>
      <c r="AN19" s="10" t="n"/>
    </row>
    <row r="20" ht="60" customHeight="1">
      <c r="A20" s="5" t="n">
        <v>15</v>
      </c>
      <c r="B20" s="5" t="inlineStr">
        <is>
          <t>Memory and learning</t>
        </is>
      </c>
      <c r="C20" s="5" t="inlineStr">
        <is>
          <t>Memory is reconstructive</t>
        </is>
      </c>
      <c r="D20" s="5" t="inlineStr">
        <is>
          <t>Can two honest people remember the same event differently?</t>
        </is>
      </c>
      <c r="E20" s="5" t="inlineStr">
        <is>
          <t>Show how recall can rebuild details rather than replay video.</t>
        </is>
      </c>
      <c r="F20" s="5" t="inlineStr">
        <is>
          <t>Two drawings of one scene</t>
        </is>
      </c>
      <c r="G20" s="5" t="n">
        <v>45</v>
      </c>
      <c r="H20" s="5" t="inlineStr">
        <is>
          <t>Idea</t>
        </is>
      </c>
      <c r="I20" s="10" t="n">
        <v>39</v>
      </c>
      <c r="J20" s="10" t="inlineStr">
        <is>
          <t>Strong</t>
        </is>
      </c>
      <c r="K20" s="10" t="n"/>
      <c r="L20" s="11" t="n"/>
      <c r="M20" s="5">
        <f>IF(L20="","",TEXT(L20,"ddd"))</f>
        <v/>
      </c>
      <c r="N20" s="10" t="n"/>
      <c r="O20" s="10" t="n"/>
      <c r="P20" s="10" t="n"/>
      <c r="Q20" s="10" t="n"/>
      <c r="R20" s="10" t="n"/>
      <c r="S20" s="12" t="n"/>
      <c r="T20" s="10" t="n"/>
      <c r="U20" s="13">
        <f>IF(OR(T20="",N(O20)=0),"",T20/O20)</f>
        <v/>
      </c>
      <c r="V20" s="10" t="n"/>
      <c r="W20" s="10" t="n"/>
      <c r="X20" s="10" t="n"/>
      <c r="Y20" s="12" t="n"/>
      <c r="Z20" s="10" t="n"/>
      <c r="AA20" s="12" t="n"/>
      <c r="AB20" s="10" t="n"/>
      <c r="AC20" s="14">
        <f>IF(COUNT(S20,Y20,AA20)=0,"",SUM(S20,Y20,AA20))</f>
        <v/>
      </c>
      <c r="AD20" s="13">
        <f>IF(N(AC20)=0,"",SUM(V20,W20,X20,Z20,AB20)/AC20)</f>
        <v/>
      </c>
      <c r="AE20" s="12" t="n"/>
      <c r="AF20" s="12" t="n"/>
      <c r="AG20" s="12" t="n"/>
      <c r="AH20" s="14">
        <f>IF(COUNT(AE20,AF20,AG20)=0,"",SUM(AE20,AF20,AG20))</f>
        <v/>
      </c>
      <c r="AI20" s="12" t="n"/>
      <c r="AJ20" s="12" t="n"/>
      <c r="AK20" s="12" t="n"/>
      <c r="AL20" s="14">
        <f>IF(COUNT(AI20,AJ20,AK20)=0,"",SUM(AI20,AJ20,AK20))</f>
        <v/>
      </c>
      <c r="AM20" s="5">
        <f>IF(N(AC20)=0,"",IF(COUNT($AC$6:$AC$105)&lt;5,"Too early",IF(AC20&gt;=1.5*MEDIAN($AC$6:$AC$105),"Top",IF(AC20&lt;=0.5*MEDIAN($AC$6:$AC$105),"Low","Average"))))</f>
        <v/>
      </c>
      <c r="AN20" s="10" t="n"/>
    </row>
    <row r="21" ht="60" customHeight="1">
      <c r="A21" s="5" t="n">
        <v>16</v>
      </c>
      <c r="B21" s="5" t="inlineStr">
        <is>
          <t>Memory and learning</t>
        </is>
      </c>
      <c r="C21" s="5" t="inlineStr">
        <is>
          <t>The misinformation effect</t>
        </is>
      </c>
      <c r="D21" s="5" t="inlineStr">
        <is>
          <t>Can a question change what someone remembers?</t>
        </is>
      </c>
      <c r="E21" s="5" t="inlineStr">
        <is>
          <t>Compare neutral wording with a question suggesting a detail.</t>
        </is>
      </c>
      <c r="F21" s="5" t="inlineStr">
        <is>
          <t>Two interview captions</t>
        </is>
      </c>
      <c r="G21" s="5" t="n">
        <v>45</v>
      </c>
      <c r="H21" s="5" t="inlineStr">
        <is>
          <t>Idea</t>
        </is>
      </c>
      <c r="I21" s="10" t="n">
        <v>46</v>
      </c>
      <c r="J21" s="10" t="inlineStr">
        <is>
          <t>Strong</t>
        </is>
      </c>
      <c r="K21" s="10" t="n"/>
      <c r="L21" s="11" t="n"/>
      <c r="M21" s="5">
        <f>IF(L21="","",TEXT(L21,"ddd"))</f>
        <v/>
      </c>
      <c r="N21" s="10" t="n"/>
      <c r="O21" s="10" t="n"/>
      <c r="P21" s="10" t="n"/>
      <c r="Q21" s="10" t="n"/>
      <c r="R21" s="10" t="n"/>
      <c r="S21" s="12" t="n"/>
      <c r="T21" s="10" t="n"/>
      <c r="U21" s="13">
        <f>IF(OR(T21="",N(O21)=0),"",T21/O21)</f>
        <v/>
      </c>
      <c r="V21" s="10" t="n"/>
      <c r="W21" s="10" t="n"/>
      <c r="X21" s="10" t="n"/>
      <c r="Y21" s="12" t="n"/>
      <c r="Z21" s="10" t="n"/>
      <c r="AA21" s="12" t="n"/>
      <c r="AB21" s="10" t="n"/>
      <c r="AC21" s="14">
        <f>IF(COUNT(S21,Y21,AA21)=0,"",SUM(S21,Y21,AA21))</f>
        <v/>
      </c>
      <c r="AD21" s="13">
        <f>IF(N(AC21)=0,"",SUM(V21,W21,X21,Z21,AB21)/AC21)</f>
        <v/>
      </c>
      <c r="AE21" s="12" t="n"/>
      <c r="AF21" s="12" t="n"/>
      <c r="AG21" s="12" t="n"/>
      <c r="AH21" s="14">
        <f>IF(COUNT(AE21,AF21,AG21)=0,"",SUM(AE21,AF21,AG21))</f>
        <v/>
      </c>
      <c r="AI21" s="12" t="n"/>
      <c r="AJ21" s="12" t="n"/>
      <c r="AK21" s="12" t="n"/>
      <c r="AL21" s="14">
        <f>IF(COUNT(AI21,AJ21,AK21)=0,"",SUM(AI21,AJ21,AK21))</f>
        <v/>
      </c>
      <c r="AM21" s="5">
        <f>IF(N(AC21)=0,"",IF(COUNT($AC$6:$AC$105)&lt;5,"Too early",IF(AC21&gt;=1.5*MEDIAN($AC$6:$AC$105),"Top",IF(AC21&lt;=0.5*MEDIAN($AC$6:$AC$105),"Low","Average"))))</f>
        <v/>
      </c>
      <c r="AN21" s="10" t="n"/>
    </row>
    <row r="22" ht="60" customHeight="1">
      <c r="A22" s="5" t="n">
        <v>17</v>
      </c>
      <c r="B22" s="5" t="inlineStr">
        <is>
          <t>Memory and learning</t>
        </is>
      </c>
      <c r="C22" s="5" t="inlineStr">
        <is>
          <t>Tip-of-the-tongue moments</t>
        </is>
      </c>
      <c r="D22" s="5" t="inlineStr">
        <is>
          <t>You know the word, so why won't it come out?</t>
        </is>
      </c>
      <c r="E22" s="5" t="inlineStr">
        <is>
          <t>Explore partial access to a word and its related clues.</t>
        </is>
      </c>
      <c r="F22" s="5" t="inlineStr">
        <is>
          <t>Missing-word bubble</t>
        </is>
      </c>
      <c r="G22" s="5" t="n">
        <v>45</v>
      </c>
      <c r="H22" s="5" t="inlineStr">
        <is>
          <t>Idea</t>
        </is>
      </c>
      <c r="I22" s="10" t="n">
        <v>53</v>
      </c>
      <c r="J22" s="10" t="inlineStr">
        <is>
          <t>Strong</t>
        </is>
      </c>
      <c r="K22" s="10" t="n"/>
      <c r="L22" s="11" t="n"/>
      <c r="M22" s="5">
        <f>IF(L22="","",TEXT(L22,"ddd"))</f>
        <v/>
      </c>
      <c r="N22" s="10" t="n"/>
      <c r="O22" s="10" t="n"/>
      <c r="P22" s="10" t="n"/>
      <c r="Q22" s="10" t="n"/>
      <c r="R22" s="10" t="n"/>
      <c r="S22" s="12" t="n"/>
      <c r="T22" s="10" t="n"/>
      <c r="U22" s="13">
        <f>IF(OR(T22="",N(O22)=0),"",T22/O22)</f>
        <v/>
      </c>
      <c r="V22" s="10" t="n"/>
      <c r="W22" s="10" t="n"/>
      <c r="X22" s="10" t="n"/>
      <c r="Y22" s="12" t="n"/>
      <c r="Z22" s="10" t="n"/>
      <c r="AA22" s="12" t="n"/>
      <c r="AB22" s="10" t="n"/>
      <c r="AC22" s="14">
        <f>IF(COUNT(S22,Y22,AA22)=0,"",SUM(S22,Y22,AA22))</f>
        <v/>
      </c>
      <c r="AD22" s="13">
        <f>IF(N(AC22)=0,"",SUM(V22,W22,X22,Z22,AB22)/AC22)</f>
        <v/>
      </c>
      <c r="AE22" s="12" t="n"/>
      <c r="AF22" s="12" t="n"/>
      <c r="AG22" s="12" t="n"/>
      <c r="AH22" s="14">
        <f>IF(COUNT(AE22,AF22,AG22)=0,"",SUM(AE22,AF22,AG22))</f>
        <v/>
      </c>
      <c r="AI22" s="12" t="n"/>
      <c r="AJ22" s="12" t="n"/>
      <c r="AK22" s="12" t="n"/>
      <c r="AL22" s="14">
        <f>IF(COUNT(AI22,AJ22,AK22)=0,"",SUM(AI22,AJ22,AK22))</f>
        <v/>
      </c>
      <c r="AM22" s="5">
        <f>IF(N(AC22)=0,"",IF(COUNT($AC$6:$AC$105)&lt;5,"Too early",IF(AC22&gt;=1.5*MEDIAN($AC$6:$AC$105),"Top",IF(AC22&lt;=0.5*MEDIAN($AC$6:$AC$105),"Low","Average"))))</f>
        <v/>
      </c>
      <c r="AN22" s="10" t="n"/>
    </row>
    <row r="23" ht="60" customHeight="1">
      <c r="A23" s="5" t="n">
        <v>18</v>
      </c>
      <c r="B23" s="5" t="inlineStr">
        <is>
          <t>Memory and learning</t>
        </is>
      </c>
      <c r="C23" s="5" t="inlineStr">
        <is>
          <t>The serial-position effect</t>
        </is>
      </c>
      <c r="D23" s="5" t="inlineStr">
        <is>
          <t>Which items from this list will you remember?</t>
        </is>
      </c>
      <c r="E23" s="5" t="inlineStr">
        <is>
          <t>Run a short list demo and discuss beginning and end advantages.</t>
        </is>
      </c>
      <c r="F23" s="5" t="inlineStr">
        <is>
          <t>Ten words flashed onscreen</t>
        </is>
      </c>
      <c r="G23" s="5" t="n">
        <v>45</v>
      </c>
      <c r="H23" s="5" t="inlineStr">
        <is>
          <t>Idea</t>
        </is>
      </c>
      <c r="I23" s="10" t="n">
        <v>59</v>
      </c>
      <c r="J23" s="10" t="inlineStr">
        <is>
          <t>Strong</t>
        </is>
      </c>
      <c r="K23" s="10" t="n"/>
      <c r="L23" s="11" t="n"/>
      <c r="M23" s="5">
        <f>IF(L23="","",TEXT(L23,"ddd"))</f>
        <v/>
      </c>
      <c r="N23" s="10" t="n"/>
      <c r="O23" s="10" t="n"/>
      <c r="P23" s="10" t="n"/>
      <c r="Q23" s="10" t="n"/>
      <c r="R23" s="10" t="n"/>
      <c r="S23" s="12" t="n"/>
      <c r="T23" s="10" t="n"/>
      <c r="U23" s="13">
        <f>IF(OR(T23="",N(O23)=0),"",T23/O23)</f>
        <v/>
      </c>
      <c r="V23" s="10" t="n"/>
      <c r="W23" s="10" t="n"/>
      <c r="X23" s="10" t="n"/>
      <c r="Y23" s="12" t="n"/>
      <c r="Z23" s="10" t="n"/>
      <c r="AA23" s="12" t="n"/>
      <c r="AB23" s="10" t="n"/>
      <c r="AC23" s="14">
        <f>IF(COUNT(S23,Y23,AA23)=0,"",SUM(S23,Y23,AA23))</f>
        <v/>
      </c>
      <c r="AD23" s="13">
        <f>IF(N(AC23)=0,"",SUM(V23,W23,X23,Z23,AB23)/AC23)</f>
        <v/>
      </c>
      <c r="AE23" s="12" t="n"/>
      <c r="AF23" s="12" t="n"/>
      <c r="AG23" s="12" t="n"/>
      <c r="AH23" s="14">
        <f>IF(COUNT(AE23,AF23,AG23)=0,"",SUM(AE23,AF23,AG23))</f>
        <v/>
      </c>
      <c r="AI23" s="12" t="n"/>
      <c r="AJ23" s="12" t="n"/>
      <c r="AK23" s="12" t="n"/>
      <c r="AL23" s="14">
        <f>IF(COUNT(AI23,AJ23,AK23)=0,"",SUM(AI23,AJ23,AK23))</f>
        <v/>
      </c>
      <c r="AM23" s="5">
        <f>IF(N(AC23)=0,"",IF(COUNT($AC$6:$AC$105)&lt;5,"Too early",IF(AC23&gt;=1.5*MEDIAN($AC$6:$AC$105),"Top",IF(AC23&lt;=0.5*MEDIAN($AC$6:$AC$105),"Low","Average"))))</f>
        <v/>
      </c>
      <c r="AN23" s="10" t="n"/>
    </row>
    <row r="24" ht="60" customHeight="1">
      <c r="A24" s="5" t="n">
        <v>19</v>
      </c>
      <c r="B24" s="5" t="inlineStr">
        <is>
          <t>Memory and learning</t>
        </is>
      </c>
      <c r="C24" s="5" t="inlineStr">
        <is>
          <t>Context and recall</t>
        </is>
      </c>
      <c r="D24" s="5" t="inlineStr">
        <is>
          <t>Why can returning to a room remind you of something?</t>
        </is>
      </c>
      <c r="E24" s="5" t="inlineStr">
        <is>
          <t>Explore how environmental cues can support recall.</t>
        </is>
      </c>
      <c r="F24" s="5" t="inlineStr">
        <is>
          <t>Doorway and reminder prop</t>
        </is>
      </c>
      <c r="G24" s="5" t="n">
        <v>45</v>
      </c>
      <c r="H24" s="5" t="inlineStr">
        <is>
          <t>Idea</t>
        </is>
      </c>
      <c r="I24" s="10" t="n">
        <v>65</v>
      </c>
      <c r="J24" s="10" t="inlineStr">
        <is>
          <t>Strong</t>
        </is>
      </c>
      <c r="K24" s="10" t="n"/>
      <c r="L24" s="11" t="n"/>
      <c r="M24" s="5">
        <f>IF(L24="","",TEXT(L24,"ddd"))</f>
        <v/>
      </c>
      <c r="N24" s="10" t="n"/>
      <c r="O24" s="10" t="n"/>
      <c r="P24" s="10" t="n"/>
      <c r="Q24" s="10" t="n"/>
      <c r="R24" s="10" t="n"/>
      <c r="S24" s="12" t="n"/>
      <c r="T24" s="10" t="n"/>
      <c r="U24" s="13">
        <f>IF(OR(T24="",N(O24)=0),"",T24/O24)</f>
        <v/>
      </c>
      <c r="V24" s="10" t="n"/>
      <c r="W24" s="10" t="n"/>
      <c r="X24" s="10" t="n"/>
      <c r="Y24" s="12" t="n"/>
      <c r="Z24" s="10" t="n"/>
      <c r="AA24" s="12" t="n"/>
      <c r="AB24" s="10" t="n"/>
      <c r="AC24" s="14">
        <f>IF(COUNT(S24,Y24,AA24)=0,"",SUM(S24,Y24,AA24))</f>
        <v/>
      </c>
      <c r="AD24" s="13">
        <f>IF(N(AC24)=0,"",SUM(V24,W24,X24,Z24,AB24)/AC24)</f>
        <v/>
      </c>
      <c r="AE24" s="12" t="n"/>
      <c r="AF24" s="12" t="n"/>
      <c r="AG24" s="12" t="n"/>
      <c r="AH24" s="14">
        <f>IF(COUNT(AE24,AF24,AG24)=0,"",SUM(AE24,AF24,AG24))</f>
        <v/>
      </c>
      <c r="AI24" s="12" t="n"/>
      <c r="AJ24" s="12" t="n"/>
      <c r="AK24" s="12" t="n"/>
      <c r="AL24" s="14">
        <f>IF(COUNT(AI24,AJ24,AK24)=0,"",SUM(AI24,AJ24,AK24))</f>
        <v/>
      </c>
      <c r="AM24" s="5">
        <f>IF(N(AC24)=0,"",IF(COUNT($AC$6:$AC$105)&lt;5,"Too early",IF(AC24&gt;=1.5*MEDIAN($AC$6:$AC$105),"Top",IF(AC24&lt;=0.5*MEDIAN($AC$6:$AC$105),"Low","Average"))))</f>
        <v/>
      </c>
      <c r="AN24" s="10" t="n"/>
    </row>
    <row r="25" ht="60" customHeight="1">
      <c r="A25" s="5" t="n">
        <v>20</v>
      </c>
      <c r="B25" s="5" t="inlineStr">
        <is>
          <t>Memory and learning</t>
        </is>
      </c>
      <c r="C25" s="5" t="inlineStr">
        <is>
          <t>The illusion of understanding</t>
        </is>
      </c>
      <c r="D25" s="5" t="inlineStr">
        <is>
          <t>Can you explain how a zipper actually works?</t>
        </is>
      </c>
      <c r="E25" s="5" t="inlineStr">
        <is>
          <t>Ask for an explanation before showing the mechanism.</t>
        </is>
      </c>
      <c r="F25" s="5" t="inlineStr">
        <is>
          <t>Zipper close-up</t>
        </is>
      </c>
      <c r="G25" s="5" t="n">
        <v>45</v>
      </c>
      <c r="H25" s="5" t="inlineStr">
        <is>
          <t>Idea</t>
        </is>
      </c>
      <c r="I25" s="10" t="n">
        <v>70</v>
      </c>
      <c r="J25" s="10" t="inlineStr">
        <is>
          <t>Strong</t>
        </is>
      </c>
      <c r="K25" s="10" t="n"/>
      <c r="L25" s="11" t="n"/>
      <c r="M25" s="5">
        <f>IF(L25="","",TEXT(L25,"ddd"))</f>
        <v/>
      </c>
      <c r="N25" s="10" t="n"/>
      <c r="O25" s="10" t="n"/>
      <c r="P25" s="10" t="n"/>
      <c r="Q25" s="10" t="n"/>
      <c r="R25" s="10" t="n"/>
      <c r="S25" s="12" t="n"/>
      <c r="T25" s="10" t="n"/>
      <c r="U25" s="13">
        <f>IF(OR(T25="",N(O25)=0),"",T25/O25)</f>
        <v/>
      </c>
      <c r="V25" s="10" t="n"/>
      <c r="W25" s="10" t="n"/>
      <c r="X25" s="10" t="n"/>
      <c r="Y25" s="12" t="n"/>
      <c r="Z25" s="10" t="n"/>
      <c r="AA25" s="12" t="n"/>
      <c r="AB25" s="10" t="n"/>
      <c r="AC25" s="14">
        <f>IF(COUNT(S25,Y25,AA25)=0,"",SUM(S25,Y25,AA25))</f>
        <v/>
      </c>
      <c r="AD25" s="13">
        <f>IF(N(AC25)=0,"",SUM(V25,W25,X25,Z25,AB25)/AC25)</f>
        <v/>
      </c>
      <c r="AE25" s="12" t="n"/>
      <c r="AF25" s="12" t="n"/>
      <c r="AG25" s="12" t="n"/>
      <c r="AH25" s="14">
        <f>IF(COUNT(AE25,AF25,AG25)=0,"",SUM(AE25,AF25,AG25))</f>
        <v/>
      </c>
      <c r="AI25" s="12" t="n"/>
      <c r="AJ25" s="12" t="n"/>
      <c r="AK25" s="12" t="n"/>
      <c r="AL25" s="14">
        <f>IF(COUNT(AI25,AJ25,AK25)=0,"",SUM(AI25,AJ25,AK25))</f>
        <v/>
      </c>
      <c r="AM25" s="5">
        <f>IF(N(AC25)=0,"",IF(COUNT($AC$6:$AC$105)&lt;5,"Too early",IF(AC25&gt;=1.5*MEDIAN($AC$6:$AC$105),"Top",IF(AC25&lt;=0.5*MEDIAN($AC$6:$AC$105),"Low","Average"))))</f>
        <v/>
      </c>
      <c r="AN25" s="10" t="n"/>
    </row>
    <row r="26" ht="60" customHeight="1">
      <c r="A26" s="5" t="n">
        <v>21</v>
      </c>
      <c r="B26" s="5" t="inlineStr">
        <is>
          <t>Attention and perception</t>
        </is>
      </c>
      <c r="C26" s="5" t="inlineStr">
        <is>
          <t>The Stroop challenge</t>
        </is>
      </c>
      <c r="D26" s="5" t="inlineStr">
        <is>
          <t>Say the ink color, not the word.</t>
        </is>
      </c>
      <c r="E26" s="5" t="inlineStr">
        <is>
          <t>Run a brief demo of competing automatic responses.</t>
        </is>
      </c>
      <c r="F26" s="5" t="inlineStr">
        <is>
          <t>Colored color words</t>
        </is>
      </c>
      <c r="G26" s="5" t="n">
        <v>45</v>
      </c>
      <c r="H26" s="5" t="inlineStr">
        <is>
          <t>Idea</t>
        </is>
      </c>
      <c r="I26" s="10" t="n">
        <v>72</v>
      </c>
      <c r="J26" s="10" t="inlineStr">
        <is>
          <t>Weak</t>
        </is>
      </c>
      <c r="K26" s="10" t="n"/>
      <c r="L26" s="11" t="n"/>
      <c r="M26" s="5">
        <f>IF(L26="","",TEXT(L26,"ddd"))</f>
        <v/>
      </c>
      <c r="N26" s="10" t="n"/>
      <c r="O26" s="10" t="n"/>
      <c r="P26" s="10" t="n"/>
      <c r="Q26" s="10" t="n"/>
      <c r="R26" s="10" t="n"/>
      <c r="S26" s="12" t="n"/>
      <c r="T26" s="10" t="n"/>
      <c r="U26" s="13">
        <f>IF(OR(T26="",N(O26)=0),"",T26/O26)</f>
        <v/>
      </c>
      <c r="V26" s="10" t="n"/>
      <c r="W26" s="10" t="n"/>
      <c r="X26" s="10" t="n"/>
      <c r="Y26" s="12" t="n"/>
      <c r="Z26" s="10" t="n"/>
      <c r="AA26" s="12" t="n"/>
      <c r="AB26" s="10" t="n"/>
      <c r="AC26" s="14">
        <f>IF(COUNT(S26,Y26,AA26)=0,"",SUM(S26,Y26,AA26))</f>
        <v/>
      </c>
      <c r="AD26" s="13">
        <f>IF(N(AC26)=0,"",SUM(V26,W26,X26,Z26,AB26)/AC26)</f>
        <v/>
      </c>
      <c r="AE26" s="12" t="n"/>
      <c r="AF26" s="12" t="n"/>
      <c r="AG26" s="12" t="n"/>
      <c r="AH26" s="14">
        <f>IF(COUNT(AE26,AF26,AG26)=0,"",SUM(AE26,AF26,AG26))</f>
        <v/>
      </c>
      <c r="AI26" s="12" t="n"/>
      <c r="AJ26" s="12" t="n"/>
      <c r="AK26" s="12" t="n"/>
      <c r="AL26" s="14">
        <f>IF(COUNT(AI26,AJ26,AK26)=0,"",SUM(AI26,AJ26,AK26))</f>
        <v/>
      </c>
      <c r="AM26" s="5">
        <f>IF(N(AC26)=0,"",IF(COUNT($AC$6:$AC$105)&lt;5,"Too early",IF(AC26&gt;=1.5*MEDIAN($AC$6:$AC$105),"Top",IF(AC26&lt;=0.5*MEDIAN($AC$6:$AC$105),"Low","Average"))))</f>
        <v/>
      </c>
      <c r="AN26" s="10" t="n"/>
    </row>
    <row r="27" ht="60" customHeight="1">
      <c r="A27" s="5" t="n">
        <v>22</v>
      </c>
      <c r="B27" s="5" t="inlineStr">
        <is>
          <t>Attention and perception</t>
        </is>
      </c>
      <c r="C27" s="5" t="inlineStr">
        <is>
          <t>Inattentional blindness</t>
        </is>
      </c>
      <c r="D27" s="5" t="inlineStr">
        <is>
          <t>Can you miss something obvious while concentrating?</t>
        </is>
      </c>
      <c r="E27" s="5" t="inlineStr">
        <is>
          <t>Give a counting task with an unexpected background change.</t>
        </is>
      </c>
      <c r="F27" s="5" t="inlineStr">
        <is>
          <t>Original ball-counting animation</t>
        </is>
      </c>
      <c r="G27" s="5" t="n">
        <v>45</v>
      </c>
      <c r="H27" s="5" t="inlineStr">
        <is>
          <t>Idea</t>
        </is>
      </c>
      <c r="I27" s="10" t="n">
        <v>3</v>
      </c>
      <c r="J27" s="10" t="inlineStr">
        <is>
          <t>Strong</t>
        </is>
      </c>
      <c r="K27" s="10" t="n"/>
      <c r="L27" s="11" t="n"/>
      <c r="M27" s="5">
        <f>IF(L27="","",TEXT(L27,"ddd"))</f>
        <v/>
      </c>
      <c r="N27" s="10" t="n"/>
      <c r="O27" s="10" t="n"/>
      <c r="P27" s="10" t="n"/>
      <c r="Q27" s="10" t="n"/>
      <c r="R27" s="10" t="n"/>
      <c r="S27" s="12" t="n"/>
      <c r="T27" s="10" t="n"/>
      <c r="U27" s="13">
        <f>IF(OR(T27="",N(O27)=0),"",T27/O27)</f>
        <v/>
      </c>
      <c r="V27" s="10" t="n"/>
      <c r="W27" s="10" t="n"/>
      <c r="X27" s="10" t="n"/>
      <c r="Y27" s="12" t="n"/>
      <c r="Z27" s="10" t="n"/>
      <c r="AA27" s="12" t="n"/>
      <c r="AB27" s="10" t="n"/>
      <c r="AC27" s="14">
        <f>IF(COUNT(S27,Y27,AA27)=0,"",SUM(S27,Y27,AA27))</f>
        <v/>
      </c>
      <c r="AD27" s="13">
        <f>IF(N(AC27)=0,"",SUM(V27,W27,X27,Z27,AB27)/AC27)</f>
        <v/>
      </c>
      <c r="AE27" s="12" t="n"/>
      <c r="AF27" s="12" t="n"/>
      <c r="AG27" s="12" t="n"/>
      <c r="AH27" s="14">
        <f>IF(COUNT(AE27,AF27,AG27)=0,"",SUM(AE27,AF27,AG27))</f>
        <v/>
      </c>
      <c r="AI27" s="12" t="n"/>
      <c r="AJ27" s="12" t="n"/>
      <c r="AK27" s="12" t="n"/>
      <c r="AL27" s="14">
        <f>IF(COUNT(AI27,AJ27,AK27)=0,"",SUM(AI27,AJ27,AK27))</f>
        <v/>
      </c>
      <c r="AM27" s="5">
        <f>IF(N(AC27)=0,"",IF(COUNT($AC$6:$AC$105)&lt;5,"Too early",IF(AC27&gt;=1.5*MEDIAN($AC$6:$AC$105),"Top",IF(AC27&lt;=0.5*MEDIAN($AC$6:$AC$105),"Low","Average"))))</f>
        <v/>
      </c>
      <c r="AN27" s="10" t="n"/>
    </row>
    <row r="28" ht="60" customHeight="1">
      <c r="A28" s="5" t="n">
        <v>23</v>
      </c>
      <c r="B28" s="5" t="inlineStr">
        <is>
          <t>Attention and perception</t>
        </is>
      </c>
      <c r="C28" s="5" t="inlineStr">
        <is>
          <t>Change blindness</t>
        </is>
      </c>
      <c r="D28" s="5" t="inlineStr">
        <is>
          <t>What changed between these two scenes?</t>
        </is>
      </c>
      <c r="E28" s="5" t="inlineStr">
        <is>
          <t>Reveal a changed object and explain limits of attention.</t>
        </is>
      </c>
      <c r="F28" s="5" t="inlineStr">
        <is>
          <t>Alternating room illustrations</t>
        </is>
      </c>
      <c r="G28" s="5" t="n">
        <v>45</v>
      </c>
      <c r="H28" s="5" t="inlineStr">
        <is>
          <t>Idea</t>
        </is>
      </c>
      <c r="I28" s="10" t="n">
        <v>79</v>
      </c>
      <c r="J28" s="10" t="inlineStr">
        <is>
          <t>Weak</t>
        </is>
      </c>
      <c r="K28" s="10" t="n"/>
      <c r="L28" s="11" t="n"/>
      <c r="M28" s="5">
        <f>IF(L28="","",TEXT(L28,"ddd"))</f>
        <v/>
      </c>
      <c r="N28" s="10" t="n"/>
      <c r="O28" s="10" t="n"/>
      <c r="P28" s="10" t="n"/>
      <c r="Q28" s="10" t="n"/>
      <c r="R28" s="10" t="n"/>
      <c r="S28" s="12" t="n"/>
      <c r="T28" s="10" t="n"/>
      <c r="U28" s="13">
        <f>IF(OR(T28="",N(O28)=0),"",T28/O28)</f>
        <v/>
      </c>
      <c r="V28" s="10" t="n"/>
      <c r="W28" s="10" t="n"/>
      <c r="X28" s="10" t="n"/>
      <c r="Y28" s="12" t="n"/>
      <c r="Z28" s="10" t="n"/>
      <c r="AA28" s="12" t="n"/>
      <c r="AB28" s="10" t="n"/>
      <c r="AC28" s="14">
        <f>IF(COUNT(S28,Y28,AA28)=0,"",SUM(S28,Y28,AA28))</f>
        <v/>
      </c>
      <c r="AD28" s="13">
        <f>IF(N(AC28)=0,"",SUM(V28,W28,X28,Z28,AB28)/AC28)</f>
        <v/>
      </c>
      <c r="AE28" s="12" t="n"/>
      <c r="AF28" s="12" t="n"/>
      <c r="AG28" s="12" t="n"/>
      <c r="AH28" s="14">
        <f>IF(COUNT(AE28,AF28,AG28)=0,"",SUM(AE28,AF28,AG28))</f>
        <v/>
      </c>
      <c r="AI28" s="12" t="n"/>
      <c r="AJ28" s="12" t="n"/>
      <c r="AK28" s="12" t="n"/>
      <c r="AL28" s="14">
        <f>IF(COUNT(AI28,AJ28,AK28)=0,"",SUM(AI28,AJ28,AK28))</f>
        <v/>
      </c>
      <c r="AM28" s="5">
        <f>IF(N(AC28)=0,"",IF(COUNT($AC$6:$AC$105)&lt;5,"Too early",IF(AC28&gt;=1.5*MEDIAN($AC$6:$AC$105),"Top",IF(AC28&lt;=0.5*MEDIAN($AC$6:$AC$105),"Low","Average"))))</f>
        <v/>
      </c>
      <c r="AN28" s="10" t="n"/>
    </row>
    <row r="29" ht="60" customHeight="1">
      <c r="A29" s="5" t="n">
        <v>24</v>
      </c>
      <c r="B29" s="5" t="inlineStr">
        <is>
          <t>Attention and perception</t>
        </is>
      </c>
      <c r="C29" s="5" t="inlineStr">
        <is>
          <t>The multitasking myth</t>
        </is>
      </c>
      <c r="D29" s="5" t="inlineStr">
        <is>
          <t>Try reading while counting backward.</t>
        </is>
      </c>
      <c r="E29" s="5" t="inlineStr">
        <is>
          <t>Demonstrate task switching and discuss its costs.</t>
        </is>
      </c>
      <c r="F29" s="5" t="inlineStr">
        <is>
          <t>Two competing tasks</t>
        </is>
      </c>
      <c r="G29" s="5" t="n">
        <v>45</v>
      </c>
      <c r="H29" s="5" t="inlineStr">
        <is>
          <t>Idea</t>
        </is>
      </c>
      <c r="I29" s="10" t="n">
        <v>13</v>
      </c>
      <c r="J29" s="10" t="inlineStr">
        <is>
          <t>Strong</t>
        </is>
      </c>
      <c r="K29" s="10" t="n"/>
      <c r="L29" s="11" t="n"/>
      <c r="M29" s="5">
        <f>IF(L29="","",TEXT(L29,"ddd"))</f>
        <v/>
      </c>
      <c r="N29" s="10" t="n"/>
      <c r="O29" s="10" t="n"/>
      <c r="P29" s="10" t="n"/>
      <c r="Q29" s="10" t="n"/>
      <c r="R29" s="10" t="n"/>
      <c r="S29" s="12" t="n"/>
      <c r="T29" s="10" t="n"/>
      <c r="U29" s="13">
        <f>IF(OR(T29="",N(O29)=0),"",T29/O29)</f>
        <v/>
      </c>
      <c r="V29" s="10" t="n"/>
      <c r="W29" s="10" t="n"/>
      <c r="X29" s="10" t="n"/>
      <c r="Y29" s="12" t="n"/>
      <c r="Z29" s="10" t="n"/>
      <c r="AA29" s="12" t="n"/>
      <c r="AB29" s="10" t="n"/>
      <c r="AC29" s="14">
        <f>IF(COUNT(S29,Y29,AA29)=0,"",SUM(S29,Y29,AA29))</f>
        <v/>
      </c>
      <c r="AD29" s="13">
        <f>IF(N(AC29)=0,"",SUM(V29,W29,X29,Z29,AB29)/AC29)</f>
        <v/>
      </c>
      <c r="AE29" s="12" t="n"/>
      <c r="AF29" s="12" t="n"/>
      <c r="AG29" s="12" t="n"/>
      <c r="AH29" s="14">
        <f>IF(COUNT(AE29,AF29,AG29)=0,"",SUM(AE29,AF29,AG29))</f>
        <v/>
      </c>
      <c r="AI29" s="12" t="n"/>
      <c r="AJ29" s="12" t="n"/>
      <c r="AK29" s="12" t="n"/>
      <c r="AL29" s="14">
        <f>IF(COUNT(AI29,AJ29,AK29)=0,"",SUM(AI29,AJ29,AK29))</f>
        <v/>
      </c>
      <c r="AM29" s="5">
        <f>IF(N(AC29)=0,"",IF(COUNT($AC$6:$AC$105)&lt;5,"Too early",IF(AC29&gt;=1.5*MEDIAN($AC$6:$AC$105),"Top",IF(AC29&lt;=0.5*MEDIAN($AC$6:$AC$105),"Low","Average"))))</f>
        <v/>
      </c>
      <c r="AN29" s="10" t="n"/>
    </row>
    <row r="30" ht="60" customHeight="1">
      <c r="A30" s="5" t="n">
        <v>25</v>
      </c>
      <c r="B30" s="5" t="inlineStr">
        <is>
          <t>Attention and perception</t>
        </is>
      </c>
      <c r="C30" s="5" t="inlineStr">
        <is>
          <t>Selective attention</t>
        </is>
      </c>
      <c r="D30" s="5" t="inlineStr">
        <is>
          <t>How do you hear your name in a noisy room?</t>
        </is>
      </c>
      <c r="E30" s="5" t="inlineStr">
        <is>
          <t>Explore attention to personally relevant signals.</t>
        </is>
      </c>
      <c r="F30" s="5" t="inlineStr">
        <is>
          <t>Party scene with name bubble</t>
        </is>
      </c>
      <c r="G30" s="5" t="n">
        <v>45</v>
      </c>
      <c r="H30" s="5" t="inlineStr">
        <is>
          <t>Idea</t>
        </is>
      </c>
      <c r="I30" s="10" t="n">
        <v>23</v>
      </c>
      <c r="J30" s="10" t="inlineStr">
        <is>
          <t>Strong</t>
        </is>
      </c>
      <c r="K30" s="10" t="n"/>
      <c r="L30" s="11" t="n"/>
      <c r="M30" s="5">
        <f>IF(L30="","",TEXT(L30,"ddd"))</f>
        <v/>
      </c>
      <c r="N30" s="10" t="n"/>
      <c r="O30" s="10" t="n"/>
      <c r="P30" s="10" t="n"/>
      <c r="Q30" s="10" t="n"/>
      <c r="R30" s="10" t="n"/>
      <c r="S30" s="12" t="n"/>
      <c r="T30" s="10" t="n"/>
      <c r="U30" s="13">
        <f>IF(OR(T30="",N(O30)=0),"",T30/O30)</f>
        <v/>
      </c>
      <c r="V30" s="10" t="n"/>
      <c r="W30" s="10" t="n"/>
      <c r="X30" s="10" t="n"/>
      <c r="Y30" s="12" t="n"/>
      <c r="Z30" s="10" t="n"/>
      <c r="AA30" s="12" t="n"/>
      <c r="AB30" s="10" t="n"/>
      <c r="AC30" s="14">
        <f>IF(COUNT(S30,Y30,AA30)=0,"",SUM(S30,Y30,AA30))</f>
        <v/>
      </c>
      <c r="AD30" s="13">
        <f>IF(N(AC30)=0,"",SUM(V30,W30,X30,Z30,AB30)/AC30)</f>
        <v/>
      </c>
      <c r="AE30" s="12" t="n"/>
      <c r="AF30" s="12" t="n"/>
      <c r="AG30" s="12" t="n"/>
      <c r="AH30" s="14">
        <f>IF(COUNT(AE30,AF30,AG30)=0,"",SUM(AE30,AF30,AG30))</f>
        <v/>
      </c>
      <c r="AI30" s="12" t="n"/>
      <c r="AJ30" s="12" t="n"/>
      <c r="AK30" s="12" t="n"/>
      <c r="AL30" s="14">
        <f>IF(COUNT(AI30,AJ30,AK30)=0,"",SUM(AI30,AJ30,AK30))</f>
        <v/>
      </c>
      <c r="AM30" s="5">
        <f>IF(N(AC30)=0,"",IF(COUNT($AC$6:$AC$105)&lt;5,"Too early",IF(AC30&gt;=1.5*MEDIAN($AC$6:$AC$105),"Top",IF(AC30&lt;=0.5*MEDIAN($AC$6:$AC$105),"Low","Average"))))</f>
        <v/>
      </c>
      <c r="AN30" s="10" t="n"/>
    </row>
    <row r="31" ht="60" customHeight="1">
      <c r="A31" s="5" t="n">
        <v>26</v>
      </c>
      <c r="B31" s="5" t="inlineStr">
        <is>
          <t>Attention and perception</t>
        </is>
      </c>
      <c r="C31" s="5" t="inlineStr">
        <is>
          <t>Expectation shapes perception</t>
        </is>
      </c>
      <c r="D31" s="5" t="inlineStr">
        <is>
          <t>What do you see before I give you a clue?</t>
        </is>
      </c>
      <c r="E31" s="5" t="inlineStr">
        <is>
          <t>Use an ambiguous image and then provide context.</t>
        </is>
      </c>
      <c r="F31" s="5" t="inlineStr">
        <is>
          <t>Original ambiguous drawing</t>
        </is>
      </c>
      <c r="G31" s="5" t="n">
        <v>45</v>
      </c>
      <c r="H31" s="5" t="inlineStr">
        <is>
          <t>Idea</t>
        </is>
      </c>
      <c r="I31" s="10" t="n">
        <v>84</v>
      </c>
      <c r="J31" s="10" t="inlineStr">
        <is>
          <t>Weak</t>
        </is>
      </c>
      <c r="K31" s="10" t="n"/>
      <c r="L31" s="11" t="n"/>
      <c r="M31" s="5">
        <f>IF(L31="","",TEXT(L31,"ddd"))</f>
        <v/>
      </c>
      <c r="N31" s="10" t="n"/>
      <c r="O31" s="10" t="n"/>
      <c r="P31" s="10" t="n"/>
      <c r="Q31" s="10" t="n"/>
      <c r="R31" s="10" t="n"/>
      <c r="S31" s="12" t="n"/>
      <c r="T31" s="10" t="n"/>
      <c r="U31" s="13">
        <f>IF(OR(T31="",N(O31)=0),"",T31/O31)</f>
        <v/>
      </c>
      <c r="V31" s="10" t="n"/>
      <c r="W31" s="10" t="n"/>
      <c r="X31" s="10" t="n"/>
      <c r="Y31" s="12" t="n"/>
      <c r="Z31" s="10" t="n"/>
      <c r="AA31" s="12" t="n"/>
      <c r="AB31" s="10" t="n"/>
      <c r="AC31" s="14">
        <f>IF(COUNT(S31,Y31,AA31)=0,"",SUM(S31,Y31,AA31))</f>
        <v/>
      </c>
      <c r="AD31" s="13">
        <f>IF(N(AC31)=0,"",SUM(V31,W31,X31,Z31,AB31)/AC31)</f>
        <v/>
      </c>
      <c r="AE31" s="12" t="n"/>
      <c r="AF31" s="12" t="n"/>
      <c r="AG31" s="12" t="n"/>
      <c r="AH31" s="14">
        <f>IF(COUNT(AE31,AF31,AG31)=0,"",SUM(AE31,AF31,AG31))</f>
        <v/>
      </c>
      <c r="AI31" s="12" t="n"/>
      <c r="AJ31" s="12" t="n"/>
      <c r="AK31" s="12" t="n"/>
      <c r="AL31" s="14">
        <f>IF(COUNT(AI31,AJ31,AK31)=0,"",SUM(AI31,AJ31,AK31))</f>
        <v/>
      </c>
      <c r="AM31" s="5">
        <f>IF(N(AC31)=0,"",IF(COUNT($AC$6:$AC$105)&lt;5,"Too early",IF(AC31&gt;=1.5*MEDIAN($AC$6:$AC$105),"Top",IF(AC31&lt;=0.5*MEDIAN($AC$6:$AC$105),"Low","Average"))))</f>
        <v/>
      </c>
      <c r="AN31" s="10" t="n"/>
    </row>
    <row r="32" ht="60" customHeight="1">
      <c r="A32" s="5" t="n">
        <v>27</v>
      </c>
      <c r="B32" s="5" t="inlineStr">
        <is>
          <t>Attention and perception</t>
        </is>
      </c>
      <c r="C32" s="5" t="inlineStr">
        <is>
          <t>Top-down processing</t>
        </is>
      </c>
      <c r="D32" s="5" t="inlineStr">
        <is>
          <t>Can you read a sentence with missing letters?</t>
        </is>
      </c>
      <c r="E32" s="5" t="inlineStr">
        <is>
          <t>Show how context helps interpret incomplete information.</t>
        </is>
      </c>
      <c r="F32" s="5" t="inlineStr">
        <is>
          <t>Incomplete sentence reveal</t>
        </is>
      </c>
      <c r="G32" s="5" t="n">
        <v>45</v>
      </c>
      <c r="H32" s="5" t="inlineStr">
        <is>
          <t>Idea</t>
        </is>
      </c>
      <c r="I32" s="10" t="n">
        <v>88</v>
      </c>
      <c r="J32" s="10" t="inlineStr">
        <is>
          <t>Weak</t>
        </is>
      </c>
      <c r="K32" s="10" t="n"/>
      <c r="L32" s="11" t="n"/>
      <c r="M32" s="5">
        <f>IF(L32="","",TEXT(L32,"ddd"))</f>
        <v/>
      </c>
      <c r="N32" s="10" t="n"/>
      <c r="O32" s="10" t="n"/>
      <c r="P32" s="10" t="n"/>
      <c r="Q32" s="10" t="n"/>
      <c r="R32" s="10" t="n"/>
      <c r="S32" s="12" t="n"/>
      <c r="T32" s="10" t="n"/>
      <c r="U32" s="13">
        <f>IF(OR(T32="",N(O32)=0),"",T32/O32)</f>
        <v/>
      </c>
      <c r="V32" s="10" t="n"/>
      <c r="W32" s="10" t="n"/>
      <c r="X32" s="10" t="n"/>
      <c r="Y32" s="12" t="n"/>
      <c r="Z32" s="10" t="n"/>
      <c r="AA32" s="12" t="n"/>
      <c r="AB32" s="10" t="n"/>
      <c r="AC32" s="14">
        <f>IF(COUNT(S32,Y32,AA32)=0,"",SUM(S32,Y32,AA32))</f>
        <v/>
      </c>
      <c r="AD32" s="13">
        <f>IF(N(AC32)=0,"",SUM(V32,W32,X32,Z32,AB32)/AC32)</f>
        <v/>
      </c>
      <c r="AE32" s="12" t="n"/>
      <c r="AF32" s="12" t="n"/>
      <c r="AG32" s="12" t="n"/>
      <c r="AH32" s="14">
        <f>IF(COUNT(AE32,AF32,AG32)=0,"",SUM(AE32,AF32,AG32))</f>
        <v/>
      </c>
      <c r="AI32" s="12" t="n"/>
      <c r="AJ32" s="12" t="n"/>
      <c r="AK32" s="12" t="n"/>
      <c r="AL32" s="14">
        <f>IF(COUNT(AI32,AJ32,AK32)=0,"",SUM(AI32,AJ32,AK32))</f>
        <v/>
      </c>
      <c r="AM32" s="5">
        <f>IF(N(AC32)=0,"",IF(COUNT($AC$6:$AC$105)&lt;5,"Too early",IF(AC32&gt;=1.5*MEDIAN($AC$6:$AC$105),"Top",IF(AC32&lt;=0.5*MEDIAN($AC$6:$AC$105),"Low","Average"))))</f>
        <v/>
      </c>
      <c r="AN32" s="10" t="n"/>
    </row>
    <row r="33" ht="60" customHeight="1">
      <c r="A33" s="5" t="n">
        <v>28</v>
      </c>
      <c r="B33" s="5" t="inlineStr">
        <is>
          <t>Attention and perception</t>
        </is>
      </c>
      <c r="C33" s="5" t="inlineStr">
        <is>
          <t>The frequency illusion</t>
        </is>
      </c>
      <c r="D33" s="5" t="inlineStr">
        <is>
          <t>Why does a new word suddenly appear everywhere?</t>
        </is>
      </c>
      <c r="E33" s="5" t="inlineStr">
        <is>
          <t>Distinguish noticing more from a real increase.</t>
        </is>
      </c>
      <c r="F33" s="5" t="inlineStr">
        <is>
          <t>Word highlighted in everyday scenes</t>
        </is>
      </c>
      <c r="G33" s="5" t="n">
        <v>45</v>
      </c>
      <c r="H33" s="5" t="inlineStr">
        <is>
          <t>Idea</t>
        </is>
      </c>
      <c r="I33" s="10" t="n">
        <v>32</v>
      </c>
      <c r="J33" s="10" t="inlineStr">
        <is>
          <t>Strong</t>
        </is>
      </c>
      <c r="K33" s="10" t="n"/>
      <c r="L33" s="11" t="n"/>
      <c r="M33" s="5">
        <f>IF(L33="","",TEXT(L33,"ddd"))</f>
        <v/>
      </c>
      <c r="N33" s="10" t="n"/>
      <c r="O33" s="10" t="n"/>
      <c r="P33" s="10" t="n"/>
      <c r="Q33" s="10" t="n"/>
      <c r="R33" s="10" t="n"/>
      <c r="S33" s="12" t="n"/>
      <c r="T33" s="10" t="n"/>
      <c r="U33" s="13">
        <f>IF(OR(T33="",N(O33)=0),"",T33/O33)</f>
        <v/>
      </c>
      <c r="V33" s="10" t="n"/>
      <c r="W33" s="10" t="n"/>
      <c r="X33" s="10" t="n"/>
      <c r="Y33" s="12" t="n"/>
      <c r="Z33" s="10" t="n"/>
      <c r="AA33" s="12" t="n"/>
      <c r="AB33" s="10" t="n"/>
      <c r="AC33" s="14">
        <f>IF(COUNT(S33,Y33,AA33)=0,"",SUM(S33,Y33,AA33))</f>
        <v/>
      </c>
      <c r="AD33" s="13">
        <f>IF(N(AC33)=0,"",SUM(V33,W33,X33,Z33,AB33)/AC33)</f>
        <v/>
      </c>
      <c r="AE33" s="12" t="n"/>
      <c r="AF33" s="12" t="n"/>
      <c r="AG33" s="12" t="n"/>
      <c r="AH33" s="14">
        <f>IF(COUNT(AE33,AF33,AG33)=0,"",SUM(AE33,AF33,AG33))</f>
        <v/>
      </c>
      <c r="AI33" s="12" t="n"/>
      <c r="AJ33" s="12" t="n"/>
      <c r="AK33" s="12" t="n"/>
      <c r="AL33" s="14">
        <f>IF(COUNT(AI33,AJ33,AK33)=0,"",SUM(AI33,AJ33,AK33))</f>
        <v/>
      </c>
      <c r="AM33" s="5">
        <f>IF(N(AC33)=0,"",IF(COUNT($AC$6:$AC$105)&lt;5,"Too early",IF(AC33&gt;=1.5*MEDIAN($AC$6:$AC$105),"Top",IF(AC33&lt;=0.5*MEDIAN($AC$6:$AC$105),"Low","Average"))))</f>
        <v/>
      </c>
      <c r="AN33" s="10" t="n"/>
    </row>
    <row r="34" ht="60" customHeight="1">
      <c r="A34" s="5" t="n">
        <v>29</v>
      </c>
      <c r="B34" s="5" t="inlineStr">
        <is>
          <t>Attention and perception</t>
        </is>
      </c>
      <c r="C34" s="5" t="inlineStr">
        <is>
          <t>Time perception</t>
        </is>
      </c>
      <c r="D34" s="5" t="inlineStr">
        <is>
          <t>Why can waiting feel longer than doing something?</t>
        </is>
      </c>
      <c r="E34" s="5" t="inlineStr">
        <is>
          <t>Compare attention to the clock with absorbing activity.</t>
        </is>
      </c>
      <c r="F34" s="5" t="inlineStr">
        <is>
          <t>Queue versus game animation</t>
        </is>
      </c>
      <c r="G34" s="5" t="n">
        <v>45</v>
      </c>
      <c r="H34" s="5" t="inlineStr">
        <is>
          <t>Idea</t>
        </is>
      </c>
      <c r="I34" s="10" t="n">
        <v>40</v>
      </c>
      <c r="J34" s="10" t="inlineStr">
        <is>
          <t>Strong</t>
        </is>
      </c>
      <c r="K34" s="10" t="n"/>
      <c r="L34" s="11" t="n"/>
      <c r="M34" s="5">
        <f>IF(L34="","",TEXT(L34,"ddd"))</f>
        <v/>
      </c>
      <c r="N34" s="10" t="n"/>
      <c r="O34" s="10" t="n"/>
      <c r="P34" s="10" t="n"/>
      <c r="Q34" s="10" t="n"/>
      <c r="R34" s="10" t="n"/>
      <c r="S34" s="12" t="n"/>
      <c r="T34" s="10" t="n"/>
      <c r="U34" s="13">
        <f>IF(OR(T34="",N(O34)=0),"",T34/O34)</f>
        <v/>
      </c>
      <c r="V34" s="10" t="n"/>
      <c r="W34" s="10" t="n"/>
      <c r="X34" s="10" t="n"/>
      <c r="Y34" s="12" t="n"/>
      <c r="Z34" s="10" t="n"/>
      <c r="AA34" s="12" t="n"/>
      <c r="AB34" s="10" t="n"/>
      <c r="AC34" s="14">
        <f>IF(COUNT(S34,Y34,AA34)=0,"",SUM(S34,Y34,AA34))</f>
        <v/>
      </c>
      <c r="AD34" s="13">
        <f>IF(N(AC34)=0,"",SUM(V34,W34,X34,Z34,AB34)/AC34)</f>
        <v/>
      </c>
      <c r="AE34" s="12" t="n"/>
      <c r="AF34" s="12" t="n"/>
      <c r="AG34" s="12" t="n"/>
      <c r="AH34" s="14">
        <f>IF(COUNT(AE34,AF34,AG34)=0,"",SUM(AE34,AF34,AG34))</f>
        <v/>
      </c>
      <c r="AI34" s="12" t="n"/>
      <c r="AJ34" s="12" t="n"/>
      <c r="AK34" s="12" t="n"/>
      <c r="AL34" s="14">
        <f>IF(COUNT(AI34,AJ34,AK34)=0,"",SUM(AI34,AJ34,AK34))</f>
        <v/>
      </c>
      <c r="AM34" s="5">
        <f>IF(N(AC34)=0,"",IF(COUNT($AC$6:$AC$105)&lt;5,"Too early",IF(AC34&gt;=1.5*MEDIAN($AC$6:$AC$105),"Top",IF(AC34&lt;=0.5*MEDIAN($AC$6:$AC$105),"Low","Average"))))</f>
        <v/>
      </c>
      <c r="AN34" s="10" t="n"/>
    </row>
    <row r="35" ht="60" customHeight="1">
      <c r="A35" s="5" t="n">
        <v>30</v>
      </c>
      <c r="B35" s="5" t="inlineStr">
        <is>
          <t>Attention and perception</t>
        </is>
      </c>
      <c r="C35" s="5" t="inlineStr">
        <is>
          <t>Notification interruptions</t>
        </is>
      </c>
      <c r="D35" s="5" t="inlineStr">
        <is>
          <t>How many times did your attention restart?</t>
        </is>
      </c>
      <c r="E35" s="5" t="inlineStr">
        <is>
          <t>Track interruptions during a short task.</t>
        </is>
      </c>
      <c r="F35" s="5" t="inlineStr">
        <is>
          <t>Notification counter</t>
        </is>
      </c>
      <c r="G35" s="5" t="n">
        <v>45</v>
      </c>
      <c r="H35" s="5" t="inlineStr">
        <is>
          <t>Idea</t>
        </is>
      </c>
      <c r="I35" s="10" t="n">
        <v>47</v>
      </c>
      <c r="J35" s="10" t="inlineStr">
        <is>
          <t>Strong</t>
        </is>
      </c>
      <c r="K35" s="10" t="n"/>
      <c r="L35" s="11" t="n"/>
      <c r="M35" s="5">
        <f>IF(L35="","",TEXT(L35,"ddd"))</f>
        <v/>
      </c>
      <c r="N35" s="10" t="n"/>
      <c r="O35" s="10" t="n"/>
      <c r="P35" s="10" t="n"/>
      <c r="Q35" s="10" t="n"/>
      <c r="R35" s="10" t="n"/>
      <c r="S35" s="12" t="n"/>
      <c r="T35" s="10" t="n"/>
      <c r="U35" s="13">
        <f>IF(OR(T35="",N(O35)=0),"",T35/O35)</f>
        <v/>
      </c>
      <c r="V35" s="10" t="n"/>
      <c r="W35" s="10" t="n"/>
      <c r="X35" s="10" t="n"/>
      <c r="Y35" s="12" t="n"/>
      <c r="Z35" s="10" t="n"/>
      <c r="AA35" s="12" t="n"/>
      <c r="AB35" s="10" t="n"/>
      <c r="AC35" s="14">
        <f>IF(COUNT(S35,Y35,AA35)=0,"",SUM(S35,Y35,AA35))</f>
        <v/>
      </c>
      <c r="AD35" s="13">
        <f>IF(N(AC35)=0,"",SUM(V35,W35,X35,Z35,AB35)/AC35)</f>
        <v/>
      </c>
      <c r="AE35" s="12" t="n"/>
      <c r="AF35" s="12" t="n"/>
      <c r="AG35" s="12" t="n"/>
      <c r="AH35" s="14">
        <f>IF(COUNT(AE35,AF35,AG35)=0,"",SUM(AE35,AF35,AG35))</f>
        <v/>
      </c>
      <c r="AI35" s="12" t="n"/>
      <c r="AJ35" s="12" t="n"/>
      <c r="AK35" s="12" t="n"/>
      <c r="AL35" s="14">
        <f>IF(COUNT(AI35,AJ35,AK35)=0,"",SUM(AI35,AJ35,AK35))</f>
        <v/>
      </c>
      <c r="AM35" s="5">
        <f>IF(N(AC35)=0,"",IF(COUNT($AC$6:$AC$105)&lt;5,"Too early",IF(AC35&gt;=1.5*MEDIAN($AC$6:$AC$105),"Top",IF(AC35&lt;=0.5*MEDIAN($AC$6:$AC$105),"Low","Average"))))</f>
        <v/>
      </c>
      <c r="AN35" s="10" t="n"/>
    </row>
    <row r="36" ht="60" customHeight="1">
      <c r="A36" s="5" t="n">
        <v>31</v>
      </c>
      <c r="B36" s="5" t="inlineStr">
        <is>
          <t>Habits and motivation</t>
        </is>
      </c>
      <c r="C36" s="5" t="inlineStr">
        <is>
          <t>The habit cue</t>
        </is>
      </c>
      <c r="D36" s="5" t="inlineStr">
        <is>
          <t>What happens right before you reach for your phone?</t>
        </is>
      </c>
      <c r="E36" s="5" t="inlineStr">
        <is>
          <t>Map an everyday cue, action, and immediate consequence.</t>
        </is>
      </c>
      <c r="F36" s="5" t="inlineStr">
        <is>
          <t>Bedside phone sequence</t>
        </is>
      </c>
      <c r="G36" s="5" t="n">
        <v>45</v>
      </c>
      <c r="H36" s="5" t="inlineStr">
        <is>
          <t>Idea</t>
        </is>
      </c>
      <c r="I36" s="10" t="n">
        <v>73</v>
      </c>
      <c r="J36" s="10" t="inlineStr">
        <is>
          <t>Weak</t>
        </is>
      </c>
      <c r="K36" s="10" t="n"/>
      <c r="L36" s="11" t="n"/>
      <c r="M36" s="5">
        <f>IF(L36="","",TEXT(L36,"ddd"))</f>
        <v/>
      </c>
      <c r="N36" s="10" t="n"/>
      <c r="O36" s="10" t="n"/>
      <c r="P36" s="10" t="n"/>
      <c r="Q36" s="10" t="n"/>
      <c r="R36" s="10" t="n"/>
      <c r="S36" s="12" t="n"/>
      <c r="T36" s="10" t="n"/>
      <c r="U36" s="13">
        <f>IF(OR(T36="",N(O36)=0),"",T36/O36)</f>
        <v/>
      </c>
      <c r="V36" s="10" t="n"/>
      <c r="W36" s="10" t="n"/>
      <c r="X36" s="10" t="n"/>
      <c r="Y36" s="12" t="n"/>
      <c r="Z36" s="10" t="n"/>
      <c r="AA36" s="12" t="n"/>
      <c r="AB36" s="10" t="n"/>
      <c r="AC36" s="14">
        <f>IF(COUNT(S36,Y36,AA36)=0,"",SUM(S36,Y36,AA36))</f>
        <v/>
      </c>
      <c r="AD36" s="13">
        <f>IF(N(AC36)=0,"",SUM(V36,W36,X36,Z36,AB36)/AC36)</f>
        <v/>
      </c>
      <c r="AE36" s="12" t="n"/>
      <c r="AF36" s="12" t="n"/>
      <c r="AG36" s="12" t="n"/>
      <c r="AH36" s="14">
        <f>IF(COUNT(AE36,AF36,AG36)=0,"",SUM(AE36,AF36,AG36))</f>
        <v/>
      </c>
      <c r="AI36" s="12" t="n"/>
      <c r="AJ36" s="12" t="n"/>
      <c r="AK36" s="12" t="n"/>
      <c r="AL36" s="14">
        <f>IF(COUNT(AI36,AJ36,AK36)=0,"",SUM(AI36,AJ36,AK36))</f>
        <v/>
      </c>
      <c r="AM36" s="5">
        <f>IF(N(AC36)=0,"",IF(COUNT($AC$6:$AC$105)&lt;5,"Too early",IF(AC36&gt;=1.5*MEDIAN($AC$6:$AC$105),"Top",IF(AC36&lt;=0.5*MEDIAN($AC$6:$AC$105),"Low","Average"))))</f>
        <v/>
      </c>
      <c r="AN36" s="10" t="n"/>
    </row>
    <row r="37" ht="60" customHeight="1">
      <c r="A37" s="5" t="n">
        <v>32</v>
      </c>
      <c r="B37" s="5" t="inlineStr">
        <is>
          <t>Habits and motivation</t>
        </is>
      </c>
      <c r="C37" s="5" t="inlineStr">
        <is>
          <t>If-then plans</t>
        </is>
      </c>
      <c r="D37" s="5" t="inlineStr">
        <is>
          <t>What will you do when your usual excuse appears?</t>
        </is>
      </c>
      <c r="E37" s="5" t="inlineStr">
        <is>
          <t>Write a specific situation-action plan for one small task.</t>
        </is>
      </c>
      <c r="F37" s="5" t="inlineStr">
        <is>
          <t>If-then sticky note</t>
        </is>
      </c>
      <c r="G37" s="5" t="n">
        <v>45</v>
      </c>
      <c r="H37" s="5" t="inlineStr">
        <is>
          <t>Idea</t>
        </is>
      </c>
      <c r="I37" s="10" t="n">
        <v>4</v>
      </c>
      <c r="J37" s="10" t="inlineStr">
        <is>
          <t>Strong</t>
        </is>
      </c>
      <c r="K37" s="10" t="n"/>
      <c r="L37" s="11" t="n"/>
      <c r="M37" s="5">
        <f>IF(L37="","",TEXT(L37,"ddd"))</f>
        <v/>
      </c>
      <c r="N37" s="10" t="n"/>
      <c r="O37" s="10" t="n"/>
      <c r="P37" s="10" t="n"/>
      <c r="Q37" s="10" t="n"/>
      <c r="R37" s="10" t="n"/>
      <c r="S37" s="12" t="n"/>
      <c r="T37" s="10" t="n"/>
      <c r="U37" s="13">
        <f>IF(OR(T37="",N(O37)=0),"",T37/O37)</f>
        <v/>
      </c>
      <c r="V37" s="10" t="n"/>
      <c r="W37" s="10" t="n"/>
      <c r="X37" s="10" t="n"/>
      <c r="Y37" s="12" t="n"/>
      <c r="Z37" s="10" t="n"/>
      <c r="AA37" s="12" t="n"/>
      <c r="AB37" s="10" t="n"/>
      <c r="AC37" s="14">
        <f>IF(COUNT(S37,Y37,AA37)=0,"",SUM(S37,Y37,AA37))</f>
        <v/>
      </c>
      <c r="AD37" s="13">
        <f>IF(N(AC37)=0,"",SUM(V37,W37,X37,Z37,AB37)/AC37)</f>
        <v/>
      </c>
      <c r="AE37" s="12" t="n"/>
      <c r="AF37" s="12" t="n"/>
      <c r="AG37" s="12" t="n"/>
      <c r="AH37" s="14">
        <f>IF(COUNT(AE37,AF37,AG37)=0,"",SUM(AE37,AF37,AG37))</f>
        <v/>
      </c>
      <c r="AI37" s="12" t="n"/>
      <c r="AJ37" s="12" t="n"/>
      <c r="AK37" s="12" t="n"/>
      <c r="AL37" s="14">
        <f>IF(COUNT(AI37,AJ37,AK37)=0,"",SUM(AI37,AJ37,AK37))</f>
        <v/>
      </c>
      <c r="AM37" s="5">
        <f>IF(N(AC37)=0,"",IF(COUNT($AC$6:$AC$105)&lt;5,"Too early",IF(AC37&gt;=1.5*MEDIAN($AC$6:$AC$105),"Top",IF(AC37&lt;=0.5*MEDIAN($AC$6:$AC$105),"Low","Average"))))</f>
        <v/>
      </c>
      <c r="AN37" s="10" t="n"/>
    </row>
    <row r="38" ht="60" customHeight="1">
      <c r="A38" s="5" t="n">
        <v>33</v>
      </c>
      <c r="B38" s="5" t="inlineStr">
        <is>
          <t>Habits and motivation</t>
        </is>
      </c>
      <c r="C38" s="5" t="inlineStr">
        <is>
          <t>Reducing friction</t>
        </is>
      </c>
      <c r="D38" s="5" t="inlineStr">
        <is>
          <t>Can moving one object change your routine?</t>
        </is>
      </c>
      <c r="E38" s="5" t="inlineStr">
        <is>
          <t>Compare accessible running shoes with shoes buried in a closet.</t>
        </is>
      </c>
      <c r="F38" s="5" t="inlineStr">
        <is>
          <t>Before-and-after shelf</t>
        </is>
      </c>
      <c r="G38" s="5" t="n">
        <v>45</v>
      </c>
      <c r="H38" s="5" t="inlineStr">
        <is>
          <t>Idea</t>
        </is>
      </c>
      <c r="I38" s="10" t="n">
        <v>80</v>
      </c>
      <c r="J38" s="10" t="inlineStr">
        <is>
          <t>Weak</t>
        </is>
      </c>
      <c r="K38" s="10" t="n"/>
      <c r="L38" s="11" t="n"/>
      <c r="M38" s="5">
        <f>IF(L38="","",TEXT(L38,"ddd"))</f>
        <v/>
      </c>
      <c r="N38" s="10" t="n"/>
      <c r="O38" s="10" t="n"/>
      <c r="P38" s="10" t="n"/>
      <c r="Q38" s="10" t="n"/>
      <c r="R38" s="10" t="n"/>
      <c r="S38" s="12" t="n"/>
      <c r="T38" s="10" t="n"/>
      <c r="U38" s="13">
        <f>IF(OR(T38="",N(O38)=0),"",T38/O38)</f>
        <v/>
      </c>
      <c r="V38" s="10" t="n"/>
      <c r="W38" s="10" t="n"/>
      <c r="X38" s="10" t="n"/>
      <c r="Y38" s="12" t="n"/>
      <c r="Z38" s="10" t="n"/>
      <c r="AA38" s="12" t="n"/>
      <c r="AB38" s="10" t="n"/>
      <c r="AC38" s="14">
        <f>IF(COUNT(S38,Y38,AA38)=0,"",SUM(S38,Y38,AA38))</f>
        <v/>
      </c>
      <c r="AD38" s="13">
        <f>IF(N(AC38)=0,"",SUM(V38,W38,X38,Z38,AB38)/AC38)</f>
        <v/>
      </c>
      <c r="AE38" s="12" t="n"/>
      <c r="AF38" s="12" t="n"/>
      <c r="AG38" s="12" t="n"/>
      <c r="AH38" s="14">
        <f>IF(COUNT(AE38,AF38,AG38)=0,"",SUM(AE38,AF38,AG38))</f>
        <v/>
      </c>
      <c r="AI38" s="12" t="n"/>
      <c r="AJ38" s="12" t="n"/>
      <c r="AK38" s="12" t="n"/>
      <c r="AL38" s="14">
        <f>IF(COUNT(AI38,AJ38,AK38)=0,"",SUM(AI38,AJ38,AK38))</f>
        <v/>
      </c>
      <c r="AM38" s="5">
        <f>IF(N(AC38)=0,"",IF(COUNT($AC$6:$AC$105)&lt;5,"Too early",IF(AC38&gt;=1.5*MEDIAN($AC$6:$AC$105),"Top",IF(AC38&lt;=0.5*MEDIAN($AC$6:$AC$105),"Low","Average"))))</f>
        <v/>
      </c>
      <c r="AN38" s="10" t="n"/>
    </row>
    <row r="39" ht="60" customHeight="1">
      <c r="A39" s="5" t="n">
        <v>34</v>
      </c>
      <c r="B39" s="5" t="inlineStr">
        <is>
          <t>Habits and motivation</t>
        </is>
      </c>
      <c r="C39" s="5" t="inlineStr">
        <is>
          <t>Increasing friction</t>
        </is>
      </c>
      <c r="D39" s="5" t="inlineStr">
        <is>
          <t>Make the distraction take one extra step.</t>
        </is>
      </c>
      <c r="E39" s="5" t="inlineStr">
        <is>
          <t>Show logging out or moving an app as a personal experiment.</t>
        </is>
      </c>
      <c r="F39" s="5" t="inlineStr">
        <is>
          <t>Mock phone home screen</t>
        </is>
      </c>
      <c r="G39" s="5" t="n">
        <v>45</v>
      </c>
      <c r="H39" s="5" t="inlineStr">
        <is>
          <t>Idea</t>
        </is>
      </c>
      <c r="I39" s="10" t="n">
        <v>85</v>
      </c>
      <c r="J39" s="10" t="inlineStr">
        <is>
          <t>Weak</t>
        </is>
      </c>
      <c r="K39" s="10" t="n"/>
      <c r="L39" s="11" t="n"/>
      <c r="M39" s="5">
        <f>IF(L39="","",TEXT(L39,"ddd"))</f>
        <v/>
      </c>
      <c r="N39" s="10" t="n"/>
      <c r="O39" s="10" t="n"/>
      <c r="P39" s="10" t="n"/>
      <c r="Q39" s="10" t="n"/>
      <c r="R39" s="10" t="n"/>
      <c r="S39" s="12" t="n"/>
      <c r="T39" s="10" t="n"/>
      <c r="U39" s="13">
        <f>IF(OR(T39="",N(O39)=0),"",T39/O39)</f>
        <v/>
      </c>
      <c r="V39" s="10" t="n"/>
      <c r="W39" s="10" t="n"/>
      <c r="X39" s="10" t="n"/>
      <c r="Y39" s="12" t="n"/>
      <c r="Z39" s="10" t="n"/>
      <c r="AA39" s="12" t="n"/>
      <c r="AB39" s="10" t="n"/>
      <c r="AC39" s="14">
        <f>IF(COUNT(S39,Y39,AA39)=0,"",SUM(S39,Y39,AA39))</f>
        <v/>
      </c>
      <c r="AD39" s="13">
        <f>IF(N(AC39)=0,"",SUM(V39,W39,X39,Z39,AB39)/AC39)</f>
        <v/>
      </c>
      <c r="AE39" s="12" t="n"/>
      <c r="AF39" s="12" t="n"/>
      <c r="AG39" s="12" t="n"/>
      <c r="AH39" s="14">
        <f>IF(COUNT(AE39,AF39,AG39)=0,"",SUM(AE39,AF39,AG39))</f>
        <v/>
      </c>
      <c r="AI39" s="12" t="n"/>
      <c r="AJ39" s="12" t="n"/>
      <c r="AK39" s="12" t="n"/>
      <c r="AL39" s="14">
        <f>IF(COUNT(AI39,AJ39,AK39)=0,"",SUM(AI39,AJ39,AK39))</f>
        <v/>
      </c>
      <c r="AM39" s="5">
        <f>IF(N(AC39)=0,"",IF(COUNT($AC$6:$AC$105)&lt;5,"Too early",IF(AC39&gt;=1.5*MEDIAN($AC$6:$AC$105),"Top",IF(AC39&lt;=0.5*MEDIAN($AC$6:$AC$105),"Low","Average"))))</f>
        <v/>
      </c>
      <c r="AN39" s="10" t="n"/>
    </row>
    <row r="40" ht="60" customHeight="1">
      <c r="A40" s="5" t="n">
        <v>35</v>
      </c>
      <c r="B40" s="5" t="inlineStr">
        <is>
          <t>Habits and motivation</t>
        </is>
      </c>
      <c r="C40" s="5" t="inlineStr">
        <is>
          <t>Present bias</t>
        </is>
      </c>
      <c r="D40" s="5" t="inlineStr">
        <is>
          <t>Why does tomorrow-you get all the hard work?</t>
        </is>
      </c>
      <c r="E40" s="5" t="inlineStr">
        <is>
          <t>Compare an immediate reward with a delayed benefit.</t>
        </is>
      </c>
      <c r="F40" s="5" t="inlineStr">
        <is>
          <t>Today and tomorrow characters</t>
        </is>
      </c>
      <c r="G40" s="5" t="n">
        <v>45</v>
      </c>
      <c r="H40" s="5" t="inlineStr">
        <is>
          <t>Idea</t>
        </is>
      </c>
      <c r="I40" s="10" t="n">
        <v>14</v>
      </c>
      <c r="J40" s="10" t="inlineStr">
        <is>
          <t>Strong</t>
        </is>
      </c>
      <c r="K40" s="10" t="n"/>
      <c r="L40" s="11" t="n"/>
      <c r="M40" s="5">
        <f>IF(L40="","",TEXT(L40,"ddd"))</f>
        <v/>
      </c>
      <c r="N40" s="10" t="n"/>
      <c r="O40" s="10" t="n"/>
      <c r="P40" s="10" t="n"/>
      <c r="Q40" s="10" t="n"/>
      <c r="R40" s="10" t="n"/>
      <c r="S40" s="12" t="n"/>
      <c r="T40" s="10" t="n"/>
      <c r="U40" s="13">
        <f>IF(OR(T40="",N(O40)=0),"",T40/O40)</f>
        <v/>
      </c>
      <c r="V40" s="10" t="n"/>
      <c r="W40" s="10" t="n"/>
      <c r="X40" s="10" t="n"/>
      <c r="Y40" s="12" t="n"/>
      <c r="Z40" s="10" t="n"/>
      <c r="AA40" s="12" t="n"/>
      <c r="AB40" s="10" t="n"/>
      <c r="AC40" s="14">
        <f>IF(COUNT(S40,Y40,AA40)=0,"",SUM(S40,Y40,AA40))</f>
        <v/>
      </c>
      <c r="AD40" s="13">
        <f>IF(N(AC40)=0,"",SUM(V40,W40,X40,Z40,AB40)/AC40)</f>
        <v/>
      </c>
      <c r="AE40" s="12" t="n"/>
      <c r="AF40" s="12" t="n"/>
      <c r="AG40" s="12" t="n"/>
      <c r="AH40" s="14">
        <f>IF(COUNT(AE40,AF40,AG40)=0,"",SUM(AE40,AF40,AG40))</f>
        <v/>
      </c>
      <c r="AI40" s="12" t="n"/>
      <c r="AJ40" s="12" t="n"/>
      <c r="AK40" s="12" t="n"/>
      <c r="AL40" s="14">
        <f>IF(COUNT(AI40,AJ40,AK40)=0,"",SUM(AI40,AJ40,AK40))</f>
        <v/>
      </c>
      <c r="AM40" s="5">
        <f>IF(N(AC40)=0,"",IF(COUNT($AC$6:$AC$105)&lt;5,"Too early",IF(AC40&gt;=1.5*MEDIAN($AC$6:$AC$105),"Top",IF(AC40&lt;=0.5*MEDIAN($AC$6:$AC$105),"Low","Average"))))</f>
        <v/>
      </c>
      <c r="AN40" s="10" t="n"/>
    </row>
    <row r="41" ht="60" customHeight="1">
      <c r="A41" s="5" t="n">
        <v>36</v>
      </c>
      <c r="B41" s="5" t="inlineStr">
        <is>
          <t>Habits and motivation</t>
        </is>
      </c>
      <c r="C41" s="5" t="inlineStr">
        <is>
          <t>Procrastination and feelings</t>
        </is>
      </c>
      <c r="D41" s="5" t="inlineStr">
        <is>
          <t>What feeling are you avoiding when you postpone a task?</t>
        </is>
      </c>
      <c r="E41" s="5" t="inlineStr">
        <is>
          <t>Explore discomfort as one possible driver of delay.</t>
        </is>
      </c>
      <c r="F41" s="5" t="inlineStr">
        <is>
          <t>Task and emotion bubbles</t>
        </is>
      </c>
      <c r="G41" s="5" t="n">
        <v>45</v>
      </c>
      <c r="H41" s="5" t="inlineStr">
        <is>
          <t>Idea</t>
        </is>
      </c>
      <c r="I41" s="10" t="n">
        <v>24</v>
      </c>
      <c r="J41" s="10" t="inlineStr">
        <is>
          <t>Strong</t>
        </is>
      </c>
      <c r="K41" s="10" t="n"/>
      <c r="L41" s="11" t="n"/>
      <c r="M41" s="5">
        <f>IF(L41="","",TEXT(L41,"ddd"))</f>
        <v/>
      </c>
      <c r="N41" s="10" t="n"/>
      <c r="O41" s="10" t="n"/>
      <c r="P41" s="10" t="n"/>
      <c r="Q41" s="10" t="n"/>
      <c r="R41" s="10" t="n"/>
      <c r="S41" s="12" t="n"/>
      <c r="T41" s="10" t="n"/>
      <c r="U41" s="13">
        <f>IF(OR(T41="",N(O41)=0),"",T41/O41)</f>
        <v/>
      </c>
      <c r="V41" s="10" t="n"/>
      <c r="W41" s="10" t="n"/>
      <c r="X41" s="10" t="n"/>
      <c r="Y41" s="12" t="n"/>
      <c r="Z41" s="10" t="n"/>
      <c r="AA41" s="12" t="n"/>
      <c r="AB41" s="10" t="n"/>
      <c r="AC41" s="14">
        <f>IF(COUNT(S41,Y41,AA41)=0,"",SUM(S41,Y41,AA41))</f>
        <v/>
      </c>
      <c r="AD41" s="13">
        <f>IF(N(AC41)=0,"",SUM(V41,W41,X41,Z41,AB41)/AC41)</f>
        <v/>
      </c>
      <c r="AE41" s="12" t="n"/>
      <c r="AF41" s="12" t="n"/>
      <c r="AG41" s="12" t="n"/>
      <c r="AH41" s="14">
        <f>IF(COUNT(AE41,AF41,AG41)=0,"",SUM(AE41,AF41,AG41))</f>
        <v/>
      </c>
      <c r="AI41" s="12" t="n"/>
      <c r="AJ41" s="12" t="n"/>
      <c r="AK41" s="12" t="n"/>
      <c r="AL41" s="14">
        <f>IF(COUNT(AI41,AJ41,AK41)=0,"",SUM(AI41,AJ41,AK41))</f>
        <v/>
      </c>
      <c r="AM41" s="5">
        <f>IF(N(AC41)=0,"",IF(COUNT($AC$6:$AC$105)&lt;5,"Too early",IF(AC41&gt;=1.5*MEDIAN($AC$6:$AC$105),"Top",IF(AC41&lt;=0.5*MEDIAN($AC$6:$AC$105),"Low","Average"))))</f>
        <v/>
      </c>
      <c r="AN41" s="10" t="n"/>
    </row>
    <row r="42" ht="60" customHeight="1">
      <c r="A42" s="5" t="n">
        <v>37</v>
      </c>
      <c r="B42" s="5" t="inlineStr">
        <is>
          <t>Habits and motivation</t>
        </is>
      </c>
      <c r="C42" s="5" t="inlineStr">
        <is>
          <t>Reward timing</t>
        </is>
      </c>
      <c r="D42" s="5" t="inlineStr">
        <is>
          <t>Why might a small immediate reward matter?</t>
        </is>
      </c>
      <c r="E42" s="5" t="inlineStr">
        <is>
          <t>Design a modest reward after completing a study block.</t>
        </is>
      </c>
      <c r="F42" s="5" t="inlineStr">
        <is>
          <t>Timer and tea mug</t>
        </is>
      </c>
      <c r="G42" s="5" t="n">
        <v>45</v>
      </c>
      <c r="H42" s="5" t="inlineStr">
        <is>
          <t>Idea</t>
        </is>
      </c>
      <c r="I42" s="10" t="n">
        <v>33</v>
      </c>
      <c r="J42" s="10" t="inlineStr">
        <is>
          <t>Strong</t>
        </is>
      </c>
      <c r="K42" s="10" t="n"/>
      <c r="L42" s="11" t="n"/>
      <c r="M42" s="5">
        <f>IF(L42="","",TEXT(L42,"ddd"))</f>
        <v/>
      </c>
      <c r="N42" s="10" t="n"/>
      <c r="O42" s="10" t="n"/>
      <c r="P42" s="10" t="n"/>
      <c r="Q42" s="10" t="n"/>
      <c r="R42" s="10" t="n"/>
      <c r="S42" s="12" t="n"/>
      <c r="T42" s="10" t="n"/>
      <c r="U42" s="13">
        <f>IF(OR(T42="",N(O42)=0),"",T42/O42)</f>
        <v/>
      </c>
      <c r="V42" s="10" t="n"/>
      <c r="W42" s="10" t="n"/>
      <c r="X42" s="10" t="n"/>
      <c r="Y42" s="12" t="n"/>
      <c r="Z42" s="10" t="n"/>
      <c r="AA42" s="12" t="n"/>
      <c r="AB42" s="10" t="n"/>
      <c r="AC42" s="14">
        <f>IF(COUNT(S42,Y42,AA42)=0,"",SUM(S42,Y42,AA42))</f>
        <v/>
      </c>
      <c r="AD42" s="13">
        <f>IF(N(AC42)=0,"",SUM(V42,W42,X42,Z42,AB42)/AC42)</f>
        <v/>
      </c>
      <c r="AE42" s="12" t="n"/>
      <c r="AF42" s="12" t="n"/>
      <c r="AG42" s="12" t="n"/>
      <c r="AH42" s="14">
        <f>IF(COUNT(AE42,AF42,AG42)=0,"",SUM(AE42,AF42,AG42))</f>
        <v/>
      </c>
      <c r="AI42" s="12" t="n"/>
      <c r="AJ42" s="12" t="n"/>
      <c r="AK42" s="12" t="n"/>
      <c r="AL42" s="14">
        <f>IF(COUNT(AI42,AJ42,AK42)=0,"",SUM(AI42,AJ42,AK42))</f>
        <v/>
      </c>
      <c r="AM42" s="5">
        <f>IF(N(AC42)=0,"",IF(COUNT($AC$6:$AC$105)&lt;5,"Too early",IF(AC42&gt;=1.5*MEDIAN($AC$6:$AC$105),"Top",IF(AC42&lt;=0.5*MEDIAN($AC$6:$AC$105),"Low","Average"))))</f>
        <v/>
      </c>
      <c r="AN42" s="10" t="n"/>
    </row>
    <row r="43" ht="60" customHeight="1">
      <c r="A43" s="5" t="n">
        <v>38</v>
      </c>
      <c r="B43" s="5" t="inlineStr">
        <is>
          <t>Habits and motivation</t>
        </is>
      </c>
      <c r="C43" s="5" t="inlineStr">
        <is>
          <t>Goal specificity</t>
        </is>
      </c>
      <c r="D43" s="5" t="inlineStr">
        <is>
          <t>Can you act on 'be more productive'?</t>
        </is>
      </c>
      <c r="E43" s="5" t="inlineStr">
        <is>
          <t>Turn a vague goal into a clearly defined next action.</t>
        </is>
      </c>
      <c r="F43" s="5" t="inlineStr">
        <is>
          <t>Goal rewritten onscreen</t>
        </is>
      </c>
      <c r="G43" s="5" t="n">
        <v>45</v>
      </c>
      <c r="H43" s="5" t="inlineStr">
        <is>
          <t>Idea</t>
        </is>
      </c>
      <c r="I43" s="10" t="n">
        <v>89</v>
      </c>
      <c r="J43" s="10" t="inlineStr">
        <is>
          <t>Weak</t>
        </is>
      </c>
      <c r="K43" s="10" t="n"/>
      <c r="L43" s="11" t="n"/>
      <c r="M43" s="5">
        <f>IF(L43="","",TEXT(L43,"ddd"))</f>
        <v/>
      </c>
      <c r="N43" s="10" t="n"/>
      <c r="O43" s="10" t="n"/>
      <c r="P43" s="10" t="n"/>
      <c r="Q43" s="10" t="n"/>
      <c r="R43" s="10" t="n"/>
      <c r="S43" s="12" t="n"/>
      <c r="T43" s="10" t="n"/>
      <c r="U43" s="13">
        <f>IF(OR(T43="",N(O43)=0),"",T43/O43)</f>
        <v/>
      </c>
      <c r="V43" s="10" t="n"/>
      <c r="W43" s="10" t="n"/>
      <c r="X43" s="10" t="n"/>
      <c r="Y43" s="12" t="n"/>
      <c r="Z43" s="10" t="n"/>
      <c r="AA43" s="12" t="n"/>
      <c r="AB43" s="10" t="n"/>
      <c r="AC43" s="14">
        <f>IF(COUNT(S43,Y43,AA43)=0,"",SUM(S43,Y43,AA43))</f>
        <v/>
      </c>
      <c r="AD43" s="13">
        <f>IF(N(AC43)=0,"",SUM(V43,W43,X43,Z43,AB43)/AC43)</f>
        <v/>
      </c>
      <c r="AE43" s="12" t="n"/>
      <c r="AF43" s="12" t="n"/>
      <c r="AG43" s="12" t="n"/>
      <c r="AH43" s="14">
        <f>IF(COUNT(AE43,AF43,AG43)=0,"",SUM(AE43,AF43,AG43))</f>
        <v/>
      </c>
      <c r="AI43" s="12" t="n"/>
      <c r="AJ43" s="12" t="n"/>
      <c r="AK43" s="12" t="n"/>
      <c r="AL43" s="14">
        <f>IF(COUNT(AI43,AJ43,AK43)=0,"",SUM(AI43,AJ43,AK43))</f>
        <v/>
      </c>
      <c r="AM43" s="5">
        <f>IF(N(AC43)=0,"",IF(COUNT($AC$6:$AC$105)&lt;5,"Too early",IF(AC43&gt;=1.5*MEDIAN($AC$6:$AC$105),"Top",IF(AC43&lt;=0.5*MEDIAN($AC$6:$AC$105),"Low","Average"))))</f>
        <v/>
      </c>
      <c r="AN43" s="10" t="n"/>
    </row>
    <row r="44" ht="60" customHeight="1">
      <c r="A44" s="5" t="n">
        <v>39</v>
      </c>
      <c r="B44" s="5" t="inlineStr">
        <is>
          <t>Habits and motivation</t>
        </is>
      </c>
      <c r="C44" s="5" t="inlineStr">
        <is>
          <t>Motivation versus routines</t>
        </is>
      </c>
      <c r="D44" s="5" t="inlineStr">
        <is>
          <t>What carries the task on a low-motivation day?</t>
        </is>
      </c>
      <c r="E44" s="5" t="inlineStr">
        <is>
          <t>Show how a simple routine can reduce repeated decisions.</t>
        </is>
      </c>
      <c r="F44" s="5" t="inlineStr">
        <is>
          <t>Calendar and repeatable setup</t>
        </is>
      </c>
      <c r="G44" s="5" t="n">
        <v>45</v>
      </c>
      <c r="H44" s="5" t="inlineStr">
        <is>
          <t>Idea</t>
        </is>
      </c>
      <c r="I44" s="10" t="n">
        <v>92</v>
      </c>
      <c r="J44" s="10" t="inlineStr">
        <is>
          <t>Weak</t>
        </is>
      </c>
      <c r="K44" s="10" t="n"/>
      <c r="L44" s="11" t="n"/>
      <c r="M44" s="5">
        <f>IF(L44="","",TEXT(L44,"ddd"))</f>
        <v/>
      </c>
      <c r="N44" s="10" t="n"/>
      <c r="O44" s="10" t="n"/>
      <c r="P44" s="10" t="n"/>
      <c r="Q44" s="10" t="n"/>
      <c r="R44" s="10" t="n"/>
      <c r="S44" s="12" t="n"/>
      <c r="T44" s="10" t="n"/>
      <c r="U44" s="13">
        <f>IF(OR(T44="",N(O44)=0),"",T44/O44)</f>
        <v/>
      </c>
      <c r="V44" s="10" t="n"/>
      <c r="W44" s="10" t="n"/>
      <c r="X44" s="10" t="n"/>
      <c r="Y44" s="12" t="n"/>
      <c r="Z44" s="10" t="n"/>
      <c r="AA44" s="12" t="n"/>
      <c r="AB44" s="10" t="n"/>
      <c r="AC44" s="14">
        <f>IF(COUNT(S44,Y44,AA44)=0,"",SUM(S44,Y44,AA44))</f>
        <v/>
      </c>
      <c r="AD44" s="13">
        <f>IF(N(AC44)=0,"",SUM(V44,W44,X44,Z44,AB44)/AC44)</f>
        <v/>
      </c>
      <c r="AE44" s="12" t="n"/>
      <c r="AF44" s="12" t="n"/>
      <c r="AG44" s="12" t="n"/>
      <c r="AH44" s="14">
        <f>IF(COUNT(AE44,AF44,AG44)=0,"",SUM(AE44,AF44,AG44))</f>
        <v/>
      </c>
      <c r="AI44" s="12" t="n"/>
      <c r="AJ44" s="12" t="n"/>
      <c r="AK44" s="12" t="n"/>
      <c r="AL44" s="14">
        <f>IF(COUNT(AI44,AJ44,AK44)=0,"",SUM(AI44,AJ44,AK44))</f>
        <v/>
      </c>
      <c r="AM44" s="5">
        <f>IF(N(AC44)=0,"",IF(COUNT($AC$6:$AC$105)&lt;5,"Too early",IF(AC44&gt;=1.5*MEDIAN($AC$6:$AC$105),"Top",IF(AC44&lt;=0.5*MEDIAN($AC$6:$AC$105),"Low","Average"))))</f>
        <v/>
      </c>
      <c r="AN44" s="10" t="n"/>
    </row>
    <row r="45" ht="60" customHeight="1">
      <c r="A45" s="5" t="n">
        <v>40</v>
      </c>
      <c r="B45" s="5" t="inlineStr">
        <is>
          <t>Habits and motivation</t>
        </is>
      </c>
      <c r="C45" s="5" t="inlineStr">
        <is>
          <t>Tracking progress</t>
        </is>
      </c>
      <c r="D45" s="5" t="inlineStr">
        <is>
          <t>Are you noticing the steps you already completed?</t>
        </is>
      </c>
      <c r="E45" s="5" t="inlineStr">
        <is>
          <t>Use a visible progress log without promising universal results.</t>
        </is>
      </c>
      <c r="F45" s="5" t="inlineStr">
        <is>
          <t>Checklist filling up</t>
        </is>
      </c>
      <c r="G45" s="5" t="n">
        <v>45</v>
      </c>
      <c r="H45" s="5" t="inlineStr">
        <is>
          <t>Idea</t>
        </is>
      </c>
      <c r="I45" s="10" t="n">
        <v>95</v>
      </c>
      <c r="J45" s="10" t="inlineStr">
        <is>
          <t>Weak</t>
        </is>
      </c>
      <c r="K45" s="10" t="n"/>
      <c r="L45" s="11" t="n"/>
      <c r="M45" s="5">
        <f>IF(L45="","",TEXT(L45,"ddd"))</f>
        <v/>
      </c>
      <c r="N45" s="10" t="n"/>
      <c r="O45" s="10" t="n"/>
      <c r="P45" s="10" t="n"/>
      <c r="Q45" s="10" t="n"/>
      <c r="R45" s="10" t="n"/>
      <c r="S45" s="12" t="n"/>
      <c r="T45" s="10" t="n"/>
      <c r="U45" s="13">
        <f>IF(OR(T45="",N(O45)=0),"",T45/O45)</f>
        <v/>
      </c>
      <c r="V45" s="10" t="n"/>
      <c r="W45" s="10" t="n"/>
      <c r="X45" s="10" t="n"/>
      <c r="Y45" s="12" t="n"/>
      <c r="Z45" s="10" t="n"/>
      <c r="AA45" s="12" t="n"/>
      <c r="AB45" s="10" t="n"/>
      <c r="AC45" s="14">
        <f>IF(COUNT(S45,Y45,AA45)=0,"",SUM(S45,Y45,AA45))</f>
        <v/>
      </c>
      <c r="AD45" s="13">
        <f>IF(N(AC45)=0,"",SUM(V45,W45,X45,Z45,AB45)/AC45)</f>
        <v/>
      </c>
      <c r="AE45" s="12" t="n"/>
      <c r="AF45" s="12" t="n"/>
      <c r="AG45" s="12" t="n"/>
      <c r="AH45" s="14">
        <f>IF(COUNT(AE45,AF45,AG45)=0,"",SUM(AE45,AF45,AG45))</f>
        <v/>
      </c>
      <c r="AI45" s="12" t="n"/>
      <c r="AJ45" s="12" t="n"/>
      <c r="AK45" s="12" t="n"/>
      <c r="AL45" s="14">
        <f>IF(COUNT(AI45,AJ45,AK45)=0,"",SUM(AI45,AJ45,AK45))</f>
        <v/>
      </c>
      <c r="AM45" s="5">
        <f>IF(N(AC45)=0,"",IF(COUNT($AC$6:$AC$105)&lt;5,"Too early",IF(AC45&gt;=1.5*MEDIAN($AC$6:$AC$105),"Top",IF(AC45&lt;=0.5*MEDIAN($AC$6:$AC$105),"Low","Average"))))</f>
        <v/>
      </c>
      <c r="AN45" s="10" t="n"/>
    </row>
    <row r="46" ht="60" customHeight="1">
      <c r="A46" s="5" t="n">
        <v>41</v>
      </c>
      <c r="B46" s="5" t="inlineStr">
        <is>
          <t>Emotions and self-awareness</t>
        </is>
      </c>
      <c r="C46" s="5" t="inlineStr">
        <is>
          <t>Naming an emotion</t>
        </is>
      </c>
      <c r="D46" s="5" t="inlineStr">
        <is>
          <t>Is it anger, disappointment, or embarrassment?</t>
        </is>
      </c>
      <c r="E46" s="5" t="inlineStr">
        <is>
          <t>Show how a more precise label changes the conversation.</t>
        </is>
      </c>
      <c r="F46" s="5" t="inlineStr">
        <is>
          <t>Emotion word cards</t>
        </is>
      </c>
      <c r="G46" s="5" t="n">
        <v>45</v>
      </c>
      <c r="H46" s="5" t="inlineStr">
        <is>
          <t>Idea</t>
        </is>
      </c>
      <c r="I46" s="10" t="n">
        <v>74</v>
      </c>
      <c r="J46" s="10" t="inlineStr">
        <is>
          <t>Weak</t>
        </is>
      </c>
      <c r="K46" s="10" t="n"/>
      <c r="L46" s="11" t="n"/>
      <c r="M46" s="5">
        <f>IF(L46="","",TEXT(L46,"ddd"))</f>
        <v/>
      </c>
      <c r="N46" s="10" t="n"/>
      <c r="O46" s="10" t="n"/>
      <c r="P46" s="10" t="n"/>
      <c r="Q46" s="10" t="n"/>
      <c r="R46" s="10" t="n"/>
      <c r="S46" s="12" t="n"/>
      <c r="T46" s="10" t="n"/>
      <c r="U46" s="13">
        <f>IF(OR(T46="",N(O46)=0),"",T46/O46)</f>
        <v/>
      </c>
      <c r="V46" s="10" t="n"/>
      <c r="W46" s="10" t="n"/>
      <c r="X46" s="10" t="n"/>
      <c r="Y46" s="12" t="n"/>
      <c r="Z46" s="10" t="n"/>
      <c r="AA46" s="12" t="n"/>
      <c r="AB46" s="10" t="n"/>
      <c r="AC46" s="14">
        <f>IF(COUNT(S46,Y46,AA46)=0,"",SUM(S46,Y46,AA46))</f>
        <v/>
      </c>
      <c r="AD46" s="13">
        <f>IF(N(AC46)=0,"",SUM(V46,W46,X46,Z46,AB46)/AC46)</f>
        <v/>
      </c>
      <c r="AE46" s="12" t="n"/>
      <c r="AF46" s="12" t="n"/>
      <c r="AG46" s="12" t="n"/>
      <c r="AH46" s="14">
        <f>IF(COUNT(AE46,AF46,AG46)=0,"",SUM(AE46,AF46,AG46))</f>
        <v/>
      </c>
      <c r="AI46" s="12" t="n"/>
      <c r="AJ46" s="12" t="n"/>
      <c r="AK46" s="12" t="n"/>
      <c r="AL46" s="14">
        <f>IF(COUNT(AI46,AJ46,AK46)=0,"",SUM(AI46,AJ46,AK46))</f>
        <v/>
      </c>
      <c r="AM46" s="5">
        <f>IF(N(AC46)=0,"",IF(COUNT($AC$6:$AC$105)&lt;5,"Too early",IF(AC46&gt;=1.5*MEDIAN($AC$6:$AC$105),"Top",IF(AC46&lt;=0.5*MEDIAN($AC$6:$AC$105),"Low","Average"))))</f>
        <v/>
      </c>
      <c r="AN46" s="10" t="n"/>
    </row>
    <row r="47" ht="60" customHeight="1">
      <c r="A47" s="5" t="n">
        <v>42</v>
      </c>
      <c r="B47" s="5" t="inlineStr">
        <is>
          <t>Emotions and self-awareness</t>
        </is>
      </c>
      <c r="C47" s="5" t="inlineStr">
        <is>
          <t>Feelings versus conclusions</t>
        </is>
      </c>
      <c r="D47" s="5" t="inlineStr">
        <is>
          <t>Does feeling rejected prove you were rejected?</t>
        </is>
      </c>
      <c r="E47" s="5" t="inlineStr">
        <is>
          <t>Separate an emotional response from an interpretation.</t>
        </is>
      </c>
      <c r="F47" s="5" t="inlineStr">
        <is>
          <t>Text message with two interpretations</t>
        </is>
      </c>
      <c r="G47" s="5" t="n">
        <v>45</v>
      </c>
      <c r="H47" s="5" t="inlineStr">
        <is>
          <t>Idea</t>
        </is>
      </c>
      <c r="I47" s="10" t="n">
        <v>5</v>
      </c>
      <c r="J47" s="10" t="inlineStr">
        <is>
          <t>Strong</t>
        </is>
      </c>
      <c r="K47" s="10" t="n"/>
      <c r="L47" s="11" t="n"/>
      <c r="M47" s="5">
        <f>IF(L47="","",TEXT(L47,"ddd"))</f>
        <v/>
      </c>
      <c r="N47" s="10" t="n"/>
      <c r="O47" s="10" t="n"/>
      <c r="P47" s="10" t="n"/>
      <c r="Q47" s="10" t="n"/>
      <c r="R47" s="10" t="n"/>
      <c r="S47" s="12" t="n"/>
      <c r="T47" s="10" t="n"/>
      <c r="U47" s="13">
        <f>IF(OR(T47="",N(O47)=0),"",T47/O47)</f>
        <v/>
      </c>
      <c r="V47" s="10" t="n"/>
      <c r="W47" s="10" t="n"/>
      <c r="X47" s="10" t="n"/>
      <c r="Y47" s="12" t="n"/>
      <c r="Z47" s="10" t="n"/>
      <c r="AA47" s="12" t="n"/>
      <c r="AB47" s="10" t="n"/>
      <c r="AC47" s="14">
        <f>IF(COUNT(S47,Y47,AA47)=0,"",SUM(S47,Y47,AA47))</f>
        <v/>
      </c>
      <c r="AD47" s="13">
        <f>IF(N(AC47)=0,"",SUM(V47,W47,X47,Z47,AB47)/AC47)</f>
        <v/>
      </c>
      <c r="AE47" s="12" t="n"/>
      <c r="AF47" s="12" t="n"/>
      <c r="AG47" s="12" t="n"/>
      <c r="AH47" s="14">
        <f>IF(COUNT(AE47,AF47,AG47)=0,"",SUM(AE47,AF47,AG47))</f>
        <v/>
      </c>
      <c r="AI47" s="12" t="n"/>
      <c r="AJ47" s="12" t="n"/>
      <c r="AK47" s="12" t="n"/>
      <c r="AL47" s="14">
        <f>IF(COUNT(AI47,AJ47,AK47)=0,"",SUM(AI47,AJ47,AK47))</f>
        <v/>
      </c>
      <c r="AM47" s="5">
        <f>IF(N(AC47)=0,"",IF(COUNT($AC$6:$AC$105)&lt;5,"Too early",IF(AC47&gt;=1.5*MEDIAN($AC$6:$AC$105),"Top",IF(AC47&lt;=0.5*MEDIAN($AC$6:$AC$105),"Low","Average"))))</f>
        <v/>
      </c>
      <c r="AN47" s="10" t="n"/>
    </row>
    <row r="48" ht="60" customHeight="1">
      <c r="A48" s="5" t="n">
        <v>43</v>
      </c>
      <c r="B48" s="5" t="inlineStr">
        <is>
          <t>Emotions and self-awareness</t>
        </is>
      </c>
      <c r="C48" s="5" t="inlineStr">
        <is>
          <t>Reappraisal</t>
        </is>
      </c>
      <c r="D48" s="5" t="inlineStr">
        <is>
          <t>Can the same setback have two meanings?</t>
        </is>
      </c>
      <c r="E48" s="5" t="inlineStr">
        <is>
          <t>Compare a fixed negative interpretation with another plausible one.</t>
        </is>
      </c>
      <c r="F48" s="5" t="inlineStr">
        <is>
          <t>Missed bus scenario</t>
        </is>
      </c>
      <c r="G48" s="5" t="n">
        <v>45</v>
      </c>
      <c r="H48" s="5" t="inlineStr">
        <is>
          <t>Idea</t>
        </is>
      </c>
      <c r="I48" s="10" t="n">
        <v>15</v>
      </c>
      <c r="J48" s="10" t="inlineStr">
        <is>
          <t>Strong</t>
        </is>
      </c>
      <c r="K48" s="10" t="n"/>
      <c r="L48" s="11" t="n"/>
      <c r="M48" s="5">
        <f>IF(L48="","",TEXT(L48,"ddd"))</f>
        <v/>
      </c>
      <c r="N48" s="10" t="n"/>
      <c r="O48" s="10" t="n"/>
      <c r="P48" s="10" t="n"/>
      <c r="Q48" s="10" t="n"/>
      <c r="R48" s="10" t="n"/>
      <c r="S48" s="12" t="n"/>
      <c r="T48" s="10" t="n"/>
      <c r="U48" s="13">
        <f>IF(OR(T48="",N(O48)=0),"",T48/O48)</f>
        <v/>
      </c>
      <c r="V48" s="10" t="n"/>
      <c r="W48" s="10" t="n"/>
      <c r="X48" s="10" t="n"/>
      <c r="Y48" s="12" t="n"/>
      <c r="Z48" s="10" t="n"/>
      <c r="AA48" s="12" t="n"/>
      <c r="AB48" s="10" t="n"/>
      <c r="AC48" s="14">
        <f>IF(COUNT(S48,Y48,AA48)=0,"",SUM(S48,Y48,AA48))</f>
        <v/>
      </c>
      <c r="AD48" s="13">
        <f>IF(N(AC48)=0,"",SUM(V48,W48,X48,Z48,AB48)/AC48)</f>
        <v/>
      </c>
      <c r="AE48" s="12" t="n"/>
      <c r="AF48" s="12" t="n"/>
      <c r="AG48" s="12" t="n"/>
      <c r="AH48" s="14">
        <f>IF(COUNT(AE48,AF48,AG48)=0,"",SUM(AE48,AF48,AG48))</f>
        <v/>
      </c>
      <c r="AI48" s="12" t="n"/>
      <c r="AJ48" s="12" t="n"/>
      <c r="AK48" s="12" t="n"/>
      <c r="AL48" s="14">
        <f>IF(COUNT(AI48,AJ48,AK48)=0,"",SUM(AI48,AJ48,AK48))</f>
        <v/>
      </c>
      <c r="AM48" s="5">
        <f>IF(N(AC48)=0,"",IF(COUNT($AC$6:$AC$105)&lt;5,"Too early",IF(AC48&gt;=1.5*MEDIAN($AC$6:$AC$105),"Top",IF(AC48&lt;=0.5*MEDIAN($AC$6:$AC$105),"Low","Average"))))</f>
        <v/>
      </c>
      <c r="AN48" s="10" t="n"/>
    </row>
    <row r="49" ht="60" customHeight="1">
      <c r="A49" s="5" t="n">
        <v>44</v>
      </c>
      <c r="B49" s="5" t="inlineStr">
        <is>
          <t>Emotions and self-awareness</t>
        </is>
      </c>
      <c r="C49" s="5" t="inlineStr">
        <is>
          <t>Mixed emotions</t>
        </is>
      </c>
      <c r="D49" s="5" t="inlineStr">
        <is>
          <t>Can you feel excited and sad at the same time?</t>
        </is>
      </c>
      <c r="E49" s="5" t="inlineStr">
        <is>
          <t>Use graduation or moving away to show emotional coexistence.</t>
        </is>
      </c>
      <c r="F49" s="5" t="inlineStr">
        <is>
          <t>Packing boxes and graduation cap</t>
        </is>
      </c>
      <c r="G49" s="5" t="n">
        <v>45</v>
      </c>
      <c r="H49" s="5" t="inlineStr">
        <is>
          <t>Idea</t>
        </is>
      </c>
      <c r="I49" s="10" t="n">
        <v>81</v>
      </c>
      <c r="J49" s="10" t="inlineStr">
        <is>
          <t>Weak</t>
        </is>
      </c>
      <c r="K49" s="10" t="n"/>
      <c r="L49" s="11" t="n"/>
      <c r="M49" s="5">
        <f>IF(L49="","",TEXT(L49,"ddd"))</f>
        <v/>
      </c>
      <c r="N49" s="10" t="n"/>
      <c r="O49" s="10" t="n"/>
      <c r="P49" s="10" t="n"/>
      <c r="Q49" s="10" t="n"/>
      <c r="R49" s="10" t="n"/>
      <c r="S49" s="12" t="n"/>
      <c r="T49" s="10" t="n"/>
      <c r="U49" s="13">
        <f>IF(OR(T49="",N(O49)=0),"",T49/O49)</f>
        <v/>
      </c>
      <c r="V49" s="10" t="n"/>
      <c r="W49" s="10" t="n"/>
      <c r="X49" s="10" t="n"/>
      <c r="Y49" s="12" t="n"/>
      <c r="Z49" s="10" t="n"/>
      <c r="AA49" s="12" t="n"/>
      <c r="AB49" s="10" t="n"/>
      <c r="AC49" s="14">
        <f>IF(COUNT(S49,Y49,AA49)=0,"",SUM(S49,Y49,AA49))</f>
        <v/>
      </c>
      <c r="AD49" s="13">
        <f>IF(N(AC49)=0,"",SUM(V49,W49,X49,Z49,AB49)/AC49)</f>
        <v/>
      </c>
      <c r="AE49" s="12" t="n"/>
      <c r="AF49" s="12" t="n"/>
      <c r="AG49" s="12" t="n"/>
      <c r="AH49" s="14">
        <f>IF(COUNT(AE49,AF49,AG49)=0,"",SUM(AE49,AF49,AG49))</f>
        <v/>
      </c>
      <c r="AI49" s="12" t="n"/>
      <c r="AJ49" s="12" t="n"/>
      <c r="AK49" s="12" t="n"/>
      <c r="AL49" s="14">
        <f>IF(COUNT(AI49,AJ49,AK49)=0,"",SUM(AI49,AJ49,AK49))</f>
        <v/>
      </c>
      <c r="AM49" s="5">
        <f>IF(N(AC49)=0,"",IF(COUNT($AC$6:$AC$105)&lt;5,"Too early",IF(AC49&gt;=1.5*MEDIAN($AC$6:$AC$105),"Top",IF(AC49&lt;=0.5*MEDIAN($AC$6:$AC$105),"Low","Average"))))</f>
        <v/>
      </c>
      <c r="AN49" s="10" t="n"/>
    </row>
    <row r="50" ht="60" customHeight="1">
      <c r="A50" s="5" t="n">
        <v>45</v>
      </c>
      <c r="B50" s="5" t="inlineStr">
        <is>
          <t>Emotions and self-awareness</t>
        </is>
      </c>
      <c r="C50" s="5" t="inlineStr">
        <is>
          <t>Rumination versus reflection</t>
        </is>
      </c>
      <c r="D50" s="5" t="inlineStr">
        <is>
          <t>Are you solving the problem or replaying it?</t>
        </is>
      </c>
      <c r="E50" s="5" t="inlineStr">
        <is>
          <t>Compare repetitive questions with a concrete next step.</t>
        </is>
      </c>
      <c r="F50" s="5" t="inlineStr">
        <is>
          <t>Loop animation versus action note</t>
        </is>
      </c>
      <c r="G50" s="5" t="n">
        <v>45</v>
      </c>
      <c r="H50" s="5" t="inlineStr">
        <is>
          <t>Idea</t>
        </is>
      </c>
      <c r="I50" s="10" t="n">
        <v>86</v>
      </c>
      <c r="J50" s="10" t="inlineStr">
        <is>
          <t>Weak</t>
        </is>
      </c>
      <c r="K50" s="10" t="n"/>
      <c r="L50" s="11" t="n"/>
      <c r="M50" s="5">
        <f>IF(L50="","",TEXT(L50,"ddd"))</f>
        <v/>
      </c>
      <c r="N50" s="10" t="n"/>
      <c r="O50" s="10" t="n"/>
      <c r="P50" s="10" t="n"/>
      <c r="Q50" s="10" t="n"/>
      <c r="R50" s="10" t="n"/>
      <c r="S50" s="12" t="n"/>
      <c r="T50" s="10" t="n"/>
      <c r="U50" s="13">
        <f>IF(OR(T50="",N(O50)=0),"",T50/O50)</f>
        <v/>
      </c>
      <c r="V50" s="10" t="n"/>
      <c r="W50" s="10" t="n"/>
      <c r="X50" s="10" t="n"/>
      <c r="Y50" s="12" t="n"/>
      <c r="Z50" s="10" t="n"/>
      <c r="AA50" s="12" t="n"/>
      <c r="AB50" s="10" t="n"/>
      <c r="AC50" s="14">
        <f>IF(COUNT(S50,Y50,AA50)=0,"",SUM(S50,Y50,AA50))</f>
        <v/>
      </c>
      <c r="AD50" s="13">
        <f>IF(N(AC50)=0,"",SUM(V50,W50,X50,Z50,AB50)/AC50)</f>
        <v/>
      </c>
      <c r="AE50" s="12" t="n"/>
      <c r="AF50" s="12" t="n"/>
      <c r="AG50" s="12" t="n"/>
      <c r="AH50" s="14">
        <f>IF(COUNT(AE50,AF50,AG50)=0,"",SUM(AE50,AF50,AG50))</f>
        <v/>
      </c>
      <c r="AI50" s="12" t="n"/>
      <c r="AJ50" s="12" t="n"/>
      <c r="AK50" s="12" t="n"/>
      <c r="AL50" s="14">
        <f>IF(COUNT(AI50,AJ50,AK50)=0,"",SUM(AI50,AJ50,AK50))</f>
        <v/>
      </c>
      <c r="AM50" s="5">
        <f>IF(N(AC50)=0,"",IF(COUNT($AC$6:$AC$105)&lt;5,"Too early",IF(AC50&gt;=1.5*MEDIAN($AC$6:$AC$105),"Top",IF(AC50&lt;=0.5*MEDIAN($AC$6:$AC$105),"Low","Average"))))</f>
        <v/>
      </c>
      <c r="AN50" s="10" t="n"/>
    </row>
    <row r="51" ht="60" customHeight="1">
      <c r="A51" s="5" t="n">
        <v>46</v>
      </c>
      <c r="B51" s="5" t="inlineStr">
        <is>
          <t>Emotions and self-awareness</t>
        </is>
      </c>
      <c r="C51" s="5" t="inlineStr">
        <is>
          <t>Emotional granularity</t>
        </is>
      </c>
      <c r="D51" s="5" t="inlineStr">
        <is>
          <t>What does 'I feel bad' leave out?</t>
        </is>
      </c>
      <c r="E51" s="5" t="inlineStr">
        <is>
          <t>Offer several specific emotion words for one scenario.</t>
        </is>
      </c>
      <c r="F51" s="5" t="inlineStr">
        <is>
          <t>Emotion wheel illustration</t>
        </is>
      </c>
      <c r="G51" s="5" t="n">
        <v>45</v>
      </c>
      <c r="H51" s="5" t="inlineStr">
        <is>
          <t>Idea</t>
        </is>
      </c>
      <c r="I51" s="10" t="n">
        <v>90</v>
      </c>
      <c r="J51" s="10" t="inlineStr">
        <is>
          <t>Weak</t>
        </is>
      </c>
      <c r="K51" s="10" t="n"/>
      <c r="L51" s="11" t="n"/>
      <c r="M51" s="5">
        <f>IF(L51="","",TEXT(L51,"ddd"))</f>
        <v/>
      </c>
      <c r="N51" s="10" t="n"/>
      <c r="O51" s="10" t="n"/>
      <c r="P51" s="10" t="n"/>
      <c r="Q51" s="10" t="n"/>
      <c r="R51" s="10" t="n"/>
      <c r="S51" s="12" t="n"/>
      <c r="T51" s="10" t="n"/>
      <c r="U51" s="13">
        <f>IF(OR(T51="",N(O51)=0),"",T51/O51)</f>
        <v/>
      </c>
      <c r="V51" s="10" t="n"/>
      <c r="W51" s="10" t="n"/>
      <c r="X51" s="10" t="n"/>
      <c r="Y51" s="12" t="n"/>
      <c r="Z51" s="10" t="n"/>
      <c r="AA51" s="12" t="n"/>
      <c r="AB51" s="10" t="n"/>
      <c r="AC51" s="14">
        <f>IF(COUNT(S51,Y51,AA51)=0,"",SUM(S51,Y51,AA51))</f>
        <v/>
      </c>
      <c r="AD51" s="13">
        <f>IF(N(AC51)=0,"",SUM(V51,W51,X51,Z51,AB51)/AC51)</f>
        <v/>
      </c>
      <c r="AE51" s="12" t="n"/>
      <c r="AF51" s="12" t="n"/>
      <c r="AG51" s="12" t="n"/>
      <c r="AH51" s="14">
        <f>IF(COUNT(AE51,AF51,AG51)=0,"",SUM(AE51,AF51,AG51))</f>
        <v/>
      </c>
      <c r="AI51" s="12" t="n"/>
      <c r="AJ51" s="12" t="n"/>
      <c r="AK51" s="12" t="n"/>
      <c r="AL51" s="14">
        <f>IF(COUNT(AI51,AJ51,AK51)=0,"",SUM(AI51,AJ51,AK51))</f>
        <v/>
      </c>
      <c r="AM51" s="5">
        <f>IF(N(AC51)=0,"",IF(COUNT($AC$6:$AC$105)&lt;5,"Too early",IF(AC51&gt;=1.5*MEDIAN($AC$6:$AC$105),"Top",IF(AC51&lt;=0.5*MEDIAN($AC$6:$AC$105),"Low","Average"))))</f>
        <v/>
      </c>
      <c r="AN51" s="10" t="n"/>
    </row>
    <row r="52" ht="60" customHeight="1">
      <c r="A52" s="5" t="n">
        <v>47</v>
      </c>
      <c r="B52" s="5" t="inlineStr">
        <is>
          <t>Emotions and self-awareness</t>
        </is>
      </c>
      <c r="C52" s="5" t="inlineStr">
        <is>
          <t>Suppression versus expression</t>
        </is>
      </c>
      <c r="D52" s="5" t="inlineStr">
        <is>
          <t>What happens when someone hides every reaction?</t>
        </is>
      </c>
      <c r="E52" s="5" t="inlineStr">
        <is>
          <t>Explore context-dependent tradeoffs without declaring one approach best.</t>
        </is>
      </c>
      <c r="F52" s="5" t="inlineStr">
        <is>
          <t>Neutral face and thought bubbles</t>
        </is>
      </c>
      <c r="G52" s="5" t="n">
        <v>45</v>
      </c>
      <c r="H52" s="5" t="inlineStr">
        <is>
          <t>Idea</t>
        </is>
      </c>
      <c r="I52" s="10" t="n">
        <v>25</v>
      </c>
      <c r="J52" s="10" t="inlineStr">
        <is>
          <t>Strong</t>
        </is>
      </c>
      <c r="K52" s="10" t="n"/>
      <c r="L52" s="11" t="n"/>
      <c r="M52" s="5">
        <f>IF(L52="","",TEXT(L52,"ddd"))</f>
        <v/>
      </c>
      <c r="N52" s="10" t="n"/>
      <c r="O52" s="10" t="n"/>
      <c r="P52" s="10" t="n"/>
      <c r="Q52" s="10" t="n"/>
      <c r="R52" s="10" t="n"/>
      <c r="S52" s="12" t="n"/>
      <c r="T52" s="10" t="n"/>
      <c r="U52" s="13">
        <f>IF(OR(T52="",N(O52)=0),"",T52/O52)</f>
        <v/>
      </c>
      <c r="V52" s="10" t="n"/>
      <c r="W52" s="10" t="n"/>
      <c r="X52" s="10" t="n"/>
      <c r="Y52" s="12" t="n"/>
      <c r="Z52" s="10" t="n"/>
      <c r="AA52" s="12" t="n"/>
      <c r="AB52" s="10" t="n"/>
      <c r="AC52" s="14">
        <f>IF(COUNT(S52,Y52,AA52)=0,"",SUM(S52,Y52,AA52))</f>
        <v/>
      </c>
      <c r="AD52" s="13">
        <f>IF(N(AC52)=0,"",SUM(V52,W52,X52,Z52,AB52)/AC52)</f>
        <v/>
      </c>
      <c r="AE52" s="12" t="n"/>
      <c r="AF52" s="12" t="n"/>
      <c r="AG52" s="12" t="n"/>
      <c r="AH52" s="14">
        <f>IF(COUNT(AE52,AF52,AG52)=0,"",SUM(AE52,AF52,AG52))</f>
        <v/>
      </c>
      <c r="AI52" s="12" t="n"/>
      <c r="AJ52" s="12" t="n"/>
      <c r="AK52" s="12" t="n"/>
      <c r="AL52" s="14">
        <f>IF(COUNT(AI52,AJ52,AK52)=0,"",SUM(AI52,AJ52,AK52))</f>
        <v/>
      </c>
      <c r="AM52" s="5">
        <f>IF(N(AC52)=0,"",IF(COUNT($AC$6:$AC$105)&lt;5,"Too early",IF(AC52&gt;=1.5*MEDIAN($AC$6:$AC$105),"Top",IF(AC52&lt;=0.5*MEDIAN($AC$6:$AC$105),"Low","Average"))))</f>
        <v/>
      </c>
      <c r="AN52" s="10" t="n"/>
    </row>
    <row r="53" ht="60" customHeight="1">
      <c r="A53" s="5" t="n">
        <v>48</v>
      </c>
      <c r="B53" s="5" t="inlineStr">
        <is>
          <t>Emotions and self-awareness</t>
        </is>
      </c>
      <c r="C53" s="5" t="inlineStr">
        <is>
          <t>Self-compassion after mistakes</t>
        </is>
      </c>
      <c r="D53" s="5" t="inlineStr">
        <is>
          <t>What would you say if your friend made this mistake?</t>
        </is>
      </c>
      <c r="E53" s="5" t="inlineStr">
        <is>
          <t>Compare harsh self-talk with a fair, constructive response.</t>
        </is>
      </c>
      <c r="F53" s="5" t="inlineStr">
        <is>
          <t>Two inner-dialogue captions</t>
        </is>
      </c>
      <c r="G53" s="5" t="n">
        <v>45</v>
      </c>
      <c r="H53" s="5" t="inlineStr">
        <is>
          <t>Idea</t>
        </is>
      </c>
      <c r="I53" s="10" t="n">
        <v>93</v>
      </c>
      <c r="J53" s="10" t="inlineStr">
        <is>
          <t>Weak</t>
        </is>
      </c>
      <c r="K53" s="10" t="n"/>
      <c r="L53" s="11" t="n"/>
      <c r="M53" s="5">
        <f>IF(L53="","",TEXT(L53,"ddd"))</f>
        <v/>
      </c>
      <c r="N53" s="10" t="n"/>
      <c r="O53" s="10" t="n"/>
      <c r="P53" s="10" t="n"/>
      <c r="Q53" s="10" t="n"/>
      <c r="R53" s="10" t="n"/>
      <c r="S53" s="12" t="n"/>
      <c r="T53" s="10" t="n"/>
      <c r="U53" s="13">
        <f>IF(OR(T53="",N(O53)=0),"",T53/O53)</f>
        <v/>
      </c>
      <c r="V53" s="10" t="n"/>
      <c r="W53" s="10" t="n"/>
      <c r="X53" s="10" t="n"/>
      <c r="Y53" s="12" t="n"/>
      <c r="Z53" s="10" t="n"/>
      <c r="AA53" s="12" t="n"/>
      <c r="AB53" s="10" t="n"/>
      <c r="AC53" s="14">
        <f>IF(COUNT(S53,Y53,AA53)=0,"",SUM(S53,Y53,AA53))</f>
        <v/>
      </c>
      <c r="AD53" s="13">
        <f>IF(N(AC53)=0,"",SUM(V53,W53,X53,Z53,AB53)/AC53)</f>
        <v/>
      </c>
      <c r="AE53" s="12" t="n"/>
      <c r="AF53" s="12" t="n"/>
      <c r="AG53" s="12" t="n"/>
      <c r="AH53" s="14">
        <f>IF(COUNT(AE53,AF53,AG53)=0,"",SUM(AE53,AF53,AG53))</f>
        <v/>
      </c>
      <c r="AI53" s="12" t="n"/>
      <c r="AJ53" s="12" t="n"/>
      <c r="AK53" s="12" t="n"/>
      <c r="AL53" s="14">
        <f>IF(COUNT(AI53,AJ53,AK53)=0,"",SUM(AI53,AJ53,AK53))</f>
        <v/>
      </c>
      <c r="AM53" s="5">
        <f>IF(N(AC53)=0,"",IF(COUNT($AC$6:$AC$105)&lt;5,"Too early",IF(AC53&gt;=1.5*MEDIAN($AC$6:$AC$105),"Top",IF(AC53&lt;=0.5*MEDIAN($AC$6:$AC$105),"Low","Average"))))</f>
        <v/>
      </c>
      <c r="AN53" s="10" t="n"/>
    </row>
    <row r="54" ht="60" customHeight="1">
      <c r="A54" s="5" t="n">
        <v>49</v>
      </c>
      <c r="B54" s="5" t="inlineStr">
        <is>
          <t>Emotions and self-awareness</t>
        </is>
      </c>
      <c r="C54" s="5" t="inlineStr">
        <is>
          <t>Anticipation and enjoyment</t>
        </is>
      </c>
      <c r="D54" s="5" t="inlineStr">
        <is>
          <t>Can looking forward to something be part of the pleasure?</t>
        </is>
      </c>
      <c r="E54" s="5" t="inlineStr">
        <is>
          <t>Show planning a simple enjoyable event and noticing anticipation.</t>
        </is>
      </c>
      <c r="F54" s="5" t="inlineStr">
        <is>
          <t>Weekend calendar</t>
        </is>
      </c>
      <c r="G54" s="5" t="n">
        <v>45</v>
      </c>
      <c r="H54" s="5" t="inlineStr">
        <is>
          <t>Idea</t>
        </is>
      </c>
      <c r="I54" s="10" t="n">
        <v>96</v>
      </c>
      <c r="J54" s="10" t="inlineStr">
        <is>
          <t>Weak</t>
        </is>
      </c>
      <c r="K54" s="10" t="n"/>
      <c r="L54" s="11" t="n"/>
      <c r="M54" s="5">
        <f>IF(L54="","",TEXT(L54,"ddd"))</f>
        <v/>
      </c>
      <c r="N54" s="10" t="n"/>
      <c r="O54" s="10" t="n"/>
      <c r="P54" s="10" t="n"/>
      <c r="Q54" s="10" t="n"/>
      <c r="R54" s="10" t="n"/>
      <c r="S54" s="12" t="n"/>
      <c r="T54" s="10" t="n"/>
      <c r="U54" s="13">
        <f>IF(OR(T54="",N(O54)=0),"",T54/O54)</f>
        <v/>
      </c>
      <c r="V54" s="10" t="n"/>
      <c r="W54" s="10" t="n"/>
      <c r="X54" s="10" t="n"/>
      <c r="Y54" s="12" t="n"/>
      <c r="Z54" s="10" t="n"/>
      <c r="AA54" s="12" t="n"/>
      <c r="AB54" s="10" t="n"/>
      <c r="AC54" s="14">
        <f>IF(COUNT(S54,Y54,AA54)=0,"",SUM(S54,Y54,AA54))</f>
        <v/>
      </c>
      <c r="AD54" s="13">
        <f>IF(N(AC54)=0,"",SUM(V54,W54,X54,Z54,AB54)/AC54)</f>
        <v/>
      </c>
      <c r="AE54" s="12" t="n"/>
      <c r="AF54" s="12" t="n"/>
      <c r="AG54" s="12" t="n"/>
      <c r="AH54" s="14">
        <f>IF(COUNT(AE54,AF54,AG54)=0,"",SUM(AE54,AF54,AG54))</f>
        <v/>
      </c>
      <c r="AI54" s="12" t="n"/>
      <c r="AJ54" s="12" t="n"/>
      <c r="AK54" s="12" t="n"/>
      <c r="AL54" s="14">
        <f>IF(COUNT(AI54,AJ54,AK54)=0,"",SUM(AI54,AJ54,AK54))</f>
        <v/>
      </c>
      <c r="AM54" s="5">
        <f>IF(N(AC54)=0,"",IF(COUNT($AC$6:$AC$105)&lt;5,"Too early",IF(AC54&gt;=1.5*MEDIAN($AC$6:$AC$105),"Top",IF(AC54&lt;=0.5*MEDIAN($AC$6:$AC$105),"Low","Average"))))</f>
        <v/>
      </c>
      <c r="AN54" s="10" t="n"/>
    </row>
    <row r="55" ht="60" customHeight="1">
      <c r="A55" s="5" t="n">
        <v>50</v>
      </c>
      <c r="B55" s="5" t="inlineStr">
        <is>
          <t>Emotions and self-awareness</t>
        </is>
      </c>
      <c r="C55" s="5" t="inlineStr">
        <is>
          <t>Emotions as information</t>
        </is>
      </c>
      <c r="D55" s="5" t="inlineStr">
        <is>
          <t>What might this emotion be drawing your attention to?</t>
        </is>
      </c>
      <c r="E55" s="5" t="inlineStr">
        <is>
          <t>Explore a feeling as a clue to needs rather than a command.</t>
        </is>
      </c>
      <c r="F55" s="5" t="inlineStr">
        <is>
          <t>Emotion-to-question cards</t>
        </is>
      </c>
      <c r="G55" s="5" t="n">
        <v>45</v>
      </c>
      <c r="H55" s="5" t="inlineStr">
        <is>
          <t>Idea</t>
        </is>
      </c>
      <c r="I55" s="10" t="n">
        <v>98</v>
      </c>
      <c r="J55" s="10" t="inlineStr">
        <is>
          <t>Weak</t>
        </is>
      </c>
      <c r="K55" s="10" t="n"/>
      <c r="L55" s="11" t="n"/>
      <c r="M55" s="5">
        <f>IF(L55="","",TEXT(L55,"ddd"))</f>
        <v/>
      </c>
      <c r="N55" s="10" t="n"/>
      <c r="O55" s="10" t="n"/>
      <c r="P55" s="10" t="n"/>
      <c r="Q55" s="10" t="n"/>
      <c r="R55" s="10" t="n"/>
      <c r="S55" s="12" t="n"/>
      <c r="T55" s="10" t="n"/>
      <c r="U55" s="13">
        <f>IF(OR(T55="",N(O55)=0),"",T55/O55)</f>
        <v/>
      </c>
      <c r="V55" s="10" t="n"/>
      <c r="W55" s="10" t="n"/>
      <c r="X55" s="10" t="n"/>
      <c r="Y55" s="12" t="n"/>
      <c r="Z55" s="10" t="n"/>
      <c r="AA55" s="12" t="n"/>
      <c r="AB55" s="10" t="n"/>
      <c r="AC55" s="14">
        <f>IF(COUNT(S55,Y55,AA55)=0,"",SUM(S55,Y55,AA55))</f>
        <v/>
      </c>
      <c r="AD55" s="13">
        <f>IF(N(AC55)=0,"",SUM(V55,W55,X55,Z55,AB55)/AC55)</f>
        <v/>
      </c>
      <c r="AE55" s="12" t="n"/>
      <c r="AF55" s="12" t="n"/>
      <c r="AG55" s="12" t="n"/>
      <c r="AH55" s="14">
        <f>IF(COUNT(AE55,AF55,AG55)=0,"",SUM(AE55,AF55,AG55))</f>
        <v/>
      </c>
      <c r="AI55" s="12" t="n"/>
      <c r="AJ55" s="12" t="n"/>
      <c r="AK55" s="12" t="n"/>
      <c r="AL55" s="14">
        <f>IF(COUNT(AI55,AJ55,AK55)=0,"",SUM(AI55,AJ55,AK55))</f>
        <v/>
      </c>
      <c r="AM55" s="5">
        <f>IF(N(AC55)=0,"",IF(COUNT($AC$6:$AC$105)&lt;5,"Too early",IF(AC55&gt;=1.5*MEDIAN($AC$6:$AC$105),"Top",IF(AC55&lt;=0.5*MEDIAN($AC$6:$AC$105),"Low","Average"))))</f>
        <v/>
      </c>
      <c r="AN55" s="10" t="n"/>
    </row>
    <row r="56" ht="60" customHeight="1">
      <c r="A56" s="5" t="n">
        <v>51</v>
      </c>
      <c r="B56" s="5" t="inlineStr">
        <is>
          <t>Relationships and communication</t>
        </is>
      </c>
      <c r="C56" s="5" t="inlineStr">
        <is>
          <t>Active listening</t>
        </is>
      </c>
      <c r="D56" s="5" t="inlineStr">
        <is>
          <t>Can you repeat their point before replying?</t>
        </is>
      </c>
      <c r="E56" s="5" t="inlineStr">
        <is>
          <t>Demonstrate paraphrasing and checking understanding.</t>
        </is>
      </c>
      <c r="F56" s="5" t="inlineStr">
        <is>
          <t>Two-person conversation</t>
        </is>
      </c>
      <c r="G56" s="5" t="n">
        <v>45</v>
      </c>
      <c r="H56" s="5" t="inlineStr">
        <is>
          <t>Idea</t>
        </is>
      </c>
      <c r="I56" s="10" t="n">
        <v>75</v>
      </c>
      <c r="J56" s="10" t="inlineStr">
        <is>
          <t>Weak</t>
        </is>
      </c>
      <c r="K56" s="10" t="n"/>
      <c r="L56" s="11" t="n"/>
      <c r="M56" s="5">
        <f>IF(L56="","",TEXT(L56,"ddd"))</f>
        <v/>
      </c>
      <c r="N56" s="10" t="n"/>
      <c r="O56" s="10" t="n"/>
      <c r="P56" s="10" t="n"/>
      <c r="Q56" s="10" t="n"/>
      <c r="R56" s="10" t="n"/>
      <c r="S56" s="12" t="n"/>
      <c r="T56" s="10" t="n"/>
      <c r="U56" s="13">
        <f>IF(OR(T56="",N(O56)=0),"",T56/O56)</f>
        <v/>
      </c>
      <c r="V56" s="10" t="n"/>
      <c r="W56" s="10" t="n"/>
      <c r="X56" s="10" t="n"/>
      <c r="Y56" s="12" t="n"/>
      <c r="Z56" s="10" t="n"/>
      <c r="AA56" s="12" t="n"/>
      <c r="AB56" s="10" t="n"/>
      <c r="AC56" s="14">
        <f>IF(COUNT(S56,Y56,AA56)=0,"",SUM(S56,Y56,AA56))</f>
        <v/>
      </c>
      <c r="AD56" s="13">
        <f>IF(N(AC56)=0,"",SUM(V56,W56,X56,Z56,AB56)/AC56)</f>
        <v/>
      </c>
      <c r="AE56" s="12" t="n"/>
      <c r="AF56" s="12" t="n"/>
      <c r="AG56" s="12" t="n"/>
      <c r="AH56" s="14">
        <f>IF(COUNT(AE56,AF56,AG56)=0,"",SUM(AE56,AF56,AG56))</f>
        <v/>
      </c>
      <c r="AI56" s="12" t="n"/>
      <c r="AJ56" s="12" t="n"/>
      <c r="AK56" s="12" t="n"/>
      <c r="AL56" s="14">
        <f>IF(COUNT(AI56,AJ56,AK56)=0,"",SUM(AI56,AJ56,AK56))</f>
        <v/>
      </c>
      <c r="AM56" s="5">
        <f>IF(N(AC56)=0,"",IF(COUNT($AC$6:$AC$105)&lt;5,"Too early",IF(AC56&gt;=1.5*MEDIAN($AC$6:$AC$105),"Top",IF(AC56&lt;=0.5*MEDIAN($AC$6:$AC$105),"Low","Average"))))</f>
        <v/>
      </c>
      <c r="AN56" s="10" t="n"/>
    </row>
    <row r="57" ht="60" customHeight="1">
      <c r="A57" s="5" t="n">
        <v>52</v>
      </c>
      <c r="B57" s="5" t="inlineStr">
        <is>
          <t>Relationships and communication</t>
        </is>
      </c>
      <c r="C57" s="5" t="inlineStr">
        <is>
          <t>Validation without agreement</t>
        </is>
      </c>
      <c r="D57" s="5" t="inlineStr">
        <is>
          <t>Can you understand a feeling while disagreeing with a claim?</t>
        </is>
      </c>
      <c r="E57" s="5" t="inlineStr">
        <is>
          <t>Show a respectful response to a frustrated friend.</t>
        </is>
      </c>
      <c r="F57" s="5" t="inlineStr">
        <is>
          <t>Dialogue caption comparison</t>
        </is>
      </c>
      <c r="G57" s="5" t="n">
        <v>45</v>
      </c>
      <c r="H57" s="5" t="inlineStr">
        <is>
          <t>Idea</t>
        </is>
      </c>
      <c r="I57" s="10" t="n">
        <v>82</v>
      </c>
      <c r="J57" s="10" t="inlineStr">
        <is>
          <t>Weak</t>
        </is>
      </c>
      <c r="K57" s="10" t="n"/>
      <c r="L57" s="11" t="n"/>
      <c r="M57" s="5">
        <f>IF(L57="","",TEXT(L57,"ddd"))</f>
        <v/>
      </c>
      <c r="N57" s="10" t="n"/>
      <c r="O57" s="10" t="n"/>
      <c r="P57" s="10" t="n"/>
      <c r="Q57" s="10" t="n"/>
      <c r="R57" s="10" t="n"/>
      <c r="S57" s="12" t="n"/>
      <c r="T57" s="10" t="n"/>
      <c r="U57" s="13">
        <f>IF(OR(T57="",N(O57)=0),"",T57/O57)</f>
        <v/>
      </c>
      <c r="V57" s="10" t="n"/>
      <c r="W57" s="10" t="n"/>
      <c r="X57" s="10" t="n"/>
      <c r="Y57" s="12" t="n"/>
      <c r="Z57" s="10" t="n"/>
      <c r="AA57" s="12" t="n"/>
      <c r="AB57" s="10" t="n"/>
      <c r="AC57" s="14">
        <f>IF(COUNT(S57,Y57,AA57)=0,"",SUM(S57,Y57,AA57))</f>
        <v/>
      </c>
      <c r="AD57" s="13">
        <f>IF(N(AC57)=0,"",SUM(V57,W57,X57,Z57,AB57)/AC57)</f>
        <v/>
      </c>
      <c r="AE57" s="12" t="n"/>
      <c r="AF57" s="12" t="n"/>
      <c r="AG57" s="12" t="n"/>
      <c r="AH57" s="14">
        <f>IF(COUNT(AE57,AF57,AG57)=0,"",SUM(AE57,AF57,AG57))</f>
        <v/>
      </c>
      <c r="AI57" s="12" t="n"/>
      <c r="AJ57" s="12" t="n"/>
      <c r="AK57" s="12" t="n"/>
      <c r="AL57" s="14">
        <f>IF(COUNT(AI57,AJ57,AK57)=0,"",SUM(AI57,AJ57,AK57))</f>
        <v/>
      </c>
      <c r="AM57" s="5">
        <f>IF(N(AC57)=0,"",IF(COUNT($AC$6:$AC$105)&lt;5,"Too early",IF(AC57&gt;=1.5*MEDIAN($AC$6:$AC$105),"Top",IF(AC57&lt;=0.5*MEDIAN($AC$6:$AC$105),"Low","Average"))))</f>
        <v/>
      </c>
      <c r="AN57" s="10" t="n"/>
    </row>
    <row r="58" ht="60" customHeight="1">
      <c r="A58" s="5" t="n">
        <v>53</v>
      </c>
      <c r="B58" s="5" t="inlineStr">
        <is>
          <t>Relationships and communication</t>
        </is>
      </c>
      <c r="C58" s="5" t="inlineStr">
        <is>
          <t>Mind-reading assumptions</t>
        </is>
      </c>
      <c r="D58" s="5" t="inlineStr">
        <is>
          <t>How do you know what that short reply meant?</t>
        </is>
      </c>
      <c r="E58" s="5" t="inlineStr">
        <is>
          <t>Generate multiple explanations for an ambiguous message.</t>
        </is>
      </c>
      <c r="F58" s="5" t="inlineStr">
        <is>
          <t>Okay text bubble</t>
        </is>
      </c>
      <c r="G58" s="5" t="n">
        <v>45</v>
      </c>
      <c r="H58" s="5" t="inlineStr">
        <is>
          <t>Idea</t>
        </is>
      </c>
      <c r="I58" s="10" t="n">
        <v>87</v>
      </c>
      <c r="J58" s="10" t="inlineStr">
        <is>
          <t>Weak</t>
        </is>
      </c>
      <c r="K58" s="10" t="n"/>
      <c r="L58" s="11" t="n"/>
      <c r="M58" s="5">
        <f>IF(L58="","",TEXT(L58,"ddd"))</f>
        <v/>
      </c>
      <c r="N58" s="10" t="n"/>
      <c r="O58" s="10" t="n"/>
      <c r="P58" s="10" t="n"/>
      <c r="Q58" s="10" t="n"/>
      <c r="R58" s="10" t="n"/>
      <c r="S58" s="12" t="n"/>
      <c r="T58" s="10" t="n"/>
      <c r="U58" s="13">
        <f>IF(OR(T58="",N(O58)=0),"",T58/O58)</f>
        <v/>
      </c>
      <c r="V58" s="10" t="n"/>
      <c r="W58" s="10" t="n"/>
      <c r="X58" s="10" t="n"/>
      <c r="Y58" s="12" t="n"/>
      <c r="Z58" s="10" t="n"/>
      <c r="AA58" s="12" t="n"/>
      <c r="AB58" s="10" t="n"/>
      <c r="AC58" s="14">
        <f>IF(COUNT(S58,Y58,AA58)=0,"",SUM(S58,Y58,AA58))</f>
        <v/>
      </c>
      <c r="AD58" s="13">
        <f>IF(N(AC58)=0,"",SUM(V58,W58,X58,Z58,AB58)/AC58)</f>
        <v/>
      </c>
      <c r="AE58" s="12" t="n"/>
      <c r="AF58" s="12" t="n"/>
      <c r="AG58" s="12" t="n"/>
      <c r="AH58" s="14">
        <f>IF(COUNT(AE58,AF58,AG58)=0,"",SUM(AE58,AF58,AG58))</f>
        <v/>
      </c>
      <c r="AI58" s="12" t="n"/>
      <c r="AJ58" s="12" t="n"/>
      <c r="AK58" s="12" t="n"/>
      <c r="AL58" s="14">
        <f>IF(COUNT(AI58,AJ58,AK58)=0,"",SUM(AI58,AJ58,AK58))</f>
        <v/>
      </c>
      <c r="AM58" s="5">
        <f>IF(N(AC58)=0,"",IF(COUNT($AC$6:$AC$105)&lt;5,"Too early",IF(AC58&gt;=1.5*MEDIAN($AC$6:$AC$105),"Top",IF(AC58&lt;=0.5*MEDIAN($AC$6:$AC$105),"Low","Average"))))</f>
        <v/>
      </c>
      <c r="AN58" s="10" t="n"/>
    </row>
    <row r="59" ht="60" customHeight="1">
      <c r="A59" s="5" t="n">
        <v>54</v>
      </c>
      <c r="B59" s="5" t="inlineStr">
        <is>
          <t>Relationships and communication</t>
        </is>
      </c>
      <c r="C59" s="5" t="inlineStr">
        <is>
          <t>Clear requests</t>
        </is>
      </c>
      <c r="D59" s="5" t="inlineStr">
        <is>
          <t>Would they know what 'help more' actually means?</t>
        </is>
      </c>
      <c r="E59" s="5" t="inlineStr">
        <is>
          <t>Turn a vague complaint into a specific request.</t>
        </is>
      </c>
      <c r="F59" s="5" t="inlineStr">
        <is>
          <t>Kitchen cleanup scene</t>
        </is>
      </c>
      <c r="G59" s="5" t="n">
        <v>45</v>
      </c>
      <c r="H59" s="5" t="inlineStr">
        <is>
          <t>Idea</t>
        </is>
      </c>
      <c r="I59" s="10" t="n">
        <v>91</v>
      </c>
      <c r="J59" s="10" t="inlineStr">
        <is>
          <t>Weak</t>
        </is>
      </c>
      <c r="K59" s="10" t="n"/>
      <c r="L59" s="11" t="n"/>
      <c r="M59" s="5">
        <f>IF(L59="","",TEXT(L59,"ddd"))</f>
        <v/>
      </c>
      <c r="N59" s="10" t="n"/>
      <c r="O59" s="10" t="n"/>
      <c r="P59" s="10" t="n"/>
      <c r="Q59" s="10" t="n"/>
      <c r="R59" s="10" t="n"/>
      <c r="S59" s="12" t="n"/>
      <c r="T59" s="10" t="n"/>
      <c r="U59" s="13">
        <f>IF(OR(T59="",N(O59)=0),"",T59/O59)</f>
        <v/>
      </c>
      <c r="V59" s="10" t="n"/>
      <c r="W59" s="10" t="n"/>
      <c r="X59" s="10" t="n"/>
      <c r="Y59" s="12" t="n"/>
      <c r="Z59" s="10" t="n"/>
      <c r="AA59" s="12" t="n"/>
      <c r="AB59" s="10" t="n"/>
      <c r="AC59" s="14">
        <f>IF(COUNT(S59,Y59,AA59)=0,"",SUM(S59,Y59,AA59))</f>
        <v/>
      </c>
      <c r="AD59" s="13">
        <f>IF(N(AC59)=0,"",SUM(V59,W59,X59,Z59,AB59)/AC59)</f>
        <v/>
      </c>
      <c r="AE59" s="12" t="n"/>
      <c r="AF59" s="12" t="n"/>
      <c r="AG59" s="12" t="n"/>
      <c r="AH59" s="14">
        <f>IF(COUNT(AE59,AF59,AG59)=0,"",SUM(AE59,AF59,AG59))</f>
        <v/>
      </c>
      <c r="AI59" s="12" t="n"/>
      <c r="AJ59" s="12" t="n"/>
      <c r="AK59" s="12" t="n"/>
      <c r="AL59" s="14">
        <f>IF(COUNT(AI59,AJ59,AK59)=0,"",SUM(AI59,AJ59,AK59))</f>
        <v/>
      </c>
      <c r="AM59" s="5">
        <f>IF(N(AC59)=0,"",IF(COUNT($AC$6:$AC$105)&lt;5,"Too early",IF(AC59&gt;=1.5*MEDIAN($AC$6:$AC$105),"Top",IF(AC59&lt;=0.5*MEDIAN($AC$6:$AC$105),"Low","Average"))))</f>
        <v/>
      </c>
      <c r="AN59" s="10" t="n"/>
    </row>
    <row r="60" ht="60" customHeight="1">
      <c r="A60" s="5" t="n">
        <v>55</v>
      </c>
      <c r="B60" s="5" t="inlineStr">
        <is>
          <t>Relationships and communication</t>
        </is>
      </c>
      <c r="C60" s="5" t="inlineStr">
        <is>
          <t>Boundaries in plain language</t>
        </is>
      </c>
      <c r="D60" s="5" t="inlineStr">
        <is>
          <t>What does a clear boundary sound like?</t>
        </is>
      </c>
      <c r="E60" s="5" t="inlineStr">
        <is>
          <t>Use a calm limit paired with an action you control.</t>
        </is>
      </c>
      <c r="F60" s="5" t="inlineStr">
        <is>
          <t>Call timing example</t>
        </is>
      </c>
      <c r="G60" s="5" t="n">
        <v>45</v>
      </c>
      <c r="H60" s="5" t="inlineStr">
        <is>
          <t>Idea</t>
        </is>
      </c>
      <c r="I60" s="10" t="n">
        <v>94</v>
      </c>
      <c r="J60" s="10" t="inlineStr">
        <is>
          <t>Weak</t>
        </is>
      </c>
      <c r="K60" s="10" t="n"/>
      <c r="L60" s="11" t="n"/>
      <c r="M60" s="5">
        <f>IF(L60="","",TEXT(L60,"ddd"))</f>
        <v/>
      </c>
      <c r="N60" s="10" t="n"/>
      <c r="O60" s="10" t="n"/>
      <c r="P60" s="10" t="n"/>
      <c r="Q60" s="10" t="n"/>
      <c r="R60" s="10" t="n"/>
      <c r="S60" s="12" t="n"/>
      <c r="T60" s="10" t="n"/>
      <c r="U60" s="13">
        <f>IF(OR(T60="",N(O60)=0),"",T60/O60)</f>
        <v/>
      </c>
      <c r="V60" s="10" t="n"/>
      <c r="W60" s="10" t="n"/>
      <c r="X60" s="10" t="n"/>
      <c r="Y60" s="12" t="n"/>
      <c r="Z60" s="10" t="n"/>
      <c r="AA60" s="12" t="n"/>
      <c r="AB60" s="10" t="n"/>
      <c r="AC60" s="14">
        <f>IF(COUNT(S60,Y60,AA60)=0,"",SUM(S60,Y60,AA60))</f>
        <v/>
      </c>
      <c r="AD60" s="13">
        <f>IF(N(AC60)=0,"",SUM(V60,W60,X60,Z60,AB60)/AC60)</f>
        <v/>
      </c>
      <c r="AE60" s="12" t="n"/>
      <c r="AF60" s="12" t="n"/>
      <c r="AG60" s="12" t="n"/>
      <c r="AH60" s="14">
        <f>IF(COUNT(AE60,AF60,AG60)=0,"",SUM(AE60,AF60,AG60))</f>
        <v/>
      </c>
      <c r="AI60" s="12" t="n"/>
      <c r="AJ60" s="12" t="n"/>
      <c r="AK60" s="12" t="n"/>
      <c r="AL60" s="14">
        <f>IF(COUNT(AI60,AJ60,AK60)=0,"",SUM(AI60,AJ60,AK60))</f>
        <v/>
      </c>
      <c r="AM60" s="5">
        <f>IF(N(AC60)=0,"",IF(COUNT($AC$6:$AC$105)&lt;5,"Too early",IF(AC60&gt;=1.5*MEDIAN($AC$6:$AC$105),"Top",IF(AC60&lt;=0.5*MEDIAN($AC$6:$AC$105),"Low","Average"))))</f>
        <v/>
      </c>
      <c r="AN60" s="10" t="n"/>
    </row>
    <row r="61" ht="60" customHeight="1">
      <c r="A61" s="5" t="n">
        <v>56</v>
      </c>
      <c r="B61" s="5" t="inlineStr">
        <is>
          <t>Relationships and communication</t>
        </is>
      </c>
      <c r="C61" s="5" t="inlineStr">
        <is>
          <t>Repairing a misunderstanding</t>
        </is>
      </c>
      <c r="D61" s="5" t="inlineStr">
        <is>
          <t>What can you say after a conversation goes sideways?</t>
        </is>
      </c>
      <c r="E61" s="5" t="inlineStr">
        <is>
          <t>Model acknowledging impact, clarifying, and inviting a response.</t>
        </is>
      </c>
      <c r="F61" s="5" t="inlineStr">
        <is>
          <t>Conversation rewind</t>
        </is>
      </c>
      <c r="G61" s="5" t="n">
        <v>45</v>
      </c>
      <c r="H61" s="5" t="inlineStr">
        <is>
          <t>Idea</t>
        </is>
      </c>
      <c r="I61" s="10" t="n">
        <v>97</v>
      </c>
      <c r="J61" s="10" t="inlineStr">
        <is>
          <t>Weak</t>
        </is>
      </c>
      <c r="K61" s="10" t="n"/>
      <c r="L61" s="11" t="n"/>
      <c r="M61" s="5">
        <f>IF(L61="","",TEXT(L61,"ddd"))</f>
        <v/>
      </c>
      <c r="N61" s="10" t="n"/>
      <c r="O61" s="10" t="n"/>
      <c r="P61" s="10" t="n"/>
      <c r="Q61" s="10" t="n"/>
      <c r="R61" s="10" t="n"/>
      <c r="S61" s="12" t="n"/>
      <c r="T61" s="10" t="n"/>
      <c r="U61" s="13">
        <f>IF(OR(T61="",N(O61)=0),"",T61/O61)</f>
        <v/>
      </c>
      <c r="V61" s="10" t="n"/>
      <c r="W61" s="10" t="n"/>
      <c r="X61" s="10" t="n"/>
      <c r="Y61" s="12" t="n"/>
      <c r="Z61" s="10" t="n"/>
      <c r="AA61" s="12" t="n"/>
      <c r="AB61" s="10" t="n"/>
      <c r="AC61" s="14">
        <f>IF(COUNT(S61,Y61,AA61)=0,"",SUM(S61,Y61,AA61))</f>
        <v/>
      </c>
      <c r="AD61" s="13">
        <f>IF(N(AC61)=0,"",SUM(V61,W61,X61,Z61,AB61)/AC61)</f>
        <v/>
      </c>
      <c r="AE61" s="12" t="n"/>
      <c r="AF61" s="12" t="n"/>
      <c r="AG61" s="12" t="n"/>
      <c r="AH61" s="14">
        <f>IF(COUNT(AE61,AF61,AG61)=0,"",SUM(AE61,AF61,AG61))</f>
        <v/>
      </c>
      <c r="AI61" s="12" t="n"/>
      <c r="AJ61" s="12" t="n"/>
      <c r="AK61" s="12" t="n"/>
      <c r="AL61" s="14">
        <f>IF(COUNT(AI61,AJ61,AK61)=0,"",SUM(AI61,AJ61,AK61))</f>
        <v/>
      </c>
      <c r="AM61" s="5">
        <f>IF(N(AC61)=0,"",IF(COUNT($AC$6:$AC$105)&lt;5,"Too early",IF(AC61&gt;=1.5*MEDIAN($AC$6:$AC$105),"Top",IF(AC61&lt;=0.5*MEDIAN($AC$6:$AC$105),"Low","Average"))))</f>
        <v/>
      </c>
      <c r="AN61" s="10" t="n"/>
    </row>
    <row r="62" ht="60" customHeight="1">
      <c r="A62" s="5" t="n">
        <v>57</v>
      </c>
      <c r="B62" s="5" t="inlineStr">
        <is>
          <t>Relationships and communication</t>
        </is>
      </c>
      <c r="C62" s="5" t="inlineStr">
        <is>
          <t>Attribution in conflict</t>
        </is>
      </c>
      <c r="D62" s="5" t="inlineStr">
        <is>
          <t>Are you arguing about the event or their whole character?</t>
        </is>
      </c>
      <c r="E62" s="5" t="inlineStr">
        <is>
          <t>Replace a global label with the observed behavior.</t>
        </is>
      </c>
      <c r="F62" s="5" t="inlineStr">
        <is>
          <t>Always statement rewritten</t>
        </is>
      </c>
      <c r="G62" s="5" t="n">
        <v>45</v>
      </c>
      <c r="H62" s="5" t="inlineStr">
        <is>
          <t>Idea</t>
        </is>
      </c>
      <c r="I62" s="10" t="n">
        <v>99</v>
      </c>
      <c r="J62" s="10" t="inlineStr">
        <is>
          <t>Weak</t>
        </is>
      </c>
      <c r="K62" s="10" t="n"/>
      <c r="L62" s="11" t="n"/>
      <c r="M62" s="5">
        <f>IF(L62="","",TEXT(L62,"ddd"))</f>
        <v/>
      </c>
      <c r="N62" s="10" t="n"/>
      <c r="O62" s="10" t="n"/>
      <c r="P62" s="10" t="n"/>
      <c r="Q62" s="10" t="n"/>
      <c r="R62" s="10" t="n"/>
      <c r="S62" s="12" t="n"/>
      <c r="T62" s="10" t="n"/>
      <c r="U62" s="13">
        <f>IF(OR(T62="",N(O62)=0),"",T62/O62)</f>
        <v/>
      </c>
      <c r="V62" s="10" t="n"/>
      <c r="W62" s="10" t="n"/>
      <c r="X62" s="10" t="n"/>
      <c r="Y62" s="12" t="n"/>
      <c r="Z62" s="10" t="n"/>
      <c r="AA62" s="12" t="n"/>
      <c r="AB62" s="10" t="n"/>
      <c r="AC62" s="14">
        <f>IF(COUNT(S62,Y62,AA62)=0,"",SUM(S62,Y62,AA62))</f>
        <v/>
      </c>
      <c r="AD62" s="13">
        <f>IF(N(AC62)=0,"",SUM(V62,W62,X62,Z62,AB62)/AC62)</f>
        <v/>
      </c>
      <c r="AE62" s="12" t="n"/>
      <c r="AF62" s="12" t="n"/>
      <c r="AG62" s="12" t="n"/>
      <c r="AH62" s="14">
        <f>IF(COUNT(AE62,AF62,AG62)=0,"",SUM(AE62,AF62,AG62))</f>
        <v/>
      </c>
      <c r="AI62" s="12" t="n"/>
      <c r="AJ62" s="12" t="n"/>
      <c r="AK62" s="12" t="n"/>
      <c r="AL62" s="14">
        <f>IF(COUNT(AI62,AJ62,AK62)=0,"",SUM(AI62,AJ62,AK62))</f>
        <v/>
      </c>
      <c r="AM62" s="5">
        <f>IF(N(AC62)=0,"",IF(COUNT($AC$6:$AC$105)&lt;5,"Too early",IF(AC62&gt;=1.5*MEDIAN($AC$6:$AC$105),"Top",IF(AC62&lt;=0.5*MEDIAN($AC$6:$AC$105),"Low","Average"))))</f>
        <v/>
      </c>
      <c r="AN62" s="10" t="n"/>
    </row>
    <row r="63" ht="60" customHeight="1">
      <c r="A63" s="5" t="n">
        <v>58</v>
      </c>
      <c r="B63" s="5" t="inlineStr">
        <is>
          <t>Relationships and communication</t>
        </is>
      </c>
      <c r="C63" s="5" t="inlineStr">
        <is>
          <t>Reciprocity</t>
        </is>
      </c>
      <c r="D63" s="5" t="inlineStr">
        <is>
          <t>Why can a small favor create a sense of obligation?</t>
        </is>
      </c>
      <c r="E63" s="5" t="inlineStr">
        <is>
          <t>Explain reciprocal expectations and their context.</t>
        </is>
      </c>
      <c r="F63" s="5" t="inlineStr">
        <is>
          <t>Coffee favor exchange</t>
        </is>
      </c>
      <c r="G63" s="5" t="n">
        <v>45</v>
      </c>
      <c r="H63" s="5" t="inlineStr">
        <is>
          <t>Idea</t>
        </is>
      </c>
      <c r="I63" s="10" t="n">
        <v>6</v>
      </c>
      <c r="J63" s="10" t="inlineStr">
        <is>
          <t>Strong</t>
        </is>
      </c>
      <c r="K63" s="10" t="n"/>
      <c r="L63" s="11" t="n"/>
      <c r="M63" s="5">
        <f>IF(L63="","",TEXT(L63,"ddd"))</f>
        <v/>
      </c>
      <c r="N63" s="10" t="n"/>
      <c r="O63" s="10" t="n"/>
      <c r="P63" s="10" t="n"/>
      <c r="Q63" s="10" t="n"/>
      <c r="R63" s="10" t="n"/>
      <c r="S63" s="12" t="n"/>
      <c r="T63" s="10" t="n"/>
      <c r="U63" s="13">
        <f>IF(OR(T63="",N(O63)=0),"",T63/O63)</f>
        <v/>
      </c>
      <c r="V63" s="10" t="n"/>
      <c r="W63" s="10" t="n"/>
      <c r="X63" s="10" t="n"/>
      <c r="Y63" s="12" t="n"/>
      <c r="Z63" s="10" t="n"/>
      <c r="AA63" s="12" t="n"/>
      <c r="AB63" s="10" t="n"/>
      <c r="AC63" s="14">
        <f>IF(COUNT(S63,Y63,AA63)=0,"",SUM(S63,Y63,AA63))</f>
        <v/>
      </c>
      <c r="AD63" s="13">
        <f>IF(N(AC63)=0,"",SUM(V63,W63,X63,Z63,AB63)/AC63)</f>
        <v/>
      </c>
      <c r="AE63" s="12" t="n"/>
      <c r="AF63" s="12" t="n"/>
      <c r="AG63" s="12" t="n"/>
      <c r="AH63" s="14">
        <f>IF(COUNT(AE63,AF63,AG63)=0,"",SUM(AE63,AF63,AG63))</f>
        <v/>
      </c>
      <c r="AI63" s="12" t="n"/>
      <c r="AJ63" s="12" t="n"/>
      <c r="AK63" s="12" t="n"/>
      <c r="AL63" s="14">
        <f>IF(COUNT(AI63,AJ63,AK63)=0,"",SUM(AI63,AJ63,AK63))</f>
        <v/>
      </c>
      <c r="AM63" s="5">
        <f>IF(N(AC63)=0,"",IF(COUNT($AC$6:$AC$105)&lt;5,"Too early",IF(AC63&gt;=1.5*MEDIAN($AC$6:$AC$105),"Top",IF(AC63&lt;=0.5*MEDIAN($AC$6:$AC$105),"Low","Average"))))</f>
        <v/>
      </c>
      <c r="AN63" s="10" t="n"/>
    </row>
    <row r="64" ht="60" customHeight="1">
      <c r="A64" s="5" t="n">
        <v>59</v>
      </c>
      <c r="B64" s="5" t="inlineStr">
        <is>
          <t>Relationships and communication</t>
        </is>
      </c>
      <c r="C64" s="5" t="inlineStr">
        <is>
          <t>The mere-exposure effect</t>
        </is>
      </c>
      <c r="D64" s="5" t="inlineStr">
        <is>
          <t>Can familiarity influence liking?</t>
        </is>
      </c>
      <c r="E64" s="5" t="inlineStr">
        <is>
          <t>Explore repeated exposure without claiming it creates attraction.</t>
        </is>
      </c>
      <c r="F64" s="5" t="inlineStr">
        <is>
          <t>Repeated face illustrations</t>
        </is>
      </c>
      <c r="G64" s="5" t="n">
        <v>45</v>
      </c>
      <c r="H64" s="5" t="inlineStr">
        <is>
          <t>Idea</t>
        </is>
      </c>
      <c r="I64" s="10" t="n">
        <v>16</v>
      </c>
      <c r="J64" s="10" t="inlineStr">
        <is>
          <t>Strong</t>
        </is>
      </c>
      <c r="K64" s="10" t="n"/>
      <c r="L64" s="11" t="n"/>
      <c r="M64" s="5">
        <f>IF(L64="","",TEXT(L64,"ddd"))</f>
        <v/>
      </c>
      <c r="N64" s="10" t="n"/>
      <c r="O64" s="10" t="n"/>
      <c r="P64" s="10" t="n"/>
      <c r="Q64" s="10" t="n"/>
      <c r="R64" s="10" t="n"/>
      <c r="S64" s="12" t="n"/>
      <c r="T64" s="10" t="n"/>
      <c r="U64" s="13">
        <f>IF(OR(T64="",N(O64)=0),"",T64/O64)</f>
        <v/>
      </c>
      <c r="V64" s="10" t="n"/>
      <c r="W64" s="10" t="n"/>
      <c r="X64" s="10" t="n"/>
      <c r="Y64" s="12" t="n"/>
      <c r="Z64" s="10" t="n"/>
      <c r="AA64" s="12" t="n"/>
      <c r="AB64" s="10" t="n"/>
      <c r="AC64" s="14">
        <f>IF(COUNT(S64,Y64,AA64)=0,"",SUM(S64,Y64,AA64))</f>
        <v/>
      </c>
      <c r="AD64" s="13">
        <f>IF(N(AC64)=0,"",SUM(V64,W64,X64,Z64,AB64)/AC64)</f>
        <v/>
      </c>
      <c r="AE64" s="12" t="n"/>
      <c r="AF64" s="12" t="n"/>
      <c r="AG64" s="12" t="n"/>
      <c r="AH64" s="14">
        <f>IF(COUNT(AE64,AF64,AG64)=0,"",SUM(AE64,AF64,AG64))</f>
        <v/>
      </c>
      <c r="AI64" s="12" t="n"/>
      <c r="AJ64" s="12" t="n"/>
      <c r="AK64" s="12" t="n"/>
      <c r="AL64" s="14">
        <f>IF(COUNT(AI64,AJ64,AK64)=0,"",SUM(AI64,AJ64,AK64))</f>
        <v/>
      </c>
      <c r="AM64" s="5">
        <f>IF(N(AC64)=0,"",IF(COUNT($AC$6:$AC$105)&lt;5,"Too early",IF(AC64&gt;=1.5*MEDIAN($AC$6:$AC$105),"Top",IF(AC64&lt;=0.5*MEDIAN($AC$6:$AC$105),"Low","Average"))))</f>
        <v/>
      </c>
      <c r="AN64" s="10" t="n"/>
    </row>
    <row r="65" ht="60" customHeight="1">
      <c r="A65" s="5" t="n">
        <v>60</v>
      </c>
      <c r="B65" s="5" t="inlineStr">
        <is>
          <t>Relationships and communication</t>
        </is>
      </c>
      <c r="C65" s="5" t="inlineStr">
        <is>
          <t>Attachment labels online</t>
        </is>
      </c>
      <c r="D65" s="5" t="inlineStr">
        <is>
          <t>Can one unanswered text reveal your attachment style?</t>
        </is>
      </c>
      <c r="E65" s="5" t="inlineStr">
        <is>
          <t>Use the question to challenge simplistic relationship labeling.</t>
        </is>
      </c>
      <c r="F65" s="5" t="inlineStr">
        <is>
          <t>Label stamp crossed out</t>
        </is>
      </c>
      <c r="G65" s="5" t="n">
        <v>45</v>
      </c>
      <c r="H65" s="5" t="inlineStr">
        <is>
          <t>Idea</t>
        </is>
      </c>
      <c r="I65" s="10" t="n">
        <v>100</v>
      </c>
      <c r="J65" s="10" t="inlineStr">
        <is>
          <t>Weak</t>
        </is>
      </c>
      <c r="K65" s="10" t="n"/>
      <c r="L65" s="11" t="n"/>
      <c r="M65" s="5">
        <f>IF(L65="","",TEXT(L65,"ddd"))</f>
        <v/>
      </c>
      <c r="N65" s="10" t="n"/>
      <c r="O65" s="10" t="n"/>
      <c r="P65" s="10" t="n"/>
      <c r="Q65" s="10" t="n"/>
      <c r="R65" s="10" t="n"/>
      <c r="S65" s="12" t="n"/>
      <c r="T65" s="10" t="n"/>
      <c r="U65" s="13">
        <f>IF(OR(T65="",N(O65)=0),"",T65/O65)</f>
        <v/>
      </c>
      <c r="V65" s="10" t="n"/>
      <c r="W65" s="10" t="n"/>
      <c r="X65" s="10" t="n"/>
      <c r="Y65" s="12" t="n"/>
      <c r="Z65" s="10" t="n"/>
      <c r="AA65" s="12" t="n"/>
      <c r="AB65" s="10" t="n"/>
      <c r="AC65" s="14">
        <f>IF(COUNT(S65,Y65,AA65)=0,"",SUM(S65,Y65,AA65))</f>
        <v/>
      </c>
      <c r="AD65" s="13">
        <f>IF(N(AC65)=0,"",SUM(V65,W65,X65,Z65,AB65)/AC65)</f>
        <v/>
      </c>
      <c r="AE65" s="12" t="n"/>
      <c r="AF65" s="12" t="n"/>
      <c r="AG65" s="12" t="n"/>
      <c r="AH65" s="14">
        <f>IF(COUNT(AE65,AF65,AG65)=0,"",SUM(AE65,AF65,AG65))</f>
        <v/>
      </c>
      <c r="AI65" s="12" t="n"/>
      <c r="AJ65" s="12" t="n"/>
      <c r="AK65" s="12" t="n"/>
      <c r="AL65" s="14">
        <f>IF(COUNT(AI65,AJ65,AK65)=0,"",SUM(AI65,AJ65,AK65))</f>
        <v/>
      </c>
      <c r="AM65" s="5">
        <f>IF(N(AC65)=0,"",IF(COUNT($AC$6:$AC$105)&lt;5,"Too early",IF(AC65&gt;=1.5*MEDIAN($AC$6:$AC$105),"Top",IF(AC65&lt;=0.5*MEDIAN($AC$6:$AC$105),"Low","Average"))))</f>
        <v/>
      </c>
      <c r="AN65" s="10" t="n"/>
    </row>
    <row r="66" ht="60" customHeight="1">
      <c r="A66" s="5" t="n">
        <v>61</v>
      </c>
      <c r="B66" s="5" t="inlineStr">
        <is>
          <t>Social psychology</t>
        </is>
      </c>
      <c r="C66" s="5" t="inlineStr">
        <is>
          <t>Conformity</t>
        </is>
      </c>
      <c r="D66" s="5" t="inlineStr">
        <is>
          <t>Would you change your answer if everyone else disagreed?</t>
        </is>
      </c>
      <c r="E66" s="5" t="inlineStr">
        <is>
          <t>Stage a group judgment scenario and discuss social pressure.</t>
        </is>
      </c>
      <c r="F66" s="5" t="inlineStr">
        <is>
          <t>Line-length cards</t>
        </is>
      </c>
      <c r="G66" s="5" t="n">
        <v>45</v>
      </c>
      <c r="H66" s="5" t="inlineStr">
        <is>
          <t>Idea</t>
        </is>
      </c>
      <c r="I66" s="10" t="n">
        <v>7</v>
      </c>
      <c r="J66" s="10" t="inlineStr">
        <is>
          <t>Strong</t>
        </is>
      </c>
      <c r="K66" s="10" t="n"/>
      <c r="L66" s="11" t="n"/>
      <c r="M66" s="5">
        <f>IF(L66="","",TEXT(L66,"ddd"))</f>
        <v/>
      </c>
      <c r="N66" s="10" t="n"/>
      <c r="O66" s="10" t="n"/>
      <c r="P66" s="10" t="n"/>
      <c r="Q66" s="10" t="n"/>
      <c r="R66" s="10" t="n"/>
      <c r="S66" s="12" t="n"/>
      <c r="T66" s="10" t="n"/>
      <c r="U66" s="13">
        <f>IF(OR(T66="",N(O66)=0),"",T66/O66)</f>
        <v/>
      </c>
      <c r="V66" s="10" t="n"/>
      <c r="W66" s="10" t="n"/>
      <c r="X66" s="10" t="n"/>
      <c r="Y66" s="12" t="n"/>
      <c r="Z66" s="10" t="n"/>
      <c r="AA66" s="12" t="n"/>
      <c r="AB66" s="10" t="n"/>
      <c r="AC66" s="14">
        <f>IF(COUNT(S66,Y66,AA66)=0,"",SUM(S66,Y66,AA66))</f>
        <v/>
      </c>
      <c r="AD66" s="13">
        <f>IF(N(AC66)=0,"",SUM(V66,W66,X66,Z66,AB66)/AC66)</f>
        <v/>
      </c>
      <c r="AE66" s="12" t="n"/>
      <c r="AF66" s="12" t="n"/>
      <c r="AG66" s="12" t="n"/>
      <c r="AH66" s="14">
        <f>IF(COUNT(AE66,AF66,AG66)=0,"",SUM(AE66,AF66,AG66))</f>
        <v/>
      </c>
      <c r="AI66" s="12" t="n"/>
      <c r="AJ66" s="12" t="n"/>
      <c r="AK66" s="12" t="n"/>
      <c r="AL66" s="14">
        <f>IF(COUNT(AI66,AJ66,AK66)=0,"",SUM(AI66,AJ66,AK66))</f>
        <v/>
      </c>
      <c r="AM66" s="5">
        <f>IF(N(AC66)=0,"",IF(COUNT($AC$6:$AC$105)&lt;5,"Too early",IF(AC66&gt;=1.5*MEDIAN($AC$6:$AC$105),"Top",IF(AC66&lt;=0.5*MEDIAN($AC$6:$AC$105),"Low","Average"))))</f>
        <v/>
      </c>
      <c r="AN66" s="10" t="n"/>
    </row>
    <row r="67" ht="60" customHeight="1">
      <c r="A67" s="5" t="n">
        <v>62</v>
      </c>
      <c r="B67" s="5" t="inlineStr">
        <is>
          <t>Social psychology</t>
        </is>
      </c>
      <c r="C67" s="5" t="inlineStr">
        <is>
          <t>Informational social influence</t>
        </is>
      </c>
      <c r="D67" s="5" t="inlineStr">
        <is>
          <t>When do we copy others because we're uncertain?</t>
        </is>
      </c>
      <c r="E67" s="5" t="inlineStr">
        <is>
          <t>Show a newcomer following the crowd in an unfamiliar setting.</t>
        </is>
      </c>
      <c r="F67" s="5" t="inlineStr">
        <is>
          <t>Station crowd animation</t>
        </is>
      </c>
      <c r="G67" s="5" t="n">
        <v>45</v>
      </c>
      <c r="H67" s="5" t="inlineStr">
        <is>
          <t>Idea</t>
        </is>
      </c>
      <c r="I67" s="10" t="n">
        <v>17</v>
      </c>
      <c r="J67" s="10" t="inlineStr">
        <is>
          <t>Strong</t>
        </is>
      </c>
      <c r="K67" s="10" t="n"/>
      <c r="L67" s="11" t="n"/>
      <c r="M67" s="5">
        <f>IF(L67="","",TEXT(L67,"ddd"))</f>
        <v/>
      </c>
      <c r="N67" s="10" t="n"/>
      <c r="O67" s="10" t="n"/>
      <c r="P67" s="10" t="n"/>
      <c r="Q67" s="10" t="n"/>
      <c r="R67" s="10" t="n"/>
      <c r="S67" s="12" t="n"/>
      <c r="T67" s="10" t="n"/>
      <c r="U67" s="13">
        <f>IF(OR(T67="",N(O67)=0),"",T67/O67)</f>
        <v/>
      </c>
      <c r="V67" s="10" t="n"/>
      <c r="W67" s="10" t="n"/>
      <c r="X67" s="10" t="n"/>
      <c r="Y67" s="12" t="n"/>
      <c r="Z67" s="10" t="n"/>
      <c r="AA67" s="12" t="n"/>
      <c r="AB67" s="10" t="n"/>
      <c r="AC67" s="14">
        <f>IF(COUNT(S67,Y67,AA67)=0,"",SUM(S67,Y67,AA67))</f>
        <v/>
      </c>
      <c r="AD67" s="13">
        <f>IF(N(AC67)=0,"",SUM(V67,W67,X67,Z67,AB67)/AC67)</f>
        <v/>
      </c>
      <c r="AE67" s="12" t="n"/>
      <c r="AF67" s="12" t="n"/>
      <c r="AG67" s="12" t="n"/>
      <c r="AH67" s="14">
        <f>IF(COUNT(AE67,AF67,AG67)=0,"",SUM(AE67,AF67,AG67))</f>
        <v/>
      </c>
      <c r="AI67" s="12" t="n"/>
      <c r="AJ67" s="12" t="n"/>
      <c r="AK67" s="12" t="n"/>
      <c r="AL67" s="14">
        <f>IF(COUNT(AI67,AJ67,AK67)=0,"",SUM(AI67,AJ67,AK67))</f>
        <v/>
      </c>
      <c r="AM67" s="5">
        <f>IF(N(AC67)=0,"",IF(COUNT($AC$6:$AC$105)&lt;5,"Too early",IF(AC67&gt;=1.5*MEDIAN($AC$6:$AC$105),"Top",IF(AC67&lt;=0.5*MEDIAN($AC$6:$AC$105),"Low","Average"))))</f>
        <v/>
      </c>
      <c r="AN67" s="10" t="n"/>
    </row>
    <row r="68" ht="60" customHeight="1">
      <c r="A68" s="5" t="n">
        <v>63</v>
      </c>
      <c r="B68" s="5" t="inlineStr">
        <is>
          <t>Social psychology</t>
        </is>
      </c>
      <c r="C68" s="5" t="inlineStr">
        <is>
          <t>Normative social influence</t>
        </is>
      </c>
      <c r="D68" s="5" t="inlineStr">
        <is>
          <t>Would you say you agree just to fit in?</t>
        </is>
      </c>
      <c r="E68" s="5" t="inlineStr">
        <is>
          <t>Contrast private opinion with public response.</t>
        </is>
      </c>
      <c r="F68" s="5" t="inlineStr">
        <is>
          <t>Thought bubble versus spoken answer</t>
        </is>
      </c>
      <c r="G68" s="5" t="n">
        <v>45</v>
      </c>
      <c r="H68" s="5" t="inlineStr">
        <is>
          <t>Idea</t>
        </is>
      </c>
      <c r="I68" s="10" t="n">
        <v>26</v>
      </c>
      <c r="J68" s="10" t="inlineStr">
        <is>
          <t>Strong</t>
        </is>
      </c>
      <c r="K68" s="10" t="n"/>
      <c r="L68" s="11" t="n"/>
      <c r="M68" s="5">
        <f>IF(L68="","",TEXT(L68,"ddd"))</f>
        <v/>
      </c>
      <c r="N68" s="10" t="n"/>
      <c r="O68" s="10" t="n"/>
      <c r="P68" s="10" t="n"/>
      <c r="Q68" s="10" t="n"/>
      <c r="R68" s="10" t="n"/>
      <c r="S68" s="12" t="n"/>
      <c r="T68" s="10" t="n"/>
      <c r="U68" s="13">
        <f>IF(OR(T68="",N(O68)=0),"",T68/O68)</f>
        <v/>
      </c>
      <c r="V68" s="10" t="n"/>
      <c r="W68" s="10" t="n"/>
      <c r="X68" s="10" t="n"/>
      <c r="Y68" s="12" t="n"/>
      <c r="Z68" s="10" t="n"/>
      <c r="AA68" s="12" t="n"/>
      <c r="AB68" s="10" t="n"/>
      <c r="AC68" s="14">
        <f>IF(COUNT(S68,Y68,AA68)=0,"",SUM(S68,Y68,AA68))</f>
        <v/>
      </c>
      <c r="AD68" s="13">
        <f>IF(N(AC68)=0,"",SUM(V68,W68,X68,Z68,AB68)/AC68)</f>
        <v/>
      </c>
      <c r="AE68" s="12" t="n"/>
      <c r="AF68" s="12" t="n"/>
      <c r="AG68" s="12" t="n"/>
      <c r="AH68" s="14">
        <f>IF(COUNT(AE68,AF68,AG68)=0,"",SUM(AE68,AF68,AG68))</f>
        <v/>
      </c>
      <c r="AI68" s="12" t="n"/>
      <c r="AJ68" s="12" t="n"/>
      <c r="AK68" s="12" t="n"/>
      <c r="AL68" s="14">
        <f>IF(COUNT(AI68,AJ68,AK68)=0,"",SUM(AI68,AJ68,AK68))</f>
        <v/>
      </c>
      <c r="AM68" s="5">
        <f>IF(N(AC68)=0,"",IF(COUNT($AC$6:$AC$105)&lt;5,"Too early",IF(AC68&gt;=1.5*MEDIAN($AC$6:$AC$105),"Top",IF(AC68&lt;=0.5*MEDIAN($AC$6:$AC$105),"Low","Average"))))</f>
        <v/>
      </c>
      <c r="AN68" s="10" t="n"/>
    </row>
    <row r="69" ht="60" customHeight="1">
      <c r="A69" s="5" t="n">
        <v>64</v>
      </c>
      <c r="B69" s="5" t="inlineStr">
        <is>
          <t>Social psychology</t>
        </is>
      </c>
      <c r="C69" s="5" t="inlineStr">
        <is>
          <t>Social proof</t>
        </is>
      </c>
      <c r="D69" s="5" t="inlineStr">
        <is>
          <t>Does a long line prove the food is better?</t>
        </is>
      </c>
      <c r="E69" s="5" t="inlineStr">
        <is>
          <t>Explore popularity as a cue that can be imperfect.</t>
        </is>
      </c>
      <c r="F69" s="5" t="inlineStr">
        <is>
          <t>Two restaurant queues</t>
        </is>
      </c>
      <c r="G69" s="5" t="n">
        <v>45</v>
      </c>
      <c r="H69" s="5" t="inlineStr">
        <is>
          <t>Idea</t>
        </is>
      </c>
      <c r="I69" s="10" t="n">
        <v>34</v>
      </c>
      <c r="J69" s="10" t="inlineStr">
        <is>
          <t>Strong</t>
        </is>
      </c>
      <c r="K69" s="10" t="n"/>
      <c r="L69" s="11" t="n"/>
      <c r="M69" s="5">
        <f>IF(L69="","",TEXT(L69,"ddd"))</f>
        <v/>
      </c>
      <c r="N69" s="10" t="n"/>
      <c r="O69" s="10" t="n"/>
      <c r="P69" s="10" t="n"/>
      <c r="Q69" s="10" t="n"/>
      <c r="R69" s="10" t="n"/>
      <c r="S69" s="12" t="n"/>
      <c r="T69" s="10" t="n"/>
      <c r="U69" s="13">
        <f>IF(OR(T69="",N(O69)=0),"",T69/O69)</f>
        <v/>
      </c>
      <c r="V69" s="10" t="n"/>
      <c r="W69" s="10" t="n"/>
      <c r="X69" s="10" t="n"/>
      <c r="Y69" s="12" t="n"/>
      <c r="Z69" s="10" t="n"/>
      <c r="AA69" s="12" t="n"/>
      <c r="AB69" s="10" t="n"/>
      <c r="AC69" s="14">
        <f>IF(COUNT(S69,Y69,AA69)=0,"",SUM(S69,Y69,AA69))</f>
        <v/>
      </c>
      <c r="AD69" s="13">
        <f>IF(N(AC69)=0,"",SUM(V69,W69,X69,Z69,AB69)/AC69)</f>
        <v/>
      </c>
      <c r="AE69" s="12" t="n"/>
      <c r="AF69" s="12" t="n"/>
      <c r="AG69" s="12" t="n"/>
      <c r="AH69" s="14">
        <f>IF(COUNT(AE69,AF69,AG69)=0,"",SUM(AE69,AF69,AG69))</f>
        <v/>
      </c>
      <c r="AI69" s="12" t="n"/>
      <c r="AJ69" s="12" t="n"/>
      <c r="AK69" s="12" t="n"/>
      <c r="AL69" s="14">
        <f>IF(COUNT(AI69,AJ69,AK69)=0,"",SUM(AI69,AJ69,AK69))</f>
        <v/>
      </c>
      <c r="AM69" s="5">
        <f>IF(N(AC69)=0,"",IF(COUNT($AC$6:$AC$105)&lt;5,"Too early",IF(AC69&gt;=1.5*MEDIAN($AC$6:$AC$105),"Top",IF(AC69&lt;=0.5*MEDIAN($AC$6:$AC$105),"Low","Average"))))</f>
        <v/>
      </c>
      <c r="AN69" s="10" t="n"/>
    </row>
    <row r="70" ht="60" customHeight="1">
      <c r="A70" s="5" t="n">
        <v>65</v>
      </c>
      <c r="B70" s="5" t="inlineStr">
        <is>
          <t>Social psychology</t>
        </is>
      </c>
      <c r="C70" s="5" t="inlineStr">
        <is>
          <t>The bystander effect</t>
        </is>
      </c>
      <c r="D70" s="5" t="inlineStr">
        <is>
          <t>What changes when everyone thinks someone else will act?</t>
        </is>
      </c>
      <c r="E70" s="5" t="inlineStr">
        <is>
          <t>Explain diffusion of responsibility and a specific request for help.</t>
        </is>
      </c>
      <c r="F70" s="5" t="inlineStr">
        <is>
          <t>Group with one named helper</t>
        </is>
      </c>
      <c r="G70" s="5" t="n">
        <v>45</v>
      </c>
      <c r="H70" s="5" t="inlineStr">
        <is>
          <t>Idea</t>
        </is>
      </c>
      <c r="I70" s="10" t="n">
        <v>41</v>
      </c>
      <c r="J70" s="10" t="inlineStr">
        <is>
          <t>Strong</t>
        </is>
      </c>
      <c r="K70" s="10" t="n"/>
      <c r="L70" s="11" t="n"/>
      <c r="M70" s="5">
        <f>IF(L70="","",TEXT(L70,"ddd"))</f>
        <v/>
      </c>
      <c r="N70" s="10" t="n"/>
      <c r="O70" s="10" t="n"/>
      <c r="P70" s="10" t="n"/>
      <c r="Q70" s="10" t="n"/>
      <c r="R70" s="10" t="n"/>
      <c r="S70" s="12" t="n"/>
      <c r="T70" s="10" t="n"/>
      <c r="U70" s="13">
        <f>IF(OR(T70="",N(O70)=0),"",T70/O70)</f>
        <v/>
      </c>
      <c r="V70" s="10" t="n"/>
      <c r="W70" s="10" t="n"/>
      <c r="X70" s="10" t="n"/>
      <c r="Y70" s="12" t="n"/>
      <c r="Z70" s="10" t="n"/>
      <c r="AA70" s="12" t="n"/>
      <c r="AB70" s="10" t="n"/>
      <c r="AC70" s="14">
        <f>IF(COUNT(S70,Y70,AA70)=0,"",SUM(S70,Y70,AA70))</f>
        <v/>
      </c>
      <c r="AD70" s="13">
        <f>IF(N(AC70)=0,"",SUM(V70,W70,X70,Z70,AB70)/AC70)</f>
        <v/>
      </c>
      <c r="AE70" s="12" t="n"/>
      <c r="AF70" s="12" t="n"/>
      <c r="AG70" s="12" t="n"/>
      <c r="AH70" s="14">
        <f>IF(COUNT(AE70,AF70,AG70)=0,"",SUM(AE70,AF70,AG70))</f>
        <v/>
      </c>
      <c r="AI70" s="12" t="n"/>
      <c r="AJ70" s="12" t="n"/>
      <c r="AK70" s="12" t="n"/>
      <c r="AL70" s="14">
        <f>IF(COUNT(AI70,AJ70,AK70)=0,"",SUM(AI70,AJ70,AK70))</f>
        <v/>
      </c>
      <c r="AM70" s="5">
        <f>IF(N(AC70)=0,"",IF(COUNT($AC$6:$AC$105)&lt;5,"Too early",IF(AC70&gt;=1.5*MEDIAN($AC$6:$AC$105),"Top",IF(AC70&lt;=0.5*MEDIAN($AC$6:$AC$105),"Low","Average"))))</f>
        <v/>
      </c>
      <c r="AN70" s="10" t="n"/>
    </row>
    <row r="71" ht="60" customHeight="1">
      <c r="A71" s="5" t="n">
        <v>66</v>
      </c>
      <c r="B71" s="5" t="inlineStr">
        <is>
          <t>Social psychology</t>
        </is>
      </c>
      <c r="C71" s="5" t="inlineStr">
        <is>
          <t>Social loafing</t>
        </is>
      </c>
      <c r="D71" s="5" t="inlineStr">
        <is>
          <t>Who does the work when nobody's contribution is visible?</t>
        </is>
      </c>
      <c r="E71" s="5" t="inlineStr">
        <is>
          <t>Compare anonymous group effort with clear individual roles.</t>
        </is>
      </c>
      <c r="F71" s="5" t="inlineStr">
        <is>
          <t>Group project checklist</t>
        </is>
      </c>
      <c r="G71" s="5" t="n">
        <v>45</v>
      </c>
      <c r="H71" s="5" t="inlineStr">
        <is>
          <t>Idea</t>
        </is>
      </c>
      <c r="I71" s="10" t="n">
        <v>48</v>
      </c>
      <c r="J71" s="10" t="inlineStr">
        <is>
          <t>Strong</t>
        </is>
      </c>
      <c r="K71" s="10" t="n"/>
      <c r="L71" s="11" t="n"/>
      <c r="M71" s="5">
        <f>IF(L71="","",TEXT(L71,"ddd"))</f>
        <v/>
      </c>
      <c r="N71" s="10" t="n"/>
      <c r="O71" s="10" t="n"/>
      <c r="P71" s="10" t="n"/>
      <c r="Q71" s="10" t="n"/>
      <c r="R71" s="10" t="n"/>
      <c r="S71" s="12" t="n"/>
      <c r="T71" s="10" t="n"/>
      <c r="U71" s="13">
        <f>IF(OR(T71="",N(O71)=0),"",T71/O71)</f>
        <v/>
      </c>
      <c r="V71" s="10" t="n"/>
      <c r="W71" s="10" t="n"/>
      <c r="X71" s="10" t="n"/>
      <c r="Y71" s="12" t="n"/>
      <c r="Z71" s="10" t="n"/>
      <c r="AA71" s="12" t="n"/>
      <c r="AB71" s="10" t="n"/>
      <c r="AC71" s="14">
        <f>IF(COUNT(S71,Y71,AA71)=0,"",SUM(S71,Y71,AA71))</f>
        <v/>
      </c>
      <c r="AD71" s="13">
        <f>IF(N(AC71)=0,"",SUM(V71,W71,X71,Z71,AB71)/AC71)</f>
        <v/>
      </c>
      <c r="AE71" s="12" t="n"/>
      <c r="AF71" s="12" t="n"/>
      <c r="AG71" s="12" t="n"/>
      <c r="AH71" s="14">
        <f>IF(COUNT(AE71,AF71,AG71)=0,"",SUM(AE71,AF71,AG71))</f>
        <v/>
      </c>
      <c r="AI71" s="12" t="n"/>
      <c r="AJ71" s="12" t="n"/>
      <c r="AK71" s="12" t="n"/>
      <c r="AL71" s="14">
        <f>IF(COUNT(AI71,AJ71,AK71)=0,"",SUM(AI71,AJ71,AK71))</f>
        <v/>
      </c>
      <c r="AM71" s="5">
        <f>IF(N(AC71)=0,"",IF(COUNT($AC$6:$AC$105)&lt;5,"Too early",IF(AC71&gt;=1.5*MEDIAN($AC$6:$AC$105),"Top",IF(AC71&lt;=0.5*MEDIAN($AC$6:$AC$105),"Low","Average"))))</f>
        <v/>
      </c>
      <c r="AN71" s="10" t="n"/>
    </row>
    <row r="72" ht="60" customHeight="1">
      <c r="A72" s="5" t="n">
        <v>67</v>
      </c>
      <c r="B72" s="5" t="inlineStr">
        <is>
          <t>Social psychology</t>
        </is>
      </c>
      <c r="C72" s="5" t="inlineStr">
        <is>
          <t>In-group favoritism</t>
        </is>
      </c>
      <c r="D72" s="5" t="inlineStr">
        <is>
          <t>Can a random team label change your judgment?</t>
        </is>
      </c>
      <c r="E72" s="5" t="inlineStr">
        <is>
          <t>Use arbitrary team colors to explore group preference.</t>
        </is>
      </c>
      <c r="F72" s="5" t="inlineStr">
        <is>
          <t>Red and green team badges</t>
        </is>
      </c>
      <c r="G72" s="5" t="n">
        <v>45</v>
      </c>
      <c r="H72" s="5" t="inlineStr">
        <is>
          <t>Idea</t>
        </is>
      </c>
      <c r="I72" s="10" t="n">
        <v>54</v>
      </c>
      <c r="J72" s="10" t="inlineStr">
        <is>
          <t>Strong</t>
        </is>
      </c>
      <c r="K72" s="10" t="n"/>
      <c r="L72" s="11" t="n"/>
      <c r="M72" s="5">
        <f>IF(L72="","",TEXT(L72,"ddd"))</f>
        <v/>
      </c>
      <c r="N72" s="10" t="n"/>
      <c r="O72" s="10" t="n"/>
      <c r="P72" s="10" t="n"/>
      <c r="Q72" s="10" t="n"/>
      <c r="R72" s="10" t="n"/>
      <c r="S72" s="12" t="n"/>
      <c r="T72" s="10" t="n"/>
      <c r="U72" s="13">
        <f>IF(OR(T72="",N(O72)=0),"",T72/O72)</f>
        <v/>
      </c>
      <c r="V72" s="10" t="n"/>
      <c r="W72" s="10" t="n"/>
      <c r="X72" s="10" t="n"/>
      <c r="Y72" s="12" t="n"/>
      <c r="Z72" s="10" t="n"/>
      <c r="AA72" s="12" t="n"/>
      <c r="AB72" s="10" t="n"/>
      <c r="AC72" s="14">
        <f>IF(COUNT(S72,Y72,AA72)=0,"",SUM(S72,Y72,AA72))</f>
        <v/>
      </c>
      <c r="AD72" s="13">
        <f>IF(N(AC72)=0,"",SUM(V72,W72,X72,Z72,AB72)/AC72)</f>
        <v/>
      </c>
      <c r="AE72" s="12" t="n"/>
      <c r="AF72" s="12" t="n"/>
      <c r="AG72" s="12" t="n"/>
      <c r="AH72" s="14">
        <f>IF(COUNT(AE72,AF72,AG72)=0,"",SUM(AE72,AF72,AG72))</f>
        <v/>
      </c>
      <c r="AI72" s="12" t="n"/>
      <c r="AJ72" s="12" t="n"/>
      <c r="AK72" s="12" t="n"/>
      <c r="AL72" s="14">
        <f>IF(COUNT(AI72,AJ72,AK72)=0,"",SUM(AI72,AJ72,AK72))</f>
        <v/>
      </c>
      <c r="AM72" s="5">
        <f>IF(N(AC72)=0,"",IF(COUNT($AC$6:$AC$105)&lt;5,"Too early",IF(AC72&gt;=1.5*MEDIAN($AC$6:$AC$105),"Top",IF(AC72&lt;=0.5*MEDIAN($AC$6:$AC$105),"Low","Average"))))</f>
        <v/>
      </c>
      <c r="AN72" s="10" t="n"/>
    </row>
    <row r="73" ht="60" customHeight="1">
      <c r="A73" s="5" t="n">
        <v>68</v>
      </c>
      <c r="B73" s="5" t="inlineStr">
        <is>
          <t>Social psychology</t>
        </is>
      </c>
      <c r="C73" s="5" t="inlineStr">
        <is>
          <t>Pluralistic ignorance</t>
        </is>
      </c>
      <c r="D73" s="5" t="inlineStr">
        <is>
          <t>What if everyone is confused but nobody asks?</t>
        </is>
      </c>
      <c r="E73" s="5" t="inlineStr">
        <is>
          <t>Show a class mistaking others' silence for understanding.</t>
        </is>
      </c>
      <c r="F73" s="5" t="inlineStr">
        <is>
          <t>Silent classroom thought bubbles</t>
        </is>
      </c>
      <c r="G73" s="5" t="n">
        <v>45</v>
      </c>
      <c r="H73" s="5" t="inlineStr">
        <is>
          <t>Idea</t>
        </is>
      </c>
      <c r="I73" s="10" t="n">
        <v>60</v>
      </c>
      <c r="J73" s="10" t="inlineStr">
        <is>
          <t>Strong</t>
        </is>
      </c>
      <c r="K73" s="10" t="n"/>
      <c r="L73" s="11" t="n"/>
      <c r="M73" s="5">
        <f>IF(L73="","",TEXT(L73,"ddd"))</f>
        <v/>
      </c>
      <c r="N73" s="10" t="n"/>
      <c r="O73" s="10" t="n"/>
      <c r="P73" s="10" t="n"/>
      <c r="Q73" s="10" t="n"/>
      <c r="R73" s="10" t="n"/>
      <c r="S73" s="12" t="n"/>
      <c r="T73" s="10" t="n"/>
      <c r="U73" s="13">
        <f>IF(OR(T73="",N(O73)=0),"",T73/O73)</f>
        <v/>
      </c>
      <c r="V73" s="10" t="n"/>
      <c r="W73" s="10" t="n"/>
      <c r="X73" s="10" t="n"/>
      <c r="Y73" s="12" t="n"/>
      <c r="Z73" s="10" t="n"/>
      <c r="AA73" s="12" t="n"/>
      <c r="AB73" s="10" t="n"/>
      <c r="AC73" s="14">
        <f>IF(COUNT(S73,Y73,AA73)=0,"",SUM(S73,Y73,AA73))</f>
        <v/>
      </c>
      <c r="AD73" s="13">
        <f>IF(N(AC73)=0,"",SUM(V73,W73,X73,Z73,AB73)/AC73)</f>
        <v/>
      </c>
      <c r="AE73" s="12" t="n"/>
      <c r="AF73" s="12" t="n"/>
      <c r="AG73" s="12" t="n"/>
      <c r="AH73" s="14">
        <f>IF(COUNT(AE73,AF73,AG73)=0,"",SUM(AE73,AF73,AG73))</f>
        <v/>
      </c>
      <c r="AI73" s="12" t="n"/>
      <c r="AJ73" s="12" t="n"/>
      <c r="AK73" s="12" t="n"/>
      <c r="AL73" s="14">
        <f>IF(COUNT(AI73,AJ73,AK73)=0,"",SUM(AI73,AJ73,AK73))</f>
        <v/>
      </c>
      <c r="AM73" s="5">
        <f>IF(N(AC73)=0,"",IF(COUNT($AC$6:$AC$105)&lt;5,"Too early",IF(AC73&gt;=1.5*MEDIAN($AC$6:$AC$105),"Top",IF(AC73&lt;=0.5*MEDIAN($AC$6:$AC$105),"Low","Average"))))</f>
        <v/>
      </c>
      <c r="AN73" s="10" t="n"/>
    </row>
    <row r="74" ht="60" customHeight="1">
      <c r="A74" s="5" t="n">
        <v>69</v>
      </c>
      <c r="B74" s="5" t="inlineStr">
        <is>
          <t>Social psychology</t>
        </is>
      </c>
      <c r="C74" s="5" t="inlineStr">
        <is>
          <t>Social facilitation</t>
        </is>
      </c>
      <c r="D74" s="5" t="inlineStr">
        <is>
          <t>Does an audience change how you perform?</t>
        </is>
      </c>
      <c r="E74" s="5" t="inlineStr">
        <is>
          <t>Compare a familiar task with a difficult new task under observation.</t>
        </is>
      </c>
      <c r="F74" s="5" t="inlineStr">
        <is>
          <t>Juggling demo illustration</t>
        </is>
      </c>
      <c r="G74" s="5" t="n">
        <v>45</v>
      </c>
      <c r="H74" s="5" t="inlineStr">
        <is>
          <t>Idea</t>
        </is>
      </c>
      <c r="I74" s="10" t="n">
        <v>66</v>
      </c>
      <c r="J74" s="10" t="inlineStr">
        <is>
          <t>Strong</t>
        </is>
      </c>
      <c r="K74" s="10" t="n"/>
      <c r="L74" s="11" t="n"/>
      <c r="M74" s="5">
        <f>IF(L74="","",TEXT(L74,"ddd"))</f>
        <v/>
      </c>
      <c r="N74" s="10" t="n"/>
      <c r="O74" s="10" t="n"/>
      <c r="P74" s="10" t="n"/>
      <c r="Q74" s="10" t="n"/>
      <c r="R74" s="10" t="n"/>
      <c r="S74" s="12" t="n"/>
      <c r="T74" s="10" t="n"/>
      <c r="U74" s="13">
        <f>IF(OR(T74="",N(O74)=0),"",T74/O74)</f>
        <v/>
      </c>
      <c r="V74" s="10" t="n"/>
      <c r="W74" s="10" t="n"/>
      <c r="X74" s="10" t="n"/>
      <c r="Y74" s="12" t="n"/>
      <c r="Z74" s="10" t="n"/>
      <c r="AA74" s="12" t="n"/>
      <c r="AB74" s="10" t="n"/>
      <c r="AC74" s="14">
        <f>IF(COUNT(S74,Y74,AA74)=0,"",SUM(S74,Y74,AA74))</f>
        <v/>
      </c>
      <c r="AD74" s="13">
        <f>IF(N(AC74)=0,"",SUM(V74,W74,X74,Z74,AB74)/AC74)</f>
        <v/>
      </c>
      <c r="AE74" s="12" t="n"/>
      <c r="AF74" s="12" t="n"/>
      <c r="AG74" s="12" t="n"/>
      <c r="AH74" s="14">
        <f>IF(COUNT(AE74,AF74,AG74)=0,"",SUM(AE74,AF74,AG74))</f>
        <v/>
      </c>
      <c r="AI74" s="12" t="n"/>
      <c r="AJ74" s="12" t="n"/>
      <c r="AK74" s="12" t="n"/>
      <c r="AL74" s="14">
        <f>IF(COUNT(AI74,AJ74,AK74)=0,"",SUM(AI74,AJ74,AK74))</f>
        <v/>
      </c>
      <c r="AM74" s="5">
        <f>IF(N(AC74)=0,"",IF(COUNT($AC$6:$AC$105)&lt;5,"Too early",IF(AC74&gt;=1.5*MEDIAN($AC$6:$AC$105),"Top",IF(AC74&lt;=0.5*MEDIAN($AC$6:$AC$105),"Low","Average"))))</f>
        <v/>
      </c>
      <c r="AN74" s="10" t="n"/>
    </row>
    <row r="75" ht="60" customHeight="1">
      <c r="A75" s="5" t="n">
        <v>70</v>
      </c>
      <c r="B75" s="5" t="inlineStr">
        <is>
          <t>Social psychology</t>
        </is>
      </c>
      <c r="C75" s="5" t="inlineStr">
        <is>
          <t>Group polarization</t>
        </is>
      </c>
      <c r="D75" s="5" t="inlineStr">
        <is>
          <t>Can a discussion push a group toward a stronger view?</t>
        </is>
      </c>
      <c r="E75" s="5" t="inlineStr">
        <is>
          <t>Show initially similar opinions becoming more extreme in discussion.</t>
        </is>
      </c>
      <c r="F75" s="5" t="inlineStr">
        <is>
          <t>Opinion scale animation</t>
        </is>
      </c>
      <c r="G75" s="5" t="n">
        <v>45</v>
      </c>
      <c r="H75" s="5" t="inlineStr">
        <is>
          <t>Idea</t>
        </is>
      </c>
      <c r="I75" s="10" t="n">
        <v>71</v>
      </c>
      <c r="J75" s="10" t="inlineStr">
        <is>
          <t>Strong</t>
        </is>
      </c>
      <c r="K75" s="10" t="n"/>
      <c r="L75" s="11" t="n"/>
      <c r="M75" s="5">
        <f>IF(L75="","",TEXT(L75,"ddd"))</f>
        <v/>
      </c>
      <c r="N75" s="10" t="n"/>
      <c r="O75" s="10" t="n"/>
      <c r="P75" s="10" t="n"/>
      <c r="Q75" s="10" t="n"/>
      <c r="R75" s="10" t="n"/>
      <c r="S75" s="12" t="n"/>
      <c r="T75" s="10" t="n"/>
      <c r="U75" s="13">
        <f>IF(OR(T75="",N(O75)=0),"",T75/O75)</f>
        <v/>
      </c>
      <c r="V75" s="10" t="n"/>
      <c r="W75" s="10" t="n"/>
      <c r="X75" s="10" t="n"/>
      <c r="Y75" s="12" t="n"/>
      <c r="Z75" s="10" t="n"/>
      <c r="AA75" s="12" t="n"/>
      <c r="AB75" s="10" t="n"/>
      <c r="AC75" s="14">
        <f>IF(COUNT(S75,Y75,AA75)=0,"",SUM(S75,Y75,AA75))</f>
        <v/>
      </c>
      <c r="AD75" s="13">
        <f>IF(N(AC75)=0,"",SUM(V75,W75,X75,Z75,AB75)/AC75)</f>
        <v/>
      </c>
      <c r="AE75" s="12" t="n"/>
      <c r="AF75" s="12" t="n"/>
      <c r="AG75" s="12" t="n"/>
      <c r="AH75" s="14">
        <f>IF(COUNT(AE75,AF75,AG75)=0,"",SUM(AE75,AF75,AG75))</f>
        <v/>
      </c>
      <c r="AI75" s="12" t="n"/>
      <c r="AJ75" s="12" t="n"/>
      <c r="AK75" s="12" t="n"/>
      <c r="AL75" s="14">
        <f>IF(COUNT(AI75,AJ75,AK75)=0,"",SUM(AI75,AJ75,AK75))</f>
        <v/>
      </c>
      <c r="AM75" s="5">
        <f>IF(N(AC75)=0,"",IF(COUNT($AC$6:$AC$105)&lt;5,"Too early",IF(AC75&gt;=1.5*MEDIAN($AC$6:$AC$105),"Top",IF(AC75&lt;=0.5*MEDIAN($AC$6:$AC$105),"Low","Average"))))</f>
        <v/>
      </c>
      <c r="AN75" s="10" t="n"/>
    </row>
    <row r="76" ht="60" customHeight="1">
      <c r="A76" s="5" t="n">
        <v>71</v>
      </c>
      <c r="B76" s="5" t="inlineStr">
        <is>
          <t>Self-image and confidence</t>
        </is>
      </c>
      <c r="C76" s="5" t="inlineStr">
        <is>
          <t>Social comparison</t>
        </is>
      </c>
      <c r="D76" s="5" t="inlineStr">
        <is>
          <t>Who are you using as your measuring stick?</t>
        </is>
      </c>
      <c r="E76" s="5" t="inlineStr">
        <is>
          <t>Compare upward and downward comparisons in one everyday scenario.</t>
        </is>
      </c>
      <c r="F76" s="5" t="inlineStr">
        <is>
          <t>Two comparison ladders</t>
        </is>
      </c>
      <c r="G76" s="5" t="n">
        <v>45</v>
      </c>
      <c r="H76" s="5" t="inlineStr">
        <is>
          <t>Idea</t>
        </is>
      </c>
      <c r="I76" s="10" t="n">
        <v>8</v>
      </c>
      <c r="J76" s="10" t="inlineStr">
        <is>
          <t>Strong</t>
        </is>
      </c>
      <c r="K76" s="10" t="n"/>
      <c r="L76" s="11" t="n"/>
      <c r="M76" s="5">
        <f>IF(L76="","",TEXT(L76,"ddd"))</f>
        <v/>
      </c>
      <c r="N76" s="10" t="n"/>
      <c r="O76" s="10" t="n"/>
      <c r="P76" s="10" t="n"/>
      <c r="Q76" s="10" t="n"/>
      <c r="R76" s="10" t="n"/>
      <c r="S76" s="12" t="n"/>
      <c r="T76" s="10" t="n"/>
      <c r="U76" s="13">
        <f>IF(OR(T76="",N(O76)=0),"",T76/O76)</f>
        <v/>
      </c>
      <c r="V76" s="10" t="n"/>
      <c r="W76" s="10" t="n"/>
      <c r="X76" s="10" t="n"/>
      <c r="Y76" s="12" t="n"/>
      <c r="Z76" s="10" t="n"/>
      <c r="AA76" s="12" t="n"/>
      <c r="AB76" s="10" t="n"/>
      <c r="AC76" s="14">
        <f>IF(COUNT(S76,Y76,AA76)=0,"",SUM(S76,Y76,AA76))</f>
        <v/>
      </c>
      <c r="AD76" s="13">
        <f>IF(N(AC76)=0,"",SUM(V76,W76,X76,Z76,AB76)/AC76)</f>
        <v/>
      </c>
      <c r="AE76" s="12" t="n"/>
      <c r="AF76" s="12" t="n"/>
      <c r="AG76" s="12" t="n"/>
      <c r="AH76" s="14">
        <f>IF(COUNT(AE76,AF76,AG76)=0,"",SUM(AE76,AF76,AG76))</f>
        <v/>
      </c>
      <c r="AI76" s="12" t="n"/>
      <c r="AJ76" s="12" t="n"/>
      <c r="AK76" s="12" t="n"/>
      <c r="AL76" s="14">
        <f>IF(COUNT(AI76,AJ76,AK76)=0,"",SUM(AI76,AJ76,AK76))</f>
        <v/>
      </c>
      <c r="AM76" s="5">
        <f>IF(N(AC76)=0,"",IF(COUNT($AC$6:$AC$105)&lt;5,"Too early",IF(AC76&gt;=1.5*MEDIAN($AC$6:$AC$105),"Top",IF(AC76&lt;=0.5*MEDIAN($AC$6:$AC$105),"Low","Average"))))</f>
        <v/>
      </c>
      <c r="AN76" s="10" t="n"/>
    </row>
    <row r="77" ht="60" customHeight="1">
      <c r="A77" s="5" t="n">
        <v>72</v>
      </c>
      <c r="B77" s="5" t="inlineStr">
        <is>
          <t>Self-image and confidence</t>
        </is>
      </c>
      <c r="C77" s="5" t="inlineStr">
        <is>
          <t>The better-than-average effect</t>
        </is>
      </c>
      <c r="D77" s="5" t="inlineStr">
        <is>
          <t>Can almost everyone be above average?</t>
        </is>
      </c>
      <c r="E77" s="5" t="inlineStr">
        <is>
          <t>Invite a skill rating and explain the statistical tension.</t>
        </is>
      </c>
      <c r="F77" s="5" t="inlineStr">
        <is>
          <t>Distribution sketch</t>
        </is>
      </c>
      <c r="G77" s="5" t="n">
        <v>45</v>
      </c>
      <c r="H77" s="5" t="inlineStr">
        <is>
          <t>Idea</t>
        </is>
      </c>
      <c r="I77" s="10" t="n">
        <v>18</v>
      </c>
      <c r="J77" s="10" t="inlineStr">
        <is>
          <t>Strong</t>
        </is>
      </c>
      <c r="K77" s="10" t="n"/>
      <c r="L77" s="11" t="n"/>
      <c r="M77" s="5">
        <f>IF(L77="","",TEXT(L77,"ddd"))</f>
        <v/>
      </c>
      <c r="N77" s="10" t="n"/>
      <c r="O77" s="10" t="n"/>
      <c r="P77" s="10" t="n"/>
      <c r="Q77" s="10" t="n"/>
      <c r="R77" s="10" t="n"/>
      <c r="S77" s="12" t="n"/>
      <c r="T77" s="10" t="n"/>
      <c r="U77" s="13">
        <f>IF(OR(T77="",N(O77)=0),"",T77/O77)</f>
        <v/>
      </c>
      <c r="V77" s="10" t="n"/>
      <c r="W77" s="10" t="n"/>
      <c r="X77" s="10" t="n"/>
      <c r="Y77" s="12" t="n"/>
      <c r="Z77" s="10" t="n"/>
      <c r="AA77" s="12" t="n"/>
      <c r="AB77" s="10" t="n"/>
      <c r="AC77" s="14">
        <f>IF(COUNT(S77,Y77,AA77)=0,"",SUM(S77,Y77,AA77))</f>
        <v/>
      </c>
      <c r="AD77" s="13">
        <f>IF(N(AC77)=0,"",SUM(V77,W77,X77,Z77,AB77)/AC77)</f>
        <v/>
      </c>
      <c r="AE77" s="12" t="n"/>
      <c r="AF77" s="12" t="n"/>
      <c r="AG77" s="12" t="n"/>
      <c r="AH77" s="14">
        <f>IF(COUNT(AE77,AF77,AG77)=0,"",SUM(AE77,AF77,AG77))</f>
        <v/>
      </c>
      <c r="AI77" s="12" t="n"/>
      <c r="AJ77" s="12" t="n"/>
      <c r="AK77" s="12" t="n"/>
      <c r="AL77" s="14">
        <f>IF(COUNT(AI77,AJ77,AK77)=0,"",SUM(AI77,AJ77,AK77))</f>
        <v/>
      </c>
      <c r="AM77" s="5">
        <f>IF(N(AC77)=0,"",IF(COUNT($AC$6:$AC$105)&lt;5,"Too early",IF(AC77&gt;=1.5*MEDIAN($AC$6:$AC$105),"Top",IF(AC77&lt;=0.5*MEDIAN($AC$6:$AC$105),"Low","Average"))))</f>
        <v/>
      </c>
      <c r="AN77" s="10" t="n"/>
    </row>
    <row r="78" ht="60" customHeight="1">
      <c r="A78" s="5" t="n">
        <v>73</v>
      </c>
      <c r="B78" s="5" t="inlineStr">
        <is>
          <t>Self-image and confidence</t>
        </is>
      </c>
      <c r="C78" s="5" t="inlineStr">
        <is>
          <t>Impostor feelings</t>
        </is>
      </c>
      <c r="D78" s="5" t="inlineStr">
        <is>
          <t>Why can success still feel undeserved?</t>
        </is>
      </c>
      <c r="E78" s="5" t="inlineStr">
        <is>
          <t>Explore self-doubt without presenting it as a diagnosis.</t>
        </is>
      </c>
      <c r="F78" s="5" t="inlineStr">
        <is>
          <t>Award and doubtful thought bubble</t>
        </is>
      </c>
      <c r="G78" s="5" t="n">
        <v>45</v>
      </c>
      <c r="H78" s="5" t="inlineStr">
        <is>
          <t>Idea</t>
        </is>
      </c>
      <c r="I78" s="10" t="n">
        <v>27</v>
      </c>
      <c r="J78" s="10" t="inlineStr">
        <is>
          <t>Strong</t>
        </is>
      </c>
      <c r="K78" s="10" t="n"/>
      <c r="L78" s="11" t="n"/>
      <c r="M78" s="5">
        <f>IF(L78="","",TEXT(L78,"ddd"))</f>
        <v/>
      </c>
      <c r="N78" s="10" t="n"/>
      <c r="O78" s="10" t="n"/>
      <c r="P78" s="10" t="n"/>
      <c r="Q78" s="10" t="n"/>
      <c r="R78" s="10" t="n"/>
      <c r="S78" s="12" t="n"/>
      <c r="T78" s="10" t="n"/>
      <c r="U78" s="13">
        <f>IF(OR(T78="",N(O78)=0),"",T78/O78)</f>
        <v/>
      </c>
      <c r="V78" s="10" t="n"/>
      <c r="W78" s="10" t="n"/>
      <c r="X78" s="10" t="n"/>
      <c r="Y78" s="12" t="n"/>
      <c r="Z78" s="10" t="n"/>
      <c r="AA78" s="12" t="n"/>
      <c r="AB78" s="10" t="n"/>
      <c r="AC78" s="14">
        <f>IF(COUNT(S78,Y78,AA78)=0,"",SUM(S78,Y78,AA78))</f>
        <v/>
      </c>
      <c r="AD78" s="13">
        <f>IF(N(AC78)=0,"",SUM(V78,W78,X78,Z78,AB78)/AC78)</f>
        <v/>
      </c>
      <c r="AE78" s="12" t="n"/>
      <c r="AF78" s="12" t="n"/>
      <c r="AG78" s="12" t="n"/>
      <c r="AH78" s="14">
        <f>IF(COUNT(AE78,AF78,AG78)=0,"",SUM(AE78,AF78,AG78))</f>
        <v/>
      </c>
      <c r="AI78" s="12" t="n"/>
      <c r="AJ78" s="12" t="n"/>
      <c r="AK78" s="12" t="n"/>
      <c r="AL78" s="14">
        <f>IF(COUNT(AI78,AJ78,AK78)=0,"",SUM(AI78,AJ78,AK78))</f>
        <v/>
      </c>
      <c r="AM78" s="5">
        <f>IF(N(AC78)=0,"",IF(COUNT($AC$6:$AC$105)&lt;5,"Too early",IF(AC78&gt;=1.5*MEDIAN($AC$6:$AC$105),"Top",IF(AC78&lt;=0.5*MEDIAN($AC$6:$AC$105),"Low","Average"))))</f>
        <v/>
      </c>
      <c r="AN78" s="10" t="n"/>
    </row>
    <row r="79" ht="60" customHeight="1">
      <c r="A79" s="5" t="n">
        <v>74</v>
      </c>
      <c r="B79" s="5" t="inlineStr">
        <is>
          <t>Self-image and confidence</t>
        </is>
      </c>
      <c r="C79" s="5" t="inlineStr">
        <is>
          <t>Perfectionism and starting</t>
        </is>
      </c>
      <c r="D79" s="5" t="inlineStr">
        <is>
          <t>What happens when the first draft must be flawless?</t>
        </is>
      </c>
      <c r="E79" s="5" t="inlineStr">
        <is>
          <t>Compare an untouched page with a rough workable draft.</t>
        </is>
      </c>
      <c r="F79" s="5" t="inlineStr">
        <is>
          <t>Blank versus messy page</t>
        </is>
      </c>
      <c r="G79" s="5" t="n">
        <v>45</v>
      </c>
      <c r="H79" s="5" t="inlineStr">
        <is>
          <t>Idea</t>
        </is>
      </c>
      <c r="I79" s="10" t="n">
        <v>35</v>
      </c>
      <c r="J79" s="10" t="inlineStr">
        <is>
          <t>Strong</t>
        </is>
      </c>
      <c r="K79" s="10" t="n"/>
      <c r="L79" s="11" t="n"/>
      <c r="M79" s="5">
        <f>IF(L79="","",TEXT(L79,"ddd"))</f>
        <v/>
      </c>
      <c r="N79" s="10" t="n"/>
      <c r="O79" s="10" t="n"/>
      <c r="P79" s="10" t="n"/>
      <c r="Q79" s="10" t="n"/>
      <c r="R79" s="10" t="n"/>
      <c r="S79" s="12" t="n"/>
      <c r="T79" s="10" t="n"/>
      <c r="U79" s="13">
        <f>IF(OR(T79="",N(O79)=0),"",T79/O79)</f>
        <v/>
      </c>
      <c r="V79" s="10" t="n"/>
      <c r="W79" s="10" t="n"/>
      <c r="X79" s="10" t="n"/>
      <c r="Y79" s="12" t="n"/>
      <c r="Z79" s="10" t="n"/>
      <c r="AA79" s="12" t="n"/>
      <c r="AB79" s="10" t="n"/>
      <c r="AC79" s="14">
        <f>IF(COUNT(S79,Y79,AA79)=0,"",SUM(S79,Y79,AA79))</f>
        <v/>
      </c>
      <c r="AD79" s="13">
        <f>IF(N(AC79)=0,"",SUM(V79,W79,X79,Z79,AB79)/AC79)</f>
        <v/>
      </c>
      <c r="AE79" s="12" t="n"/>
      <c r="AF79" s="12" t="n"/>
      <c r="AG79" s="12" t="n"/>
      <c r="AH79" s="14">
        <f>IF(COUNT(AE79,AF79,AG79)=0,"",SUM(AE79,AF79,AG79))</f>
        <v/>
      </c>
      <c r="AI79" s="12" t="n"/>
      <c r="AJ79" s="12" t="n"/>
      <c r="AK79" s="12" t="n"/>
      <c r="AL79" s="14">
        <f>IF(COUNT(AI79,AJ79,AK79)=0,"",SUM(AI79,AJ79,AK79))</f>
        <v/>
      </c>
      <c r="AM79" s="5">
        <f>IF(N(AC79)=0,"",IF(COUNT($AC$6:$AC$105)&lt;5,"Too early",IF(AC79&gt;=1.5*MEDIAN($AC$6:$AC$105),"Top",IF(AC79&lt;=0.5*MEDIAN($AC$6:$AC$105),"Low","Average"))))</f>
        <v/>
      </c>
      <c r="AN79" s="10" t="n"/>
    </row>
    <row r="80" ht="60" customHeight="1">
      <c r="A80" s="5" t="n">
        <v>75</v>
      </c>
      <c r="B80" s="5" t="inlineStr">
        <is>
          <t>Self-image and confidence</t>
        </is>
      </c>
      <c r="C80" s="5" t="inlineStr">
        <is>
          <t>Contingent self-worth</t>
        </is>
      </c>
      <c r="D80" s="5" t="inlineStr">
        <is>
          <t>What happens when one grade decides your whole value?</t>
        </is>
      </c>
      <c r="E80" s="5" t="inlineStr">
        <is>
          <t>Separate a performance result from a global self-judgment.</t>
        </is>
      </c>
      <c r="F80" s="5" t="inlineStr">
        <is>
          <t>Grade card and identity cards</t>
        </is>
      </c>
      <c r="G80" s="5" t="n">
        <v>45</v>
      </c>
      <c r="H80" s="5" t="inlineStr">
        <is>
          <t>Idea</t>
        </is>
      </c>
      <c r="I80" s="10" t="n">
        <v>42</v>
      </c>
      <c r="J80" s="10" t="inlineStr">
        <is>
          <t>Strong</t>
        </is>
      </c>
      <c r="K80" s="10" t="n"/>
      <c r="L80" s="11" t="n"/>
      <c r="M80" s="5">
        <f>IF(L80="","",TEXT(L80,"ddd"))</f>
        <v/>
      </c>
      <c r="N80" s="10" t="n"/>
      <c r="O80" s="10" t="n"/>
      <c r="P80" s="10" t="n"/>
      <c r="Q80" s="10" t="n"/>
      <c r="R80" s="10" t="n"/>
      <c r="S80" s="12" t="n"/>
      <c r="T80" s="10" t="n"/>
      <c r="U80" s="13">
        <f>IF(OR(T80="",N(O80)=0),"",T80/O80)</f>
        <v/>
      </c>
      <c r="V80" s="10" t="n"/>
      <c r="W80" s="10" t="n"/>
      <c r="X80" s="10" t="n"/>
      <c r="Y80" s="12" t="n"/>
      <c r="Z80" s="10" t="n"/>
      <c r="AA80" s="12" t="n"/>
      <c r="AB80" s="10" t="n"/>
      <c r="AC80" s="14">
        <f>IF(COUNT(S80,Y80,AA80)=0,"",SUM(S80,Y80,AA80))</f>
        <v/>
      </c>
      <c r="AD80" s="13">
        <f>IF(N(AC80)=0,"",SUM(V80,W80,X80,Z80,AB80)/AC80)</f>
        <v/>
      </c>
      <c r="AE80" s="12" t="n"/>
      <c r="AF80" s="12" t="n"/>
      <c r="AG80" s="12" t="n"/>
      <c r="AH80" s="14">
        <f>IF(COUNT(AE80,AF80,AG80)=0,"",SUM(AE80,AF80,AG80))</f>
        <v/>
      </c>
      <c r="AI80" s="12" t="n"/>
      <c r="AJ80" s="12" t="n"/>
      <c r="AK80" s="12" t="n"/>
      <c r="AL80" s="14">
        <f>IF(COUNT(AI80,AJ80,AK80)=0,"",SUM(AI80,AJ80,AK80))</f>
        <v/>
      </c>
      <c r="AM80" s="5">
        <f>IF(N(AC80)=0,"",IF(COUNT($AC$6:$AC$105)&lt;5,"Too early",IF(AC80&gt;=1.5*MEDIAN($AC$6:$AC$105),"Top",IF(AC80&lt;=0.5*MEDIAN($AC$6:$AC$105),"Low","Average"))))</f>
        <v/>
      </c>
      <c r="AN80" s="10" t="n"/>
    </row>
    <row r="81" ht="60" customHeight="1">
      <c r="A81" s="5" t="n">
        <v>76</v>
      </c>
      <c r="B81" s="5" t="inlineStr">
        <is>
          <t>Self-image and confidence</t>
        </is>
      </c>
      <c r="C81" s="5" t="inlineStr">
        <is>
          <t>Self-serving explanations</t>
        </is>
      </c>
      <c r="D81" s="5" t="inlineStr">
        <is>
          <t>Who gets the credit, and who gets the blame?</t>
        </is>
      </c>
      <c r="E81" s="5" t="inlineStr">
        <is>
          <t>Compare explanations for success and failure.</t>
        </is>
      </c>
      <c r="F81" s="5" t="inlineStr">
        <is>
          <t>Win and loss interview</t>
        </is>
      </c>
      <c r="G81" s="5" t="n">
        <v>45</v>
      </c>
      <c r="H81" s="5" t="inlineStr">
        <is>
          <t>Idea</t>
        </is>
      </c>
      <c r="I81" s="10" t="n">
        <v>49</v>
      </c>
      <c r="J81" s="10" t="inlineStr">
        <is>
          <t>Strong</t>
        </is>
      </c>
      <c r="K81" s="10" t="n"/>
      <c r="L81" s="11" t="n"/>
      <c r="M81" s="5">
        <f>IF(L81="","",TEXT(L81,"ddd"))</f>
        <v/>
      </c>
      <c r="N81" s="10" t="n"/>
      <c r="O81" s="10" t="n"/>
      <c r="P81" s="10" t="n"/>
      <c r="Q81" s="10" t="n"/>
      <c r="R81" s="10" t="n"/>
      <c r="S81" s="12" t="n"/>
      <c r="T81" s="10" t="n"/>
      <c r="U81" s="13">
        <f>IF(OR(T81="",N(O81)=0),"",T81/O81)</f>
        <v/>
      </c>
      <c r="V81" s="10" t="n"/>
      <c r="W81" s="10" t="n"/>
      <c r="X81" s="10" t="n"/>
      <c r="Y81" s="12" t="n"/>
      <c r="Z81" s="10" t="n"/>
      <c r="AA81" s="12" t="n"/>
      <c r="AB81" s="10" t="n"/>
      <c r="AC81" s="14">
        <f>IF(COUNT(S81,Y81,AA81)=0,"",SUM(S81,Y81,AA81))</f>
        <v/>
      </c>
      <c r="AD81" s="13">
        <f>IF(N(AC81)=0,"",SUM(V81,W81,X81,Z81,AB81)/AC81)</f>
        <v/>
      </c>
      <c r="AE81" s="12" t="n"/>
      <c r="AF81" s="12" t="n"/>
      <c r="AG81" s="12" t="n"/>
      <c r="AH81" s="14">
        <f>IF(COUNT(AE81,AF81,AG81)=0,"",SUM(AE81,AF81,AG81))</f>
        <v/>
      </c>
      <c r="AI81" s="12" t="n"/>
      <c r="AJ81" s="12" t="n"/>
      <c r="AK81" s="12" t="n"/>
      <c r="AL81" s="14">
        <f>IF(COUNT(AI81,AJ81,AK81)=0,"",SUM(AI81,AJ81,AK81))</f>
        <v/>
      </c>
      <c r="AM81" s="5">
        <f>IF(N(AC81)=0,"",IF(COUNT($AC$6:$AC$105)&lt;5,"Too early",IF(AC81&gt;=1.5*MEDIAN($AC$6:$AC$105),"Top",IF(AC81&lt;=0.5*MEDIAN($AC$6:$AC$105),"Low","Average"))))</f>
        <v/>
      </c>
      <c r="AN81" s="10" t="n"/>
    </row>
    <row r="82" ht="60" customHeight="1">
      <c r="A82" s="5" t="n">
        <v>77</v>
      </c>
      <c r="B82" s="5" t="inlineStr">
        <is>
          <t>Self-image and confidence</t>
        </is>
      </c>
      <c r="C82" s="5" t="inlineStr">
        <is>
          <t>Confidence versus accuracy</t>
        </is>
      </c>
      <c r="D82" s="5" t="inlineStr">
        <is>
          <t>Does sounding certain make someone correct?</t>
        </is>
      </c>
      <c r="E82" s="5" t="inlineStr">
        <is>
          <t>Show two confident predictions and check their results.</t>
        </is>
      </c>
      <c r="F82" s="5" t="inlineStr">
        <is>
          <t>Prediction scoreboard</t>
        </is>
      </c>
      <c r="G82" s="5" t="n">
        <v>45</v>
      </c>
      <c r="H82" s="5" t="inlineStr">
        <is>
          <t>Idea</t>
        </is>
      </c>
      <c r="I82" s="10" t="n">
        <v>55</v>
      </c>
      <c r="J82" s="10" t="inlineStr">
        <is>
          <t>Strong</t>
        </is>
      </c>
      <c r="K82" s="10" t="n"/>
      <c r="L82" s="11" t="n"/>
      <c r="M82" s="5">
        <f>IF(L82="","",TEXT(L82,"ddd"))</f>
        <v/>
      </c>
      <c r="N82" s="10" t="n"/>
      <c r="O82" s="10" t="n"/>
      <c r="P82" s="10" t="n"/>
      <c r="Q82" s="10" t="n"/>
      <c r="R82" s="10" t="n"/>
      <c r="S82" s="12" t="n"/>
      <c r="T82" s="10" t="n"/>
      <c r="U82" s="13">
        <f>IF(OR(T82="",N(O82)=0),"",T82/O82)</f>
        <v/>
      </c>
      <c r="V82" s="10" t="n"/>
      <c r="W82" s="10" t="n"/>
      <c r="X82" s="10" t="n"/>
      <c r="Y82" s="12" t="n"/>
      <c r="Z82" s="10" t="n"/>
      <c r="AA82" s="12" t="n"/>
      <c r="AB82" s="10" t="n"/>
      <c r="AC82" s="14">
        <f>IF(COUNT(S82,Y82,AA82)=0,"",SUM(S82,Y82,AA82))</f>
        <v/>
      </c>
      <c r="AD82" s="13">
        <f>IF(N(AC82)=0,"",SUM(V82,W82,X82,Z82,AB82)/AC82)</f>
        <v/>
      </c>
      <c r="AE82" s="12" t="n"/>
      <c r="AF82" s="12" t="n"/>
      <c r="AG82" s="12" t="n"/>
      <c r="AH82" s="14">
        <f>IF(COUNT(AE82,AF82,AG82)=0,"",SUM(AE82,AF82,AG82))</f>
        <v/>
      </c>
      <c r="AI82" s="12" t="n"/>
      <c r="AJ82" s="12" t="n"/>
      <c r="AK82" s="12" t="n"/>
      <c r="AL82" s="14">
        <f>IF(COUNT(AI82,AJ82,AK82)=0,"",SUM(AI82,AJ82,AK82))</f>
        <v/>
      </c>
      <c r="AM82" s="5">
        <f>IF(N(AC82)=0,"",IF(COUNT($AC$6:$AC$105)&lt;5,"Too early",IF(AC82&gt;=1.5*MEDIAN($AC$6:$AC$105),"Top",IF(AC82&lt;=0.5*MEDIAN($AC$6:$AC$105),"Low","Average"))))</f>
        <v/>
      </c>
      <c r="AN82" s="10" t="n"/>
    </row>
    <row r="83" ht="60" customHeight="1">
      <c r="A83" s="5" t="n">
        <v>78</v>
      </c>
      <c r="B83" s="5" t="inlineStr">
        <is>
          <t>Self-image and confidence</t>
        </is>
      </c>
      <c r="C83" s="5" t="inlineStr">
        <is>
          <t>Values versus approval</t>
        </is>
      </c>
      <c r="D83" s="5" t="inlineStr">
        <is>
          <t>Would you still choose it if nobody could see it?</t>
        </is>
      </c>
      <c r="E83" s="5" t="inlineStr">
        <is>
          <t>Use a private-choice prompt to explore personal priorities.</t>
        </is>
      </c>
      <c r="F83" s="5" t="inlineStr">
        <is>
          <t>Camera-on versus camera-off choice</t>
        </is>
      </c>
      <c r="G83" s="5" t="n">
        <v>45</v>
      </c>
      <c r="H83" s="5" t="inlineStr">
        <is>
          <t>Idea</t>
        </is>
      </c>
      <c r="I83" s="10" t="n">
        <v>76</v>
      </c>
      <c r="J83" s="10" t="inlineStr">
        <is>
          <t>Weak</t>
        </is>
      </c>
      <c r="K83" s="10" t="n"/>
      <c r="L83" s="11" t="n"/>
      <c r="M83" s="5">
        <f>IF(L83="","",TEXT(L83,"ddd"))</f>
        <v/>
      </c>
      <c r="N83" s="10" t="n"/>
      <c r="O83" s="10" t="n"/>
      <c r="P83" s="10" t="n"/>
      <c r="Q83" s="10" t="n"/>
      <c r="R83" s="10" t="n"/>
      <c r="S83" s="12" t="n"/>
      <c r="T83" s="10" t="n"/>
      <c r="U83" s="13">
        <f>IF(OR(T83="",N(O83)=0),"",T83/O83)</f>
        <v/>
      </c>
      <c r="V83" s="10" t="n"/>
      <c r="W83" s="10" t="n"/>
      <c r="X83" s="10" t="n"/>
      <c r="Y83" s="12" t="n"/>
      <c r="Z83" s="10" t="n"/>
      <c r="AA83" s="12" t="n"/>
      <c r="AB83" s="10" t="n"/>
      <c r="AC83" s="14">
        <f>IF(COUNT(S83,Y83,AA83)=0,"",SUM(S83,Y83,AA83))</f>
        <v/>
      </c>
      <c r="AD83" s="13">
        <f>IF(N(AC83)=0,"",SUM(V83,W83,X83,Z83,AB83)/AC83)</f>
        <v/>
      </c>
      <c r="AE83" s="12" t="n"/>
      <c r="AF83" s="12" t="n"/>
      <c r="AG83" s="12" t="n"/>
      <c r="AH83" s="14">
        <f>IF(COUNT(AE83,AF83,AG83)=0,"",SUM(AE83,AF83,AG83))</f>
        <v/>
      </c>
      <c r="AI83" s="12" t="n"/>
      <c r="AJ83" s="12" t="n"/>
      <c r="AK83" s="12" t="n"/>
      <c r="AL83" s="14">
        <f>IF(COUNT(AI83,AJ83,AK83)=0,"",SUM(AI83,AJ83,AK83))</f>
        <v/>
      </c>
      <c r="AM83" s="5">
        <f>IF(N(AC83)=0,"",IF(COUNT($AC$6:$AC$105)&lt;5,"Too early",IF(AC83&gt;=1.5*MEDIAN($AC$6:$AC$105),"Top",IF(AC83&lt;=0.5*MEDIAN($AC$6:$AC$105),"Low","Average"))))</f>
        <v/>
      </c>
      <c r="AN83" s="10" t="n"/>
    </row>
    <row r="84" ht="60" customHeight="1">
      <c r="A84" s="5" t="n">
        <v>79</v>
      </c>
      <c r="B84" s="5" t="inlineStr">
        <is>
          <t>Self-image and confidence</t>
        </is>
      </c>
      <c r="C84" s="5" t="inlineStr">
        <is>
          <t>Identity and behavior</t>
        </is>
      </c>
      <c r="D84" s="5" t="inlineStr">
        <is>
          <t>What evidence supports the person you're trying to become?</t>
        </is>
      </c>
      <c r="E84" s="5" t="inlineStr">
        <is>
          <t>Connect an identity statement with a small observable action.</t>
        </is>
      </c>
      <c r="F84" s="5" t="inlineStr">
        <is>
          <t>Identity note and action clip</t>
        </is>
      </c>
      <c r="G84" s="5" t="n">
        <v>45</v>
      </c>
      <c r="H84" s="5" t="inlineStr">
        <is>
          <t>Idea</t>
        </is>
      </c>
      <c r="I84" s="10" t="n">
        <v>83</v>
      </c>
      <c r="J84" s="10" t="inlineStr">
        <is>
          <t>Weak</t>
        </is>
      </c>
      <c r="K84" s="10" t="n"/>
      <c r="L84" s="11" t="n"/>
      <c r="M84" s="5">
        <f>IF(L84="","",TEXT(L84,"ddd"))</f>
        <v/>
      </c>
      <c r="N84" s="10" t="n"/>
      <c r="O84" s="10" t="n"/>
      <c r="P84" s="10" t="n"/>
      <c r="Q84" s="10" t="n"/>
      <c r="R84" s="10" t="n"/>
      <c r="S84" s="12" t="n"/>
      <c r="T84" s="10" t="n"/>
      <c r="U84" s="13">
        <f>IF(OR(T84="",N(O84)=0),"",T84/O84)</f>
        <v/>
      </c>
      <c r="V84" s="10" t="n"/>
      <c r="W84" s="10" t="n"/>
      <c r="X84" s="10" t="n"/>
      <c r="Y84" s="12" t="n"/>
      <c r="Z84" s="10" t="n"/>
      <c r="AA84" s="12" t="n"/>
      <c r="AB84" s="10" t="n"/>
      <c r="AC84" s="14">
        <f>IF(COUNT(S84,Y84,AA84)=0,"",SUM(S84,Y84,AA84))</f>
        <v/>
      </c>
      <c r="AD84" s="13">
        <f>IF(N(AC84)=0,"",SUM(V84,W84,X84,Z84,AB84)/AC84)</f>
        <v/>
      </c>
      <c r="AE84" s="12" t="n"/>
      <c r="AF84" s="12" t="n"/>
      <c r="AG84" s="12" t="n"/>
      <c r="AH84" s="14">
        <f>IF(COUNT(AE84,AF84,AG84)=0,"",SUM(AE84,AF84,AG84))</f>
        <v/>
      </c>
      <c r="AI84" s="12" t="n"/>
      <c r="AJ84" s="12" t="n"/>
      <c r="AK84" s="12" t="n"/>
      <c r="AL84" s="14">
        <f>IF(COUNT(AI84,AJ84,AK84)=0,"",SUM(AI84,AJ84,AK84))</f>
        <v/>
      </c>
      <c r="AM84" s="5">
        <f>IF(N(AC84)=0,"",IF(COUNT($AC$6:$AC$105)&lt;5,"Too early",IF(AC84&gt;=1.5*MEDIAN($AC$6:$AC$105),"Top",IF(AC84&lt;=0.5*MEDIAN($AC$6:$AC$105),"Low","Average"))))</f>
        <v/>
      </c>
      <c r="AN84" s="10" t="n"/>
    </row>
    <row r="85" ht="60" customHeight="1">
      <c r="A85" s="5" t="n">
        <v>80</v>
      </c>
      <c r="B85" s="5" t="inlineStr">
        <is>
          <t>Self-image and confidence</t>
        </is>
      </c>
      <c r="C85" s="5" t="inlineStr">
        <is>
          <t>The illusion of transparency</t>
        </is>
      </c>
      <c r="D85" s="5" t="inlineStr">
        <is>
          <t>Can others tell exactly how nervous you are?</t>
        </is>
      </c>
      <c r="E85" s="5" t="inlineStr">
        <is>
          <t>Compare an internal nervousness rating with an observer's impression.</t>
        </is>
      </c>
      <c r="F85" s="5" t="inlineStr">
        <is>
          <t>Inside versus outside view</t>
        </is>
      </c>
      <c r="G85" s="5" t="n">
        <v>45</v>
      </c>
      <c r="H85" s="5" t="inlineStr">
        <is>
          <t>Idea</t>
        </is>
      </c>
      <c r="I85" s="10" t="n">
        <v>61</v>
      </c>
      <c r="J85" s="10" t="inlineStr">
        <is>
          <t>Strong</t>
        </is>
      </c>
      <c r="K85" s="10" t="n"/>
      <c r="L85" s="11" t="n"/>
      <c r="M85" s="5">
        <f>IF(L85="","",TEXT(L85,"ddd"))</f>
        <v/>
      </c>
      <c r="N85" s="10" t="n"/>
      <c r="O85" s="10" t="n"/>
      <c r="P85" s="10" t="n"/>
      <c r="Q85" s="10" t="n"/>
      <c r="R85" s="10" t="n"/>
      <c r="S85" s="12" t="n"/>
      <c r="T85" s="10" t="n"/>
      <c r="U85" s="13">
        <f>IF(OR(T85="",N(O85)=0),"",T85/O85)</f>
        <v/>
      </c>
      <c r="V85" s="10" t="n"/>
      <c r="W85" s="10" t="n"/>
      <c r="X85" s="10" t="n"/>
      <c r="Y85" s="12" t="n"/>
      <c r="Z85" s="10" t="n"/>
      <c r="AA85" s="12" t="n"/>
      <c r="AB85" s="10" t="n"/>
      <c r="AC85" s="14">
        <f>IF(COUNT(S85,Y85,AA85)=0,"",SUM(S85,Y85,AA85))</f>
        <v/>
      </c>
      <c r="AD85" s="13">
        <f>IF(N(AC85)=0,"",SUM(V85,W85,X85,Z85,AB85)/AC85)</f>
        <v/>
      </c>
      <c r="AE85" s="12" t="n"/>
      <c r="AF85" s="12" t="n"/>
      <c r="AG85" s="12" t="n"/>
      <c r="AH85" s="14">
        <f>IF(COUNT(AE85,AF85,AG85)=0,"",SUM(AE85,AF85,AG85))</f>
        <v/>
      </c>
      <c r="AI85" s="12" t="n"/>
      <c r="AJ85" s="12" t="n"/>
      <c r="AK85" s="12" t="n"/>
      <c r="AL85" s="14">
        <f>IF(COUNT(AI85,AJ85,AK85)=0,"",SUM(AI85,AJ85,AK85))</f>
        <v/>
      </c>
      <c r="AM85" s="5">
        <f>IF(N(AC85)=0,"",IF(COUNT($AC$6:$AC$105)&lt;5,"Too early",IF(AC85&gt;=1.5*MEDIAN($AC$6:$AC$105),"Top",IF(AC85&lt;=0.5*MEDIAN($AC$6:$AC$105),"Low","Average"))))</f>
        <v/>
      </c>
      <c r="AN85" s="10" t="n"/>
    </row>
    <row r="86" ht="60" customHeight="1">
      <c r="A86" s="5" t="n">
        <v>81</v>
      </c>
      <c r="B86" s="5" t="inlineStr">
        <is>
          <t>Digital life and consumer behavior</t>
        </is>
      </c>
      <c r="C86" s="5" t="inlineStr">
        <is>
          <t>Infinite scroll</t>
        </is>
      </c>
      <c r="D86" s="5" t="inlineStr">
        <is>
          <t>Where is the natural stopping point?</t>
        </is>
      </c>
      <c r="E86" s="5" t="inlineStr">
        <is>
          <t>Compare a page ending with a continuously refreshing feed.</t>
        </is>
      </c>
      <c r="F86" s="5" t="inlineStr">
        <is>
          <t>Original scrolling mockup</t>
        </is>
      </c>
      <c r="G86" s="5" t="n">
        <v>45</v>
      </c>
      <c r="H86" s="5" t="inlineStr">
        <is>
          <t>Idea</t>
        </is>
      </c>
      <c r="I86" s="10" t="n">
        <v>77</v>
      </c>
      <c r="J86" s="10" t="inlineStr">
        <is>
          <t>Weak</t>
        </is>
      </c>
      <c r="K86" s="10" t="n"/>
      <c r="L86" s="11" t="n"/>
      <c r="M86" s="5">
        <f>IF(L86="","",TEXT(L86,"ddd"))</f>
        <v/>
      </c>
      <c r="N86" s="10" t="n"/>
      <c r="O86" s="10" t="n"/>
      <c r="P86" s="10" t="n"/>
      <c r="Q86" s="10" t="n"/>
      <c r="R86" s="10" t="n"/>
      <c r="S86" s="12" t="n"/>
      <c r="T86" s="10" t="n"/>
      <c r="U86" s="13">
        <f>IF(OR(T86="",N(O86)=0),"",T86/O86)</f>
        <v/>
      </c>
      <c r="V86" s="10" t="n"/>
      <c r="W86" s="10" t="n"/>
      <c r="X86" s="10" t="n"/>
      <c r="Y86" s="12" t="n"/>
      <c r="Z86" s="10" t="n"/>
      <c r="AA86" s="12" t="n"/>
      <c r="AB86" s="10" t="n"/>
      <c r="AC86" s="14">
        <f>IF(COUNT(S86,Y86,AA86)=0,"",SUM(S86,Y86,AA86))</f>
        <v/>
      </c>
      <c r="AD86" s="13">
        <f>IF(N(AC86)=0,"",SUM(V86,W86,X86,Z86,AB86)/AC86)</f>
        <v/>
      </c>
      <c r="AE86" s="12" t="n"/>
      <c r="AF86" s="12" t="n"/>
      <c r="AG86" s="12" t="n"/>
      <c r="AH86" s="14">
        <f>IF(COUNT(AE86,AF86,AG86)=0,"",SUM(AE86,AF86,AG86))</f>
        <v/>
      </c>
      <c r="AI86" s="12" t="n"/>
      <c r="AJ86" s="12" t="n"/>
      <c r="AK86" s="12" t="n"/>
      <c r="AL86" s="14">
        <f>IF(COUNT(AI86,AJ86,AK86)=0,"",SUM(AI86,AJ86,AK86))</f>
        <v/>
      </c>
      <c r="AM86" s="5">
        <f>IF(N(AC86)=0,"",IF(COUNT($AC$6:$AC$105)&lt;5,"Too early",IF(AC86&gt;=1.5*MEDIAN($AC$6:$AC$105),"Top",IF(AC86&lt;=0.5*MEDIAN($AC$6:$AC$105),"Low","Average"))))</f>
        <v/>
      </c>
      <c r="AN86" s="10" t="n"/>
    </row>
    <row r="87" ht="60" customHeight="1">
      <c r="A87" s="5" t="n">
        <v>82</v>
      </c>
      <c r="B87" s="5" t="inlineStr">
        <is>
          <t>Digital life and consumer behavior</t>
        </is>
      </c>
      <c r="C87" s="5" t="inlineStr">
        <is>
          <t>Variable rewards online</t>
        </is>
      </c>
      <c r="D87" s="5" t="inlineStr">
        <is>
          <t>Why might the next swipe feel tempting?</t>
        </is>
      </c>
      <c r="E87" s="5" t="inlineStr">
        <is>
          <t>Discuss uncertain outcomes as one possible engagement mechanism.</t>
        </is>
      </c>
      <c r="F87" s="5" t="inlineStr">
        <is>
          <t>Swipe and changing content cards</t>
        </is>
      </c>
      <c r="G87" s="5" t="n">
        <v>45</v>
      </c>
      <c r="H87" s="5" t="inlineStr">
        <is>
          <t>Idea</t>
        </is>
      </c>
      <c r="I87" s="10" t="n">
        <v>9</v>
      </c>
      <c r="J87" s="10" t="inlineStr">
        <is>
          <t>Strong</t>
        </is>
      </c>
      <c r="K87" s="10" t="n"/>
      <c r="L87" s="11" t="n"/>
      <c r="M87" s="5">
        <f>IF(L87="","",TEXT(L87,"ddd"))</f>
        <v/>
      </c>
      <c r="N87" s="10" t="n"/>
      <c r="O87" s="10" t="n"/>
      <c r="P87" s="10" t="n"/>
      <c r="Q87" s="10" t="n"/>
      <c r="R87" s="10" t="n"/>
      <c r="S87" s="12" t="n"/>
      <c r="T87" s="10" t="n"/>
      <c r="U87" s="13">
        <f>IF(OR(T87="",N(O87)=0),"",T87/O87)</f>
        <v/>
      </c>
      <c r="V87" s="10" t="n"/>
      <c r="W87" s="10" t="n"/>
      <c r="X87" s="10" t="n"/>
      <c r="Y87" s="12" t="n"/>
      <c r="Z87" s="10" t="n"/>
      <c r="AA87" s="12" t="n"/>
      <c r="AB87" s="10" t="n"/>
      <c r="AC87" s="14">
        <f>IF(COUNT(S87,Y87,AA87)=0,"",SUM(S87,Y87,AA87))</f>
        <v/>
      </c>
      <c r="AD87" s="13">
        <f>IF(N(AC87)=0,"",SUM(V87,W87,X87,Z87,AB87)/AC87)</f>
        <v/>
      </c>
      <c r="AE87" s="12" t="n"/>
      <c r="AF87" s="12" t="n"/>
      <c r="AG87" s="12" t="n"/>
      <c r="AH87" s="14">
        <f>IF(COUNT(AE87,AF87,AG87)=0,"",SUM(AE87,AF87,AG87))</f>
        <v/>
      </c>
      <c r="AI87" s="12" t="n"/>
      <c r="AJ87" s="12" t="n"/>
      <c r="AK87" s="12" t="n"/>
      <c r="AL87" s="14">
        <f>IF(COUNT(AI87,AJ87,AK87)=0,"",SUM(AI87,AJ87,AK87))</f>
        <v/>
      </c>
      <c r="AM87" s="5">
        <f>IF(N(AC87)=0,"",IF(COUNT($AC$6:$AC$105)&lt;5,"Too early",IF(AC87&gt;=1.5*MEDIAN($AC$6:$AC$105),"Top",IF(AC87&lt;=0.5*MEDIAN($AC$6:$AC$105),"Low","Average"))))</f>
        <v/>
      </c>
      <c r="AN87" s="10" t="n"/>
    </row>
    <row r="88" ht="60" customHeight="1">
      <c r="A88" s="5" t="n">
        <v>83</v>
      </c>
      <c r="B88" s="5" t="inlineStr">
        <is>
          <t>Digital life and consumer behavior</t>
        </is>
      </c>
      <c r="C88" s="5" t="inlineStr">
        <is>
          <t>Likes and feedback</t>
        </is>
      </c>
      <c r="D88" s="5" t="inlineStr">
        <is>
          <t>Would you post it if likes were hidden?</t>
        </is>
      </c>
      <c r="E88" s="5" t="inlineStr">
        <is>
          <t>Explore social feedback without reducing behavior to one brain chemical.</t>
        </is>
      </c>
      <c r="F88" s="5" t="inlineStr">
        <is>
          <t>Visible versus hidden like counts</t>
        </is>
      </c>
      <c r="G88" s="5" t="n">
        <v>45</v>
      </c>
      <c r="H88" s="5" t="inlineStr">
        <is>
          <t>Idea</t>
        </is>
      </c>
      <c r="I88" s="10" t="n">
        <v>19</v>
      </c>
      <c r="J88" s="10" t="inlineStr">
        <is>
          <t>Strong</t>
        </is>
      </c>
      <c r="K88" s="10" t="n"/>
      <c r="L88" s="11" t="n"/>
      <c r="M88" s="5">
        <f>IF(L88="","",TEXT(L88,"ddd"))</f>
        <v/>
      </c>
      <c r="N88" s="10" t="n"/>
      <c r="O88" s="10" t="n"/>
      <c r="P88" s="10" t="n"/>
      <c r="Q88" s="10" t="n"/>
      <c r="R88" s="10" t="n"/>
      <c r="S88" s="12" t="n"/>
      <c r="T88" s="10" t="n"/>
      <c r="U88" s="13">
        <f>IF(OR(T88="",N(O88)=0),"",T88/O88)</f>
        <v/>
      </c>
      <c r="V88" s="10" t="n"/>
      <c r="W88" s="10" t="n"/>
      <c r="X88" s="10" t="n"/>
      <c r="Y88" s="12" t="n"/>
      <c r="Z88" s="10" t="n"/>
      <c r="AA88" s="12" t="n"/>
      <c r="AB88" s="10" t="n"/>
      <c r="AC88" s="14">
        <f>IF(COUNT(S88,Y88,AA88)=0,"",SUM(S88,Y88,AA88))</f>
        <v/>
      </c>
      <c r="AD88" s="13">
        <f>IF(N(AC88)=0,"",SUM(V88,W88,X88,Z88,AB88)/AC88)</f>
        <v/>
      </c>
      <c r="AE88" s="12" t="n"/>
      <c r="AF88" s="12" t="n"/>
      <c r="AG88" s="12" t="n"/>
      <c r="AH88" s="14">
        <f>IF(COUNT(AE88,AF88,AG88)=0,"",SUM(AE88,AF88,AG88))</f>
        <v/>
      </c>
      <c r="AI88" s="12" t="n"/>
      <c r="AJ88" s="12" t="n"/>
      <c r="AK88" s="12" t="n"/>
      <c r="AL88" s="14">
        <f>IF(COUNT(AI88,AJ88,AK88)=0,"",SUM(AI88,AJ88,AK88))</f>
        <v/>
      </c>
      <c r="AM88" s="5">
        <f>IF(N(AC88)=0,"",IF(COUNT($AC$6:$AC$105)&lt;5,"Too early",IF(AC88&gt;=1.5*MEDIAN($AC$6:$AC$105),"Top",IF(AC88&lt;=0.5*MEDIAN($AC$6:$AC$105),"Low","Average"))))</f>
        <v/>
      </c>
      <c r="AN88" s="10" t="n"/>
    </row>
    <row r="89" ht="60" customHeight="1">
      <c r="A89" s="5" t="n">
        <v>84</v>
      </c>
      <c r="B89" s="5" t="inlineStr">
        <is>
          <t>Digital life and consumer behavior</t>
        </is>
      </c>
      <c r="C89" s="5" t="inlineStr">
        <is>
          <t>Curated-feed comparisons</t>
        </is>
      </c>
      <c r="D89" s="5" t="inlineStr">
        <is>
          <t>Are you comparing a whole day with someone's highlight?</t>
        </is>
      </c>
      <c r="E89" s="5" t="inlineStr">
        <is>
          <t>Show what a polished post leaves outside the frame.</t>
        </is>
      </c>
      <c r="F89" s="5" t="inlineStr">
        <is>
          <t>Photo frame and backstage scene</t>
        </is>
      </c>
      <c r="G89" s="5" t="n">
        <v>45</v>
      </c>
      <c r="H89" s="5" t="inlineStr">
        <is>
          <t>Idea</t>
        </is>
      </c>
      <c r="I89" s="10" t="n">
        <v>28</v>
      </c>
      <c r="J89" s="10" t="inlineStr">
        <is>
          <t>Strong</t>
        </is>
      </c>
      <c r="K89" s="10" t="n"/>
      <c r="L89" s="11" t="n"/>
      <c r="M89" s="5">
        <f>IF(L89="","",TEXT(L89,"ddd"))</f>
        <v/>
      </c>
      <c r="N89" s="10" t="n"/>
      <c r="O89" s="10" t="n"/>
      <c r="P89" s="10" t="n"/>
      <c r="Q89" s="10" t="n"/>
      <c r="R89" s="10" t="n"/>
      <c r="S89" s="12" t="n"/>
      <c r="T89" s="10" t="n"/>
      <c r="U89" s="13">
        <f>IF(OR(T89="",N(O89)=0),"",T89/O89)</f>
        <v/>
      </c>
      <c r="V89" s="10" t="n"/>
      <c r="W89" s="10" t="n"/>
      <c r="X89" s="10" t="n"/>
      <c r="Y89" s="12" t="n"/>
      <c r="Z89" s="10" t="n"/>
      <c r="AA89" s="12" t="n"/>
      <c r="AB89" s="10" t="n"/>
      <c r="AC89" s="14">
        <f>IF(COUNT(S89,Y89,AA89)=0,"",SUM(S89,Y89,AA89))</f>
        <v/>
      </c>
      <c r="AD89" s="13">
        <f>IF(N(AC89)=0,"",SUM(V89,W89,X89,Z89,AB89)/AC89)</f>
        <v/>
      </c>
      <c r="AE89" s="12" t="n"/>
      <c r="AF89" s="12" t="n"/>
      <c r="AG89" s="12" t="n"/>
      <c r="AH89" s="14">
        <f>IF(COUNT(AE89,AF89,AG89)=0,"",SUM(AE89,AF89,AG89))</f>
        <v/>
      </c>
      <c r="AI89" s="12" t="n"/>
      <c r="AJ89" s="12" t="n"/>
      <c r="AK89" s="12" t="n"/>
      <c r="AL89" s="14">
        <f>IF(COUNT(AI89,AJ89,AK89)=0,"",SUM(AI89,AJ89,AK89))</f>
        <v/>
      </c>
      <c r="AM89" s="5">
        <f>IF(N(AC89)=0,"",IF(COUNT($AC$6:$AC$105)&lt;5,"Too early",IF(AC89&gt;=1.5*MEDIAN($AC$6:$AC$105),"Top",IF(AC89&lt;=0.5*MEDIAN($AC$6:$AC$105),"Low","Average"))))</f>
        <v/>
      </c>
      <c r="AN89" s="10" t="n"/>
    </row>
    <row r="90" ht="60" customHeight="1">
      <c r="A90" s="5" t="n">
        <v>85</v>
      </c>
      <c r="B90" s="5" t="inlineStr">
        <is>
          <t>Digital life and consumer behavior</t>
        </is>
      </c>
      <c r="C90" s="5" t="inlineStr">
        <is>
          <t>Fear of missing out</t>
        </is>
      </c>
      <c r="D90" s="5" t="inlineStr">
        <is>
          <t>What do you imagine happening while you're offline?</t>
        </is>
      </c>
      <c r="E90" s="5" t="inlineStr">
        <is>
          <t>Explore imagined exclusion and tradeoffs in attention.</t>
        </is>
      </c>
      <c r="F90" s="5" t="inlineStr">
        <is>
          <t>Phone beside real-life activity</t>
        </is>
      </c>
      <c r="G90" s="5" t="n">
        <v>45</v>
      </c>
      <c r="H90" s="5" t="inlineStr">
        <is>
          <t>Idea</t>
        </is>
      </c>
      <c r="I90" s="10" t="n">
        <v>36</v>
      </c>
      <c r="J90" s="10" t="inlineStr">
        <is>
          <t>Strong</t>
        </is>
      </c>
      <c r="K90" s="10" t="n"/>
      <c r="L90" s="11" t="n"/>
      <c r="M90" s="5">
        <f>IF(L90="","",TEXT(L90,"ddd"))</f>
        <v/>
      </c>
      <c r="N90" s="10" t="n"/>
      <c r="O90" s="10" t="n"/>
      <c r="P90" s="10" t="n"/>
      <c r="Q90" s="10" t="n"/>
      <c r="R90" s="10" t="n"/>
      <c r="S90" s="12" t="n"/>
      <c r="T90" s="10" t="n"/>
      <c r="U90" s="13">
        <f>IF(OR(T90="",N(O90)=0),"",T90/O90)</f>
        <v/>
      </c>
      <c r="V90" s="10" t="n"/>
      <c r="W90" s="10" t="n"/>
      <c r="X90" s="10" t="n"/>
      <c r="Y90" s="12" t="n"/>
      <c r="Z90" s="10" t="n"/>
      <c r="AA90" s="12" t="n"/>
      <c r="AB90" s="10" t="n"/>
      <c r="AC90" s="14">
        <f>IF(COUNT(S90,Y90,AA90)=0,"",SUM(S90,Y90,AA90))</f>
        <v/>
      </c>
      <c r="AD90" s="13">
        <f>IF(N(AC90)=0,"",SUM(V90,W90,X90,Z90,AB90)/AC90)</f>
        <v/>
      </c>
      <c r="AE90" s="12" t="n"/>
      <c r="AF90" s="12" t="n"/>
      <c r="AG90" s="12" t="n"/>
      <c r="AH90" s="14">
        <f>IF(COUNT(AE90,AF90,AG90)=0,"",SUM(AE90,AF90,AG90))</f>
        <v/>
      </c>
      <c r="AI90" s="12" t="n"/>
      <c r="AJ90" s="12" t="n"/>
      <c r="AK90" s="12" t="n"/>
      <c r="AL90" s="14">
        <f>IF(COUNT(AI90,AJ90,AK90)=0,"",SUM(AI90,AJ90,AK90))</f>
        <v/>
      </c>
      <c r="AM90" s="5">
        <f>IF(N(AC90)=0,"",IF(COUNT($AC$6:$AC$105)&lt;5,"Too early",IF(AC90&gt;=1.5*MEDIAN($AC$6:$AC$105),"Top",IF(AC90&lt;=0.5*MEDIAN($AC$6:$AC$105),"Low","Average"))))</f>
        <v/>
      </c>
      <c r="AN90" s="10" t="n"/>
    </row>
    <row r="91" ht="60" customHeight="1">
      <c r="A91" s="5" t="n">
        <v>86</v>
      </c>
      <c r="B91" s="5" t="inlineStr">
        <is>
          <t>Digital life and consumer behavior</t>
        </is>
      </c>
      <c r="C91" s="5" t="inlineStr">
        <is>
          <t>Loss-aversion marketing</t>
        </is>
      </c>
      <c r="D91" s="5" t="inlineStr">
        <is>
          <t>Why does 'don't miss out' feel different from 'you could gain'?</t>
        </is>
      </c>
      <c r="E91" s="5" t="inlineStr">
        <is>
          <t>Compare loss and gain language without claiming everyone responds alike.</t>
        </is>
      </c>
      <c r="F91" s="5" t="inlineStr">
        <is>
          <t>Two promotional cards</t>
        </is>
      </c>
      <c r="G91" s="5" t="n">
        <v>45</v>
      </c>
      <c r="H91" s="5" t="inlineStr">
        <is>
          <t>Idea</t>
        </is>
      </c>
      <c r="I91" s="10" t="n">
        <v>43</v>
      </c>
      <c r="J91" s="10" t="inlineStr">
        <is>
          <t>Strong</t>
        </is>
      </c>
      <c r="K91" s="10" t="n"/>
      <c r="L91" s="11" t="n"/>
      <c r="M91" s="5">
        <f>IF(L91="","",TEXT(L91,"ddd"))</f>
        <v/>
      </c>
      <c r="N91" s="10" t="n"/>
      <c r="O91" s="10" t="n"/>
      <c r="P91" s="10" t="n"/>
      <c r="Q91" s="10" t="n"/>
      <c r="R91" s="10" t="n"/>
      <c r="S91" s="12" t="n"/>
      <c r="T91" s="10" t="n"/>
      <c r="U91" s="13">
        <f>IF(OR(T91="",N(O91)=0),"",T91/O91)</f>
        <v/>
      </c>
      <c r="V91" s="10" t="n"/>
      <c r="W91" s="10" t="n"/>
      <c r="X91" s="10" t="n"/>
      <c r="Y91" s="12" t="n"/>
      <c r="Z91" s="10" t="n"/>
      <c r="AA91" s="12" t="n"/>
      <c r="AB91" s="10" t="n"/>
      <c r="AC91" s="14">
        <f>IF(COUNT(S91,Y91,AA91)=0,"",SUM(S91,Y91,AA91))</f>
        <v/>
      </c>
      <c r="AD91" s="13">
        <f>IF(N(AC91)=0,"",SUM(V91,W91,X91,Z91,AB91)/AC91)</f>
        <v/>
      </c>
      <c r="AE91" s="12" t="n"/>
      <c r="AF91" s="12" t="n"/>
      <c r="AG91" s="12" t="n"/>
      <c r="AH91" s="14">
        <f>IF(COUNT(AE91,AF91,AG91)=0,"",SUM(AE91,AF91,AG91))</f>
        <v/>
      </c>
      <c r="AI91" s="12" t="n"/>
      <c r="AJ91" s="12" t="n"/>
      <c r="AK91" s="12" t="n"/>
      <c r="AL91" s="14">
        <f>IF(COUNT(AI91,AJ91,AK91)=0,"",SUM(AI91,AJ91,AK91))</f>
        <v/>
      </c>
      <c r="AM91" s="5">
        <f>IF(N(AC91)=0,"",IF(COUNT($AC$6:$AC$105)&lt;5,"Too early",IF(AC91&gt;=1.5*MEDIAN($AC$6:$AC$105),"Top",IF(AC91&lt;=0.5*MEDIAN($AC$6:$AC$105),"Low","Average"))))</f>
        <v/>
      </c>
      <c r="AN91" s="10" t="n"/>
    </row>
    <row r="92" ht="60" customHeight="1">
      <c r="A92" s="5" t="n">
        <v>87</v>
      </c>
      <c r="B92" s="5" t="inlineStr">
        <is>
          <t>Digital life and consumer behavior</t>
        </is>
      </c>
      <c r="C92" s="5" t="inlineStr">
        <is>
          <t>Scarcity cues</t>
        </is>
      </c>
      <c r="D92" s="5" t="inlineStr">
        <is>
          <t>Would you want it as much without 'only two left'?</t>
        </is>
      </c>
      <c r="E92" s="5" t="inlineStr">
        <is>
          <t>Examine urgency cues and distinguish real from manufactured scarcity.</t>
        </is>
      </c>
      <c r="F92" s="5" t="inlineStr">
        <is>
          <t>Mock stock counter</t>
        </is>
      </c>
      <c r="G92" s="5" t="n">
        <v>45</v>
      </c>
      <c r="H92" s="5" t="inlineStr">
        <is>
          <t>Idea</t>
        </is>
      </c>
      <c r="I92" s="10" t="n">
        <v>50</v>
      </c>
      <c r="J92" s="10" t="inlineStr">
        <is>
          <t>Strong</t>
        </is>
      </c>
      <c r="K92" s="10" t="n"/>
      <c r="L92" s="11" t="n"/>
      <c r="M92" s="5">
        <f>IF(L92="","",TEXT(L92,"ddd"))</f>
        <v/>
      </c>
      <c r="N92" s="10" t="n"/>
      <c r="O92" s="10" t="n"/>
      <c r="P92" s="10" t="n"/>
      <c r="Q92" s="10" t="n"/>
      <c r="R92" s="10" t="n"/>
      <c r="S92" s="12" t="n"/>
      <c r="T92" s="10" t="n"/>
      <c r="U92" s="13">
        <f>IF(OR(T92="",N(O92)=0),"",T92/O92)</f>
        <v/>
      </c>
      <c r="V92" s="10" t="n"/>
      <c r="W92" s="10" t="n"/>
      <c r="X92" s="10" t="n"/>
      <c r="Y92" s="12" t="n"/>
      <c r="Z92" s="10" t="n"/>
      <c r="AA92" s="12" t="n"/>
      <c r="AB92" s="10" t="n"/>
      <c r="AC92" s="14">
        <f>IF(COUNT(S92,Y92,AA92)=0,"",SUM(S92,Y92,AA92))</f>
        <v/>
      </c>
      <c r="AD92" s="13">
        <f>IF(N(AC92)=0,"",SUM(V92,W92,X92,Z92,AB92)/AC92)</f>
        <v/>
      </c>
      <c r="AE92" s="12" t="n"/>
      <c r="AF92" s="12" t="n"/>
      <c r="AG92" s="12" t="n"/>
      <c r="AH92" s="14">
        <f>IF(COUNT(AE92,AF92,AG92)=0,"",SUM(AE92,AF92,AG92))</f>
        <v/>
      </c>
      <c r="AI92" s="12" t="n"/>
      <c r="AJ92" s="12" t="n"/>
      <c r="AK92" s="12" t="n"/>
      <c r="AL92" s="14">
        <f>IF(COUNT(AI92,AJ92,AK92)=0,"",SUM(AI92,AJ92,AK92))</f>
        <v/>
      </c>
      <c r="AM92" s="5">
        <f>IF(N(AC92)=0,"",IF(COUNT($AC$6:$AC$105)&lt;5,"Too early",IF(AC92&gt;=1.5*MEDIAN($AC$6:$AC$105),"Top",IF(AC92&lt;=0.5*MEDIAN($AC$6:$AC$105),"Low","Average"))))</f>
        <v/>
      </c>
      <c r="AN92" s="10" t="n"/>
    </row>
    <row r="93" ht="60" customHeight="1">
      <c r="A93" s="5" t="n">
        <v>88</v>
      </c>
      <c r="B93" s="5" t="inlineStr">
        <is>
          <t>Digital life and consumer behavior</t>
        </is>
      </c>
      <c r="C93" s="5" t="inlineStr">
        <is>
          <t>The decoy effect</t>
        </is>
      </c>
      <c r="D93" s="5" t="inlineStr">
        <is>
          <t>Can a third option change which deal looks best?</t>
        </is>
      </c>
      <c r="E93" s="5" t="inlineStr">
        <is>
          <t>Present two subscription choices and then add a decoy.</t>
        </is>
      </c>
      <c r="F93" s="5" t="inlineStr">
        <is>
          <t>Three pricing cards</t>
        </is>
      </c>
      <c r="G93" s="5" t="n">
        <v>45</v>
      </c>
      <c r="H93" s="5" t="inlineStr">
        <is>
          <t>Idea</t>
        </is>
      </c>
      <c r="I93" s="10" t="n">
        <v>56</v>
      </c>
      <c r="J93" s="10" t="inlineStr">
        <is>
          <t>Strong</t>
        </is>
      </c>
      <c r="K93" s="10" t="n"/>
      <c r="L93" s="11" t="n"/>
      <c r="M93" s="5">
        <f>IF(L93="","",TEXT(L93,"ddd"))</f>
        <v/>
      </c>
      <c r="N93" s="10" t="n"/>
      <c r="O93" s="10" t="n"/>
      <c r="P93" s="10" t="n"/>
      <c r="Q93" s="10" t="n"/>
      <c r="R93" s="10" t="n"/>
      <c r="S93" s="12" t="n"/>
      <c r="T93" s="10" t="n"/>
      <c r="U93" s="13">
        <f>IF(OR(T93="",N(O93)=0),"",T93/O93)</f>
        <v/>
      </c>
      <c r="V93" s="10" t="n"/>
      <c r="W93" s="10" t="n"/>
      <c r="X93" s="10" t="n"/>
      <c r="Y93" s="12" t="n"/>
      <c r="Z93" s="10" t="n"/>
      <c r="AA93" s="12" t="n"/>
      <c r="AB93" s="10" t="n"/>
      <c r="AC93" s="14">
        <f>IF(COUNT(S93,Y93,AA93)=0,"",SUM(S93,Y93,AA93))</f>
        <v/>
      </c>
      <c r="AD93" s="13">
        <f>IF(N(AC93)=0,"",SUM(V93,W93,X93,Z93,AB93)/AC93)</f>
        <v/>
      </c>
      <c r="AE93" s="12" t="n"/>
      <c r="AF93" s="12" t="n"/>
      <c r="AG93" s="12" t="n"/>
      <c r="AH93" s="14">
        <f>IF(COUNT(AE93,AF93,AG93)=0,"",SUM(AE93,AF93,AG93))</f>
        <v/>
      </c>
      <c r="AI93" s="12" t="n"/>
      <c r="AJ93" s="12" t="n"/>
      <c r="AK93" s="12" t="n"/>
      <c r="AL93" s="14">
        <f>IF(COUNT(AI93,AJ93,AK93)=0,"",SUM(AI93,AJ93,AK93))</f>
        <v/>
      </c>
      <c r="AM93" s="5">
        <f>IF(N(AC93)=0,"",IF(COUNT($AC$6:$AC$105)&lt;5,"Too early",IF(AC93&gt;=1.5*MEDIAN($AC$6:$AC$105),"Top",IF(AC93&lt;=0.5*MEDIAN($AC$6:$AC$105),"Low","Average"))))</f>
        <v/>
      </c>
      <c r="AN93" s="10" t="n"/>
    </row>
    <row r="94" ht="60" customHeight="1">
      <c r="A94" s="5" t="n">
        <v>89</v>
      </c>
      <c r="B94" s="5" t="inlineStr">
        <is>
          <t>Digital life and consumer behavior</t>
        </is>
      </c>
      <c r="C94" s="5" t="inlineStr">
        <is>
          <t>Mental accounting</t>
        </is>
      </c>
      <c r="D94" s="5" t="inlineStr">
        <is>
          <t>Why does a gift card feel different from cash?</t>
        </is>
      </c>
      <c r="E94" s="5" t="inlineStr">
        <is>
          <t>Compare decisions involving money labeled for different purposes.</t>
        </is>
      </c>
      <c r="F94" s="5" t="inlineStr">
        <is>
          <t>Two budget envelopes</t>
        </is>
      </c>
      <c r="G94" s="5" t="n">
        <v>45</v>
      </c>
      <c r="H94" s="5" t="inlineStr">
        <is>
          <t>Idea</t>
        </is>
      </c>
      <c r="I94" s="10" t="n">
        <v>62</v>
      </c>
      <c r="J94" s="10" t="inlineStr">
        <is>
          <t>Strong</t>
        </is>
      </c>
      <c r="K94" s="10" t="n"/>
      <c r="L94" s="11" t="n"/>
      <c r="M94" s="5">
        <f>IF(L94="","",TEXT(L94,"ddd"))</f>
        <v/>
      </c>
      <c r="N94" s="10" t="n"/>
      <c r="O94" s="10" t="n"/>
      <c r="P94" s="10" t="n"/>
      <c r="Q94" s="10" t="n"/>
      <c r="R94" s="10" t="n"/>
      <c r="S94" s="12" t="n"/>
      <c r="T94" s="10" t="n"/>
      <c r="U94" s="13">
        <f>IF(OR(T94="",N(O94)=0),"",T94/O94)</f>
        <v/>
      </c>
      <c r="V94" s="10" t="n"/>
      <c r="W94" s="10" t="n"/>
      <c r="X94" s="10" t="n"/>
      <c r="Y94" s="12" t="n"/>
      <c r="Z94" s="10" t="n"/>
      <c r="AA94" s="12" t="n"/>
      <c r="AB94" s="10" t="n"/>
      <c r="AC94" s="14">
        <f>IF(COUNT(S94,Y94,AA94)=0,"",SUM(S94,Y94,AA94))</f>
        <v/>
      </c>
      <c r="AD94" s="13">
        <f>IF(N(AC94)=0,"",SUM(V94,W94,X94,Z94,AB94)/AC94)</f>
        <v/>
      </c>
      <c r="AE94" s="12" t="n"/>
      <c r="AF94" s="12" t="n"/>
      <c r="AG94" s="12" t="n"/>
      <c r="AH94" s="14">
        <f>IF(COUNT(AE94,AF94,AG94)=0,"",SUM(AE94,AF94,AG94))</f>
        <v/>
      </c>
      <c r="AI94" s="12" t="n"/>
      <c r="AJ94" s="12" t="n"/>
      <c r="AK94" s="12" t="n"/>
      <c r="AL94" s="14">
        <f>IF(COUNT(AI94,AJ94,AK94)=0,"",SUM(AI94,AJ94,AK94))</f>
        <v/>
      </c>
      <c r="AM94" s="5">
        <f>IF(N(AC94)=0,"",IF(COUNT($AC$6:$AC$105)&lt;5,"Too early",IF(AC94&gt;=1.5*MEDIAN($AC$6:$AC$105),"Top",IF(AC94&lt;=0.5*MEDIAN($AC$6:$AC$105),"Low","Average"))))</f>
        <v/>
      </c>
      <c r="AN94" s="10" t="n"/>
    </row>
    <row r="95" ht="60" customHeight="1">
      <c r="A95" s="5" t="n">
        <v>90</v>
      </c>
      <c r="B95" s="5" t="inlineStr">
        <is>
          <t>Digital life and consumer behavior</t>
        </is>
      </c>
      <c r="C95" s="5" t="inlineStr">
        <is>
          <t>The endowment effect</t>
        </is>
      </c>
      <c r="D95" s="5" t="inlineStr">
        <is>
          <t>Why might your used mug feel worth more to you?</t>
        </is>
      </c>
      <c r="E95" s="5" t="inlineStr">
        <is>
          <t>Compare owner and buyer valuations in a hypothetical exchange.</t>
        </is>
      </c>
      <c r="F95" s="5" t="inlineStr">
        <is>
          <t>Mug with two price tags</t>
        </is>
      </c>
      <c r="G95" s="5" t="n">
        <v>45</v>
      </c>
      <c r="H95" s="5" t="inlineStr">
        <is>
          <t>Idea</t>
        </is>
      </c>
      <c r="I95" s="10" t="n">
        <v>67</v>
      </c>
      <c r="J95" s="10" t="inlineStr">
        <is>
          <t>Strong</t>
        </is>
      </c>
      <c r="K95" s="10" t="n"/>
      <c r="L95" s="11" t="n"/>
      <c r="M95" s="5">
        <f>IF(L95="","",TEXT(L95,"ddd"))</f>
        <v/>
      </c>
      <c r="N95" s="10" t="n"/>
      <c r="O95" s="10" t="n"/>
      <c r="P95" s="10" t="n"/>
      <c r="Q95" s="10" t="n"/>
      <c r="R95" s="10" t="n"/>
      <c r="S95" s="12" t="n"/>
      <c r="T95" s="10" t="n"/>
      <c r="U95" s="13">
        <f>IF(OR(T95="",N(O95)=0),"",T95/O95)</f>
        <v/>
      </c>
      <c r="V95" s="10" t="n"/>
      <c r="W95" s="10" t="n"/>
      <c r="X95" s="10" t="n"/>
      <c r="Y95" s="12" t="n"/>
      <c r="Z95" s="10" t="n"/>
      <c r="AA95" s="12" t="n"/>
      <c r="AB95" s="10" t="n"/>
      <c r="AC95" s="14">
        <f>IF(COUNT(S95,Y95,AA95)=0,"",SUM(S95,Y95,AA95))</f>
        <v/>
      </c>
      <c r="AD95" s="13">
        <f>IF(N(AC95)=0,"",SUM(V95,W95,X95,Z95,AB95)/AC95)</f>
        <v/>
      </c>
      <c r="AE95" s="12" t="n"/>
      <c r="AF95" s="12" t="n"/>
      <c r="AG95" s="12" t="n"/>
      <c r="AH95" s="14">
        <f>IF(COUNT(AE95,AF95,AG95)=0,"",SUM(AE95,AF95,AG95))</f>
        <v/>
      </c>
      <c r="AI95" s="12" t="n"/>
      <c r="AJ95" s="12" t="n"/>
      <c r="AK95" s="12" t="n"/>
      <c r="AL95" s="14">
        <f>IF(COUNT(AI95,AJ95,AK95)=0,"",SUM(AI95,AJ95,AK95))</f>
        <v/>
      </c>
      <c r="AM95" s="5">
        <f>IF(N(AC95)=0,"",IF(COUNT($AC$6:$AC$105)&lt;5,"Too early",IF(AC95&gt;=1.5*MEDIAN($AC$6:$AC$105),"Top",IF(AC95&lt;=0.5*MEDIAN($AC$6:$AC$105),"Low","Average"))))</f>
        <v/>
      </c>
      <c r="AN95" s="10" t="n"/>
    </row>
    <row r="96" ht="60" customHeight="1">
      <c r="A96" s="5" t="n">
        <v>91</v>
      </c>
      <c r="B96" s="5" t="inlineStr">
        <is>
          <t>Psychology myths and interactive demos</t>
        </is>
      </c>
      <c r="C96" s="5" t="inlineStr">
        <is>
          <t>Learning-style labels</t>
        </is>
      </c>
      <c r="D96" s="5" t="inlineStr">
        <is>
          <t>Does preferring videos mean you learn only visually?</t>
        </is>
      </c>
      <c r="E96" s="5" t="inlineStr">
        <is>
          <t>Separate learning preferences from claims about matching instruction.</t>
        </is>
      </c>
      <c r="F96" s="5" t="inlineStr">
        <is>
          <t>Video, text, and practice cards</t>
        </is>
      </c>
      <c r="G96" s="5" t="n">
        <v>45</v>
      </c>
      <c r="H96" s="5" t="inlineStr">
        <is>
          <t>Idea</t>
        </is>
      </c>
      <c r="I96" s="10" t="n">
        <v>10</v>
      </c>
      <c r="J96" s="10" t="inlineStr">
        <is>
          <t>Strong</t>
        </is>
      </c>
      <c r="K96" s="10" t="n"/>
      <c r="L96" s="11" t="n"/>
      <c r="M96" s="5">
        <f>IF(L96="","",TEXT(L96,"ddd"))</f>
        <v/>
      </c>
      <c r="N96" s="10" t="n"/>
      <c r="O96" s="10" t="n"/>
      <c r="P96" s="10" t="n"/>
      <c r="Q96" s="10" t="n"/>
      <c r="R96" s="10" t="n"/>
      <c r="S96" s="12" t="n"/>
      <c r="T96" s="10" t="n"/>
      <c r="U96" s="13">
        <f>IF(OR(T96="",N(O96)=0),"",T96/O96)</f>
        <v/>
      </c>
      <c r="V96" s="10" t="n"/>
      <c r="W96" s="10" t="n"/>
      <c r="X96" s="10" t="n"/>
      <c r="Y96" s="12" t="n"/>
      <c r="Z96" s="10" t="n"/>
      <c r="AA96" s="12" t="n"/>
      <c r="AB96" s="10" t="n"/>
      <c r="AC96" s="14">
        <f>IF(COUNT(S96,Y96,AA96)=0,"",SUM(S96,Y96,AA96))</f>
        <v/>
      </c>
      <c r="AD96" s="13">
        <f>IF(N(AC96)=0,"",SUM(V96,W96,X96,Z96,AB96)/AC96)</f>
        <v/>
      </c>
      <c r="AE96" s="12" t="n"/>
      <c r="AF96" s="12" t="n"/>
      <c r="AG96" s="12" t="n"/>
      <c r="AH96" s="14">
        <f>IF(COUNT(AE96,AF96,AG96)=0,"",SUM(AE96,AF96,AG96))</f>
        <v/>
      </c>
      <c r="AI96" s="12" t="n"/>
      <c r="AJ96" s="12" t="n"/>
      <c r="AK96" s="12" t="n"/>
      <c r="AL96" s="14">
        <f>IF(COUNT(AI96,AJ96,AK96)=0,"",SUM(AI96,AJ96,AK96))</f>
        <v/>
      </c>
      <c r="AM96" s="5">
        <f>IF(N(AC96)=0,"",IF(COUNT($AC$6:$AC$105)&lt;5,"Too early",IF(AC96&gt;=1.5*MEDIAN($AC$6:$AC$105),"Top",IF(AC96&lt;=0.5*MEDIAN($AC$6:$AC$105),"Low","Average"))))</f>
        <v/>
      </c>
      <c r="AN96" s="10" t="n"/>
    </row>
    <row r="97" ht="60" customHeight="1">
      <c r="A97" s="5" t="n">
        <v>92</v>
      </c>
      <c r="B97" s="5" t="inlineStr">
        <is>
          <t>Psychology myths and interactive demos</t>
        </is>
      </c>
      <c r="C97" s="5" t="inlineStr">
        <is>
          <t>Left-brain versus right-brain personalities</t>
        </is>
      </c>
      <c r="D97" s="5" t="inlineStr">
        <is>
          <t>Can a quiz really divide people into two brain types?</t>
        </is>
      </c>
      <c r="E97" s="5" t="inlineStr">
        <is>
          <t>Challenge the simplistic personality split.</t>
        </is>
      </c>
      <c r="F97" s="5" t="inlineStr">
        <is>
          <t>Brain with exaggerated labels removed</t>
        </is>
      </c>
      <c r="G97" s="5" t="n">
        <v>45</v>
      </c>
      <c r="H97" s="5" t="inlineStr">
        <is>
          <t>Idea</t>
        </is>
      </c>
      <c r="I97" s="10" t="n">
        <v>20</v>
      </c>
      <c r="J97" s="10" t="inlineStr">
        <is>
          <t>Strong</t>
        </is>
      </c>
      <c r="K97" s="10" t="n"/>
      <c r="L97" s="11" t="n"/>
      <c r="M97" s="5">
        <f>IF(L97="","",TEXT(L97,"ddd"))</f>
        <v/>
      </c>
      <c r="N97" s="10" t="n"/>
      <c r="O97" s="10" t="n"/>
      <c r="P97" s="10" t="n"/>
      <c r="Q97" s="10" t="n"/>
      <c r="R97" s="10" t="n"/>
      <c r="S97" s="12" t="n"/>
      <c r="T97" s="10" t="n"/>
      <c r="U97" s="13">
        <f>IF(OR(T97="",N(O97)=0),"",T97/O97)</f>
        <v/>
      </c>
      <c r="V97" s="10" t="n"/>
      <c r="W97" s="10" t="n"/>
      <c r="X97" s="10" t="n"/>
      <c r="Y97" s="12" t="n"/>
      <c r="Z97" s="10" t="n"/>
      <c r="AA97" s="12" t="n"/>
      <c r="AB97" s="10" t="n"/>
      <c r="AC97" s="14">
        <f>IF(COUNT(S97,Y97,AA97)=0,"",SUM(S97,Y97,AA97))</f>
        <v/>
      </c>
      <c r="AD97" s="13">
        <f>IF(N(AC97)=0,"",SUM(V97,W97,X97,Z97,AB97)/AC97)</f>
        <v/>
      </c>
      <c r="AE97" s="12" t="n"/>
      <c r="AF97" s="12" t="n"/>
      <c r="AG97" s="12" t="n"/>
      <c r="AH97" s="14">
        <f>IF(COUNT(AE97,AF97,AG97)=0,"",SUM(AE97,AF97,AG97))</f>
        <v/>
      </c>
      <c r="AI97" s="12" t="n"/>
      <c r="AJ97" s="12" t="n"/>
      <c r="AK97" s="12" t="n"/>
      <c r="AL97" s="14">
        <f>IF(COUNT(AI97,AJ97,AK97)=0,"",SUM(AI97,AJ97,AK97))</f>
        <v/>
      </c>
      <c r="AM97" s="5">
        <f>IF(N(AC97)=0,"",IF(COUNT($AC$6:$AC$105)&lt;5,"Too early",IF(AC97&gt;=1.5*MEDIAN($AC$6:$AC$105),"Top",IF(AC97&lt;=0.5*MEDIAN($AC$6:$AC$105),"Low","Average"))))</f>
        <v/>
      </c>
      <c r="AN97" s="10" t="n"/>
    </row>
    <row r="98" ht="60" customHeight="1">
      <c r="A98" s="5" t="n">
        <v>93</v>
      </c>
      <c r="B98" s="5" t="inlineStr">
        <is>
          <t>Psychology myths and interactive demos</t>
        </is>
      </c>
      <c r="C98" s="5" t="inlineStr">
        <is>
          <t>The ten-percent brain myth</t>
        </is>
      </c>
      <c r="D98" s="5" t="inlineStr">
        <is>
          <t>Do we really leave most of the brain unused?</t>
        </is>
      </c>
      <c r="E98" s="5" t="inlineStr">
        <is>
          <t>Explain why the popular claim is misleading.</t>
        </is>
      </c>
      <c r="F98" s="5" t="inlineStr">
        <is>
          <t>Brain activity illustration</t>
        </is>
      </c>
      <c r="G98" s="5" t="n">
        <v>45</v>
      </c>
      <c r="H98" s="5" t="inlineStr">
        <is>
          <t>Idea</t>
        </is>
      </c>
      <c r="I98" s="10" t="n">
        <v>29</v>
      </c>
      <c r="J98" s="10" t="inlineStr">
        <is>
          <t>Strong</t>
        </is>
      </c>
      <c r="K98" s="10" t="n"/>
      <c r="L98" s="11" t="n"/>
      <c r="M98" s="5">
        <f>IF(L98="","",TEXT(L98,"ddd"))</f>
        <v/>
      </c>
      <c r="N98" s="10" t="n"/>
      <c r="O98" s="10" t="n"/>
      <c r="P98" s="10" t="n"/>
      <c r="Q98" s="10" t="n"/>
      <c r="R98" s="10" t="n"/>
      <c r="S98" s="12" t="n"/>
      <c r="T98" s="10" t="n"/>
      <c r="U98" s="13">
        <f>IF(OR(T98="",N(O98)=0),"",T98/O98)</f>
        <v/>
      </c>
      <c r="V98" s="10" t="n"/>
      <c r="W98" s="10" t="n"/>
      <c r="X98" s="10" t="n"/>
      <c r="Y98" s="12" t="n"/>
      <c r="Z98" s="10" t="n"/>
      <c r="AA98" s="12" t="n"/>
      <c r="AB98" s="10" t="n"/>
      <c r="AC98" s="14">
        <f>IF(COUNT(S98,Y98,AA98)=0,"",SUM(S98,Y98,AA98))</f>
        <v/>
      </c>
      <c r="AD98" s="13">
        <f>IF(N(AC98)=0,"",SUM(V98,W98,X98,Z98,AB98)/AC98)</f>
        <v/>
      </c>
      <c r="AE98" s="12" t="n"/>
      <c r="AF98" s="12" t="n"/>
      <c r="AG98" s="12" t="n"/>
      <c r="AH98" s="14">
        <f>IF(COUNT(AE98,AF98,AG98)=0,"",SUM(AE98,AF98,AG98))</f>
        <v/>
      </c>
      <c r="AI98" s="12" t="n"/>
      <c r="AJ98" s="12" t="n"/>
      <c r="AK98" s="12" t="n"/>
      <c r="AL98" s="14">
        <f>IF(COUNT(AI98,AJ98,AK98)=0,"",SUM(AI98,AJ98,AK98))</f>
        <v/>
      </c>
      <c r="AM98" s="5">
        <f>IF(N(AC98)=0,"",IF(COUNT($AC$6:$AC$105)&lt;5,"Too early",IF(AC98&gt;=1.5*MEDIAN($AC$6:$AC$105),"Top",IF(AC98&lt;=0.5*MEDIAN($AC$6:$AC$105),"Low","Average"))))</f>
        <v/>
      </c>
      <c r="AN98" s="10" t="n"/>
    </row>
    <row r="99" ht="60" customHeight="1">
      <c r="A99" s="5" t="n">
        <v>94</v>
      </c>
      <c r="B99" s="5" t="inlineStr">
        <is>
          <t>Psychology myths and interactive demos</t>
        </is>
      </c>
      <c r="C99" s="5" t="inlineStr">
        <is>
          <t>Body-language certainty</t>
        </is>
      </c>
      <c r="D99" s="5" t="inlineStr">
        <is>
          <t>Can crossed arms prove someone is lying?</t>
        </is>
      </c>
      <c r="E99" s="5" t="inlineStr">
        <is>
          <t>Show several ordinary explanations for one gesture.</t>
        </is>
      </c>
      <c r="F99" s="5" t="inlineStr">
        <is>
          <t>Cold room and crossed arms</t>
        </is>
      </c>
      <c r="G99" s="5" t="n">
        <v>45</v>
      </c>
      <c r="H99" s="5" t="inlineStr">
        <is>
          <t>Idea</t>
        </is>
      </c>
      <c r="I99" s="10" t="n">
        <v>37</v>
      </c>
      <c r="J99" s="10" t="inlineStr">
        <is>
          <t>Strong</t>
        </is>
      </c>
      <c r="K99" s="10" t="n"/>
      <c r="L99" s="11" t="n"/>
      <c r="M99" s="5">
        <f>IF(L99="","",TEXT(L99,"ddd"))</f>
        <v/>
      </c>
      <c r="N99" s="10" t="n"/>
      <c r="O99" s="10" t="n"/>
      <c r="P99" s="10" t="n"/>
      <c r="Q99" s="10" t="n"/>
      <c r="R99" s="10" t="n"/>
      <c r="S99" s="12" t="n"/>
      <c r="T99" s="10" t="n"/>
      <c r="U99" s="13">
        <f>IF(OR(T99="",N(O99)=0),"",T99/O99)</f>
        <v/>
      </c>
      <c r="V99" s="10" t="n"/>
      <c r="W99" s="10" t="n"/>
      <c r="X99" s="10" t="n"/>
      <c r="Y99" s="12" t="n"/>
      <c r="Z99" s="10" t="n"/>
      <c r="AA99" s="12" t="n"/>
      <c r="AB99" s="10" t="n"/>
      <c r="AC99" s="14">
        <f>IF(COUNT(S99,Y99,AA99)=0,"",SUM(S99,Y99,AA99))</f>
        <v/>
      </c>
      <c r="AD99" s="13">
        <f>IF(N(AC99)=0,"",SUM(V99,W99,X99,Z99,AB99)/AC99)</f>
        <v/>
      </c>
      <c r="AE99" s="12" t="n"/>
      <c r="AF99" s="12" t="n"/>
      <c r="AG99" s="12" t="n"/>
      <c r="AH99" s="14">
        <f>IF(COUNT(AE99,AF99,AG99)=0,"",SUM(AE99,AF99,AG99))</f>
        <v/>
      </c>
      <c r="AI99" s="12" t="n"/>
      <c r="AJ99" s="12" t="n"/>
      <c r="AK99" s="12" t="n"/>
      <c r="AL99" s="14">
        <f>IF(COUNT(AI99,AJ99,AK99)=0,"",SUM(AI99,AJ99,AK99))</f>
        <v/>
      </c>
      <c r="AM99" s="5">
        <f>IF(N(AC99)=0,"",IF(COUNT($AC$6:$AC$105)&lt;5,"Too early",IF(AC99&gt;=1.5*MEDIAN($AC$6:$AC$105),"Top",IF(AC99&lt;=0.5*MEDIAN($AC$6:$AC$105),"Low","Average"))))</f>
        <v/>
      </c>
      <c r="AN99" s="10" t="n"/>
    </row>
    <row r="100" ht="60" customHeight="1">
      <c r="A100" s="5" t="n">
        <v>95</v>
      </c>
      <c r="B100" s="5" t="inlineStr">
        <is>
          <t>Psychology myths and interactive demos</t>
        </is>
      </c>
      <c r="C100" s="5" t="inlineStr">
        <is>
          <t>Personality quizzes</t>
        </is>
      </c>
      <c r="D100" s="5" t="inlineStr">
        <is>
          <t>Why can a vague description feel uniquely accurate?</t>
        </is>
      </c>
      <c r="E100" s="5" t="inlineStr">
        <is>
          <t>Use a generic statement to introduce the Barnum effect.</t>
        </is>
      </c>
      <c r="F100" s="5" t="inlineStr">
        <is>
          <t>Same profile handed to several people</t>
        </is>
      </c>
      <c r="G100" s="5" t="n">
        <v>45</v>
      </c>
      <c r="H100" s="5" t="inlineStr">
        <is>
          <t>Idea</t>
        </is>
      </c>
      <c r="I100" s="10" t="n">
        <v>44</v>
      </c>
      <c r="J100" s="10" t="inlineStr">
        <is>
          <t>Strong</t>
        </is>
      </c>
      <c r="K100" s="10" t="n"/>
      <c r="L100" s="11" t="n"/>
      <c r="M100" s="5">
        <f>IF(L100="","",TEXT(L100,"ddd"))</f>
        <v/>
      </c>
      <c r="N100" s="10" t="n"/>
      <c r="O100" s="10" t="n"/>
      <c r="P100" s="10" t="n"/>
      <c r="Q100" s="10" t="n"/>
      <c r="R100" s="10" t="n"/>
      <c r="S100" s="12" t="n"/>
      <c r="T100" s="10" t="n"/>
      <c r="U100" s="13">
        <f>IF(OR(T100="",N(O100)=0),"",T100/O100)</f>
        <v/>
      </c>
      <c r="V100" s="10" t="n"/>
      <c r="W100" s="10" t="n"/>
      <c r="X100" s="10" t="n"/>
      <c r="Y100" s="12" t="n"/>
      <c r="Z100" s="10" t="n"/>
      <c r="AA100" s="12" t="n"/>
      <c r="AB100" s="10" t="n"/>
      <c r="AC100" s="14">
        <f>IF(COUNT(S100,Y100,AA100)=0,"",SUM(S100,Y100,AA100))</f>
        <v/>
      </c>
      <c r="AD100" s="13">
        <f>IF(N(AC100)=0,"",SUM(V100,W100,X100,Z100,AB100)/AC100)</f>
        <v/>
      </c>
      <c r="AE100" s="12" t="n"/>
      <c r="AF100" s="12" t="n"/>
      <c r="AG100" s="12" t="n"/>
      <c r="AH100" s="14">
        <f>IF(COUNT(AE100,AF100,AG100)=0,"",SUM(AE100,AF100,AG100))</f>
        <v/>
      </c>
      <c r="AI100" s="12" t="n"/>
      <c r="AJ100" s="12" t="n"/>
      <c r="AK100" s="12" t="n"/>
      <c r="AL100" s="14">
        <f>IF(COUNT(AI100,AJ100,AK100)=0,"",SUM(AI100,AJ100,AK100))</f>
        <v/>
      </c>
      <c r="AM100" s="5">
        <f>IF(N(AC100)=0,"",IF(COUNT($AC$6:$AC$105)&lt;5,"Too early",IF(AC100&gt;=1.5*MEDIAN($AC$6:$AC$105),"Top",IF(AC100&lt;=0.5*MEDIAN($AC$6:$AC$105),"Low","Average"))))</f>
        <v/>
      </c>
      <c r="AN100" s="10" t="n"/>
    </row>
    <row r="101" ht="60" customHeight="1">
      <c r="A101" s="5" t="n">
        <v>96</v>
      </c>
      <c r="B101" s="5" t="inlineStr">
        <is>
          <t>Psychology myths and interactive demos</t>
        </is>
      </c>
      <c r="C101" s="5" t="inlineStr">
        <is>
          <t>Memory confidence</t>
        </is>
      </c>
      <c r="D101" s="5" t="inlineStr">
        <is>
          <t>Can you be confident and still remember incorrectly?</t>
        </is>
      </c>
      <c r="E101" s="5" t="inlineStr">
        <is>
          <t>Compare confidence with checked details of a staged event.</t>
        </is>
      </c>
      <c r="F101" s="5" t="inlineStr">
        <is>
          <t>Confidence meter and fact check</t>
        </is>
      </c>
      <c r="G101" s="5" t="n">
        <v>45</v>
      </c>
      <c r="H101" s="5" t="inlineStr">
        <is>
          <t>Idea</t>
        </is>
      </c>
      <c r="I101" s="10" t="n">
        <v>51</v>
      </c>
      <c r="J101" s="10" t="inlineStr">
        <is>
          <t>Strong</t>
        </is>
      </c>
      <c r="K101" s="10" t="n"/>
      <c r="L101" s="11" t="n"/>
      <c r="M101" s="5">
        <f>IF(L101="","",TEXT(L101,"ddd"))</f>
        <v/>
      </c>
      <c r="N101" s="10" t="n"/>
      <c r="O101" s="10" t="n"/>
      <c r="P101" s="10" t="n"/>
      <c r="Q101" s="10" t="n"/>
      <c r="R101" s="10" t="n"/>
      <c r="S101" s="12" t="n"/>
      <c r="T101" s="10" t="n"/>
      <c r="U101" s="13">
        <f>IF(OR(T101="",N(O101)=0),"",T101/O101)</f>
        <v/>
      </c>
      <c r="V101" s="10" t="n"/>
      <c r="W101" s="10" t="n"/>
      <c r="X101" s="10" t="n"/>
      <c r="Y101" s="12" t="n"/>
      <c r="Z101" s="10" t="n"/>
      <c r="AA101" s="12" t="n"/>
      <c r="AB101" s="10" t="n"/>
      <c r="AC101" s="14">
        <f>IF(COUNT(S101,Y101,AA101)=0,"",SUM(S101,Y101,AA101))</f>
        <v/>
      </c>
      <c r="AD101" s="13">
        <f>IF(N(AC101)=0,"",SUM(V101,W101,X101,Z101,AB101)/AC101)</f>
        <v/>
      </c>
      <c r="AE101" s="12" t="n"/>
      <c r="AF101" s="12" t="n"/>
      <c r="AG101" s="12" t="n"/>
      <c r="AH101" s="14">
        <f>IF(COUNT(AE101,AF101,AG101)=0,"",SUM(AE101,AF101,AG101))</f>
        <v/>
      </c>
      <c r="AI101" s="12" t="n"/>
      <c r="AJ101" s="12" t="n"/>
      <c r="AK101" s="12" t="n"/>
      <c r="AL101" s="14">
        <f>IF(COUNT(AI101,AJ101,AK101)=0,"",SUM(AI101,AJ101,AK101))</f>
        <v/>
      </c>
      <c r="AM101" s="5">
        <f>IF(N(AC101)=0,"",IF(COUNT($AC$6:$AC$105)&lt;5,"Too early",IF(AC101&gt;=1.5*MEDIAN($AC$6:$AC$105),"Top",IF(AC101&lt;=0.5*MEDIAN($AC$6:$AC$105),"Low","Average"))))</f>
        <v/>
      </c>
      <c r="AN101" s="10" t="n"/>
    </row>
    <row r="102" ht="60" customHeight="1">
      <c r="A102" s="5" t="n">
        <v>97</v>
      </c>
      <c r="B102" s="5" t="inlineStr">
        <is>
          <t>Psychology myths and interactive demos</t>
        </is>
      </c>
      <c r="C102" s="5" t="inlineStr">
        <is>
          <t>Correlation versus causation</t>
        </is>
      </c>
      <c r="D102" s="5" t="inlineStr">
        <is>
          <t>Do ice cream sales cause swimming accidents?</t>
        </is>
      </c>
      <c r="E102" s="5" t="inlineStr">
        <is>
          <t>Introduce a third variable through a simple example.</t>
        </is>
      </c>
      <c r="F102" s="5" t="inlineStr">
        <is>
          <t>Summer temperature illustration</t>
        </is>
      </c>
      <c r="G102" s="5" t="n">
        <v>45</v>
      </c>
      <c r="H102" s="5" t="inlineStr">
        <is>
          <t>Idea</t>
        </is>
      </c>
      <c r="I102" s="10" t="n">
        <v>57</v>
      </c>
      <c r="J102" s="10" t="inlineStr">
        <is>
          <t>Strong</t>
        </is>
      </c>
      <c r="K102" s="10" t="n"/>
      <c r="L102" s="11" t="n"/>
      <c r="M102" s="5">
        <f>IF(L102="","",TEXT(L102,"ddd"))</f>
        <v/>
      </c>
      <c r="N102" s="10" t="n"/>
      <c r="O102" s="10" t="n"/>
      <c r="P102" s="10" t="n"/>
      <c r="Q102" s="10" t="n"/>
      <c r="R102" s="10" t="n"/>
      <c r="S102" s="12" t="n"/>
      <c r="T102" s="10" t="n"/>
      <c r="U102" s="13">
        <f>IF(OR(T102="",N(O102)=0),"",T102/O102)</f>
        <v/>
      </c>
      <c r="V102" s="10" t="n"/>
      <c r="W102" s="10" t="n"/>
      <c r="X102" s="10" t="n"/>
      <c r="Y102" s="12" t="n"/>
      <c r="Z102" s="10" t="n"/>
      <c r="AA102" s="12" t="n"/>
      <c r="AB102" s="10" t="n"/>
      <c r="AC102" s="14">
        <f>IF(COUNT(S102,Y102,AA102)=0,"",SUM(S102,Y102,AA102))</f>
        <v/>
      </c>
      <c r="AD102" s="13">
        <f>IF(N(AC102)=0,"",SUM(V102,W102,X102,Z102,AB102)/AC102)</f>
        <v/>
      </c>
      <c r="AE102" s="12" t="n"/>
      <c r="AF102" s="12" t="n"/>
      <c r="AG102" s="12" t="n"/>
      <c r="AH102" s="14">
        <f>IF(COUNT(AE102,AF102,AG102)=0,"",SUM(AE102,AF102,AG102))</f>
        <v/>
      </c>
      <c r="AI102" s="12" t="n"/>
      <c r="AJ102" s="12" t="n"/>
      <c r="AK102" s="12" t="n"/>
      <c r="AL102" s="14">
        <f>IF(COUNT(AI102,AJ102,AK102)=0,"",SUM(AI102,AJ102,AK102))</f>
        <v/>
      </c>
      <c r="AM102" s="5">
        <f>IF(N(AC102)=0,"",IF(COUNT($AC$6:$AC$105)&lt;5,"Too early",IF(AC102&gt;=1.5*MEDIAN($AC$6:$AC$105),"Top",IF(AC102&lt;=0.5*MEDIAN($AC$6:$AC$105),"Low","Average"))))</f>
        <v/>
      </c>
      <c r="AN102" s="10" t="n"/>
    </row>
    <row r="103" ht="60" customHeight="1">
      <c r="A103" s="5" t="n">
        <v>98</v>
      </c>
      <c r="B103" s="5" t="inlineStr">
        <is>
          <t>Psychology myths and interactive demos</t>
        </is>
      </c>
      <c r="C103" s="5" t="inlineStr">
        <is>
          <t>Small samples</t>
        </is>
      </c>
      <c r="D103" s="5" t="inlineStr">
        <is>
          <t>Would five people be enough to speak for everyone?</t>
        </is>
      </c>
      <c r="E103" s="5" t="inlineStr">
        <is>
          <t>Compare a tiny poll with a larger varied sample.</t>
        </is>
      </c>
      <c r="F103" s="5" t="inlineStr">
        <is>
          <t>Five dots versus many dots</t>
        </is>
      </c>
      <c r="G103" s="5" t="n">
        <v>45</v>
      </c>
      <c r="H103" s="5" t="inlineStr">
        <is>
          <t>Idea</t>
        </is>
      </c>
      <c r="I103" s="10" t="n">
        <v>63</v>
      </c>
      <c r="J103" s="10" t="inlineStr">
        <is>
          <t>Strong</t>
        </is>
      </c>
      <c r="K103" s="10" t="n"/>
      <c r="L103" s="11" t="n"/>
      <c r="M103" s="5">
        <f>IF(L103="","",TEXT(L103,"ddd"))</f>
        <v/>
      </c>
      <c r="N103" s="10" t="n"/>
      <c r="O103" s="10" t="n"/>
      <c r="P103" s="10" t="n"/>
      <c r="Q103" s="10" t="n"/>
      <c r="R103" s="10" t="n"/>
      <c r="S103" s="12" t="n"/>
      <c r="T103" s="10" t="n"/>
      <c r="U103" s="13">
        <f>IF(OR(T103="",N(O103)=0),"",T103/O103)</f>
        <v/>
      </c>
      <c r="V103" s="10" t="n"/>
      <c r="W103" s="10" t="n"/>
      <c r="X103" s="10" t="n"/>
      <c r="Y103" s="12" t="n"/>
      <c r="Z103" s="10" t="n"/>
      <c r="AA103" s="12" t="n"/>
      <c r="AB103" s="10" t="n"/>
      <c r="AC103" s="14">
        <f>IF(COUNT(S103,Y103,AA103)=0,"",SUM(S103,Y103,AA103))</f>
        <v/>
      </c>
      <c r="AD103" s="13">
        <f>IF(N(AC103)=0,"",SUM(V103,W103,X103,Z103,AB103)/AC103)</f>
        <v/>
      </c>
      <c r="AE103" s="12" t="n"/>
      <c r="AF103" s="12" t="n"/>
      <c r="AG103" s="12" t="n"/>
      <c r="AH103" s="14">
        <f>IF(COUNT(AE103,AF103,AG103)=0,"",SUM(AE103,AF103,AG103))</f>
        <v/>
      </c>
      <c r="AI103" s="12" t="n"/>
      <c r="AJ103" s="12" t="n"/>
      <c r="AK103" s="12" t="n"/>
      <c r="AL103" s="14">
        <f>IF(COUNT(AI103,AJ103,AK103)=0,"",SUM(AI103,AJ103,AK103))</f>
        <v/>
      </c>
      <c r="AM103" s="5">
        <f>IF(N(AC103)=0,"",IF(COUNT($AC$6:$AC$105)&lt;5,"Too early",IF(AC103&gt;=1.5*MEDIAN($AC$6:$AC$105),"Top",IF(AC103&lt;=0.5*MEDIAN($AC$6:$AC$105),"Low","Average"))))</f>
        <v/>
      </c>
      <c r="AN103" s="10" t="n"/>
    </row>
    <row r="104" ht="60" customHeight="1">
      <c r="A104" s="5" t="n">
        <v>99</v>
      </c>
      <c r="B104" s="5" t="inlineStr">
        <is>
          <t>Psychology myths and interactive demos</t>
        </is>
      </c>
      <c r="C104" s="5" t="inlineStr">
        <is>
          <t>Replication</t>
        </is>
      </c>
      <c r="D104" s="5" t="inlineStr">
        <is>
          <t>What happens when another team repeats the study?</t>
        </is>
      </c>
      <c r="E104" s="5" t="inlineStr">
        <is>
          <t>Explain why repeated testing helps assess findings.</t>
        </is>
      </c>
      <c r="F104" s="5" t="inlineStr">
        <is>
          <t>Two teams and matching procedures</t>
        </is>
      </c>
      <c r="G104" s="5" t="n">
        <v>45</v>
      </c>
      <c r="H104" s="5" t="inlineStr">
        <is>
          <t>Idea</t>
        </is>
      </c>
      <c r="I104" s="10" t="n">
        <v>68</v>
      </c>
      <c r="J104" s="10" t="inlineStr">
        <is>
          <t>Strong</t>
        </is>
      </c>
      <c r="K104" s="10" t="n"/>
      <c r="L104" s="11" t="n"/>
      <c r="M104" s="5">
        <f>IF(L104="","",TEXT(L104,"ddd"))</f>
        <v/>
      </c>
      <c r="N104" s="10" t="n"/>
      <c r="O104" s="10" t="n"/>
      <c r="P104" s="10" t="n"/>
      <c r="Q104" s="10" t="n"/>
      <c r="R104" s="10" t="n"/>
      <c r="S104" s="12" t="n"/>
      <c r="T104" s="10" t="n"/>
      <c r="U104" s="13">
        <f>IF(OR(T104="",N(O104)=0),"",T104/O104)</f>
        <v/>
      </c>
      <c r="V104" s="10" t="n"/>
      <c r="W104" s="10" t="n"/>
      <c r="X104" s="10" t="n"/>
      <c r="Y104" s="12" t="n"/>
      <c r="Z104" s="10" t="n"/>
      <c r="AA104" s="12" t="n"/>
      <c r="AB104" s="10" t="n"/>
      <c r="AC104" s="14">
        <f>IF(COUNT(S104,Y104,AA104)=0,"",SUM(S104,Y104,AA104))</f>
        <v/>
      </c>
      <c r="AD104" s="13">
        <f>IF(N(AC104)=0,"",SUM(V104,W104,X104,Z104,AB104)/AC104)</f>
        <v/>
      </c>
      <c r="AE104" s="12" t="n"/>
      <c r="AF104" s="12" t="n"/>
      <c r="AG104" s="12" t="n"/>
      <c r="AH104" s="14">
        <f>IF(COUNT(AE104,AF104,AG104)=0,"",SUM(AE104,AF104,AG104))</f>
        <v/>
      </c>
      <c r="AI104" s="12" t="n"/>
      <c r="AJ104" s="12" t="n"/>
      <c r="AK104" s="12" t="n"/>
      <c r="AL104" s="14">
        <f>IF(COUNT(AI104,AJ104,AK104)=0,"",SUM(AI104,AJ104,AK104))</f>
        <v/>
      </c>
      <c r="AM104" s="5">
        <f>IF(N(AC104)=0,"",IF(COUNT($AC$6:$AC$105)&lt;5,"Too early",IF(AC104&gt;=1.5*MEDIAN($AC$6:$AC$105),"Top",IF(AC104&lt;=0.5*MEDIAN($AC$6:$AC$105),"Low","Average"))))</f>
        <v/>
      </c>
      <c r="AN104" s="10" t="n"/>
    </row>
    <row r="105" ht="60" customHeight="1">
      <c r="A105" s="5" t="n">
        <v>100</v>
      </c>
      <c r="B105" s="5" t="inlineStr">
        <is>
          <t>Psychology myths and interactive demos</t>
        </is>
      </c>
      <c r="C105" s="5" t="inlineStr">
        <is>
          <t>Psychology claim checklist</t>
        </is>
      </c>
      <c r="D105" s="5" t="inlineStr">
        <is>
          <t>Before sharing a psychology fact, ask these three questions.</t>
        </is>
      </c>
      <c r="E105" s="5" t="inlineStr">
        <is>
          <t>Ask about evidence, population, and limits of the conclusion.</t>
        </is>
      </c>
      <c r="F105" s="5" t="inlineStr">
        <is>
          <t>Three-question checklist</t>
        </is>
      </c>
      <c r="G105" s="5" t="n">
        <v>45</v>
      </c>
      <c r="H105" s="5" t="inlineStr">
        <is>
          <t>Idea</t>
        </is>
      </c>
      <c r="I105" s="10" t="n">
        <v>78</v>
      </c>
      <c r="J105" s="10" t="inlineStr">
        <is>
          <t>Weak</t>
        </is>
      </c>
      <c r="K105" s="10" t="n"/>
      <c r="L105" s="11" t="n"/>
      <c r="M105" s="5">
        <f>IF(L105="","",TEXT(L105,"ddd"))</f>
        <v/>
      </c>
      <c r="N105" s="10" t="n"/>
      <c r="O105" s="10" t="n"/>
      <c r="P105" s="10" t="n"/>
      <c r="Q105" s="10" t="n"/>
      <c r="R105" s="10" t="n"/>
      <c r="S105" s="12" t="n"/>
      <c r="T105" s="10" t="n"/>
      <c r="U105" s="13">
        <f>IF(OR(T105="",N(O105)=0),"",T105/O105)</f>
        <v/>
      </c>
      <c r="V105" s="10" t="n"/>
      <c r="W105" s="10" t="n"/>
      <c r="X105" s="10" t="n"/>
      <c r="Y105" s="12" t="n"/>
      <c r="Z105" s="10" t="n"/>
      <c r="AA105" s="12" t="n"/>
      <c r="AB105" s="10" t="n"/>
      <c r="AC105" s="14">
        <f>IF(COUNT(S105,Y105,AA105)=0,"",SUM(S105,Y105,AA105))</f>
        <v/>
      </c>
      <c r="AD105" s="13">
        <f>IF(N(AC105)=0,"",SUM(V105,W105,X105,Z105,AB105)/AC105)</f>
        <v/>
      </c>
      <c r="AE105" s="12" t="n"/>
      <c r="AF105" s="12" t="n"/>
      <c r="AG105" s="12" t="n"/>
      <c r="AH105" s="14">
        <f>IF(COUNT(AE105,AF105,AG105)=0,"",SUM(AE105,AF105,AG105))</f>
        <v/>
      </c>
      <c r="AI105" s="12" t="n"/>
      <c r="AJ105" s="12" t="n"/>
      <c r="AK105" s="12" t="n"/>
      <c r="AL105" s="14">
        <f>IF(COUNT(AI105,AJ105,AK105)=0,"",SUM(AI105,AJ105,AK105))</f>
        <v/>
      </c>
      <c r="AM105" s="5">
        <f>IF(N(AC105)=0,"",IF(COUNT($AC$6:$AC$105)&lt;5,"Too early",IF(AC105&gt;=1.5*MEDIAN($AC$6:$AC$105),"Top",IF(AC105&lt;=0.5*MEDIAN($AC$6:$AC$105),"Low","Average"))))</f>
        <v/>
      </c>
      <c r="AN105" s="10" t="n"/>
    </row>
  </sheetData>
  <conditionalFormatting sqref="AM6:AM105">
    <cfRule type="cellIs" priority="1" operator="equal" dxfId="0">
      <formula>"Top"</formula>
    </cfRule>
    <cfRule type="cellIs" priority="2" operator="equal" dxfId="1">
      <formula>"Low"</formula>
    </cfRule>
  </conditionalFormatting>
  <dataValidations count="2">
    <dataValidation sqref="H6:H105" showDropDown="0" showInputMessage="0" showErrorMessage="0" allowBlank="1" type="list">
      <formula1>"Idea,Researching,Scripted,Scheduled,Published,Vetoed,Failed,Filming,Editing"</formula1>
    </dataValidation>
    <dataValidation sqref="J6:J105" showDropDown="0" showInputMessage="0" showErrorMessage="0" allowBlank="1" type="list">
      <formula1>"Strong,Weak"</formula1>
    </dataValidation>
  </dataValidation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38" customWidth="1" min="1" max="1"/>
    <col width="11" customWidth="1" min="2" max="2"/>
    <col width="13" customWidth="1" min="3" max="3"/>
    <col width="15" customWidth="1" min="4" max="4"/>
    <col width="17" customWidth="1" min="5" max="5"/>
    <col width="13" customWidth="1" min="6" max="6"/>
  </cols>
  <sheetData>
    <row r="1">
      <c r="A1" s="2" t="inlineStr">
        <is>
          <t>What's working</t>
        </is>
      </c>
    </row>
    <row r="2">
      <c r="A2" s="15" t="inlineStr">
        <is>
          <t>Averages over published Shorts with day-7 numbers. Updates as the pipeline fills the tracker.</t>
        </is>
      </c>
    </row>
    <row r="4">
      <c r="A4" s="8" t="inlineStr">
        <is>
          <t>Theme</t>
        </is>
      </c>
      <c r="B4" s="8" t="inlineStr">
        <is>
          <t>Published</t>
        </is>
      </c>
      <c r="C4" s="8" t="inlineStr">
        <is>
          <t>Avg views d7</t>
        </is>
      </c>
      <c r="D4" s="8" t="inlineStr">
        <is>
          <t>Avg retention d7</t>
        </is>
      </c>
      <c r="E4" s="8" t="inlineStr">
        <is>
          <t>Avg engagement d7</t>
        </is>
      </c>
      <c r="F4" s="8" t="inlineStr">
        <is>
          <t>Avg views d30</t>
        </is>
      </c>
    </row>
    <row r="5">
      <c r="A5" s="16" t="inlineStr">
        <is>
          <t>Cognitive biases</t>
        </is>
      </c>
      <c r="B5" s="16">
        <f>COUNTIFS('Shorts ideas'!$B$6:$B$105,$A5,'Shorts ideas'!$H$6:$H$105,"Published")</f>
        <v/>
      </c>
      <c r="C5" s="17">
        <f>IFERROR(AVERAGEIFS('Shorts ideas'!$AC$6:$AC$105,'Shorts ideas'!$B$6:$B$105,$A5,'Shorts ideas'!$AC$6:$AC$105,"&gt;0"),"")</f>
        <v/>
      </c>
      <c r="D5" s="18">
        <f>IFERROR(AVERAGEIFS('Shorts ideas'!$U$6:$U$105,'Shorts ideas'!$B$6:$B$105,$A5,'Shorts ideas'!$U$6:$U$105,"&gt;0"),"")</f>
        <v/>
      </c>
      <c r="E5" s="18">
        <f>IFERROR(AVERAGEIFS('Shorts ideas'!$AD$6:$AD$105,'Shorts ideas'!$B$6:$B$105,$A5,'Shorts ideas'!$AD$6:$AD$105,"&gt;0"),"")</f>
        <v/>
      </c>
      <c r="F5" s="17">
        <f>IFERROR(AVERAGEIFS('Shorts ideas'!$AL$6:$AL$105,'Shorts ideas'!$B$6:$B$105,$A5,'Shorts ideas'!$AL$6:$AL$105,"&gt;0"),"")</f>
        <v/>
      </c>
    </row>
    <row r="6">
      <c r="A6" s="16" t="inlineStr">
        <is>
          <t>Memory and learning</t>
        </is>
      </c>
      <c r="B6" s="16">
        <f>COUNTIFS('Shorts ideas'!$B$6:$B$105,$A6,'Shorts ideas'!$H$6:$H$105,"Published")</f>
        <v/>
      </c>
      <c r="C6" s="17">
        <f>IFERROR(AVERAGEIFS('Shorts ideas'!$AC$6:$AC$105,'Shorts ideas'!$B$6:$B$105,$A6,'Shorts ideas'!$AC$6:$AC$105,"&gt;0"),"")</f>
        <v/>
      </c>
      <c r="D6" s="18">
        <f>IFERROR(AVERAGEIFS('Shorts ideas'!$U$6:$U$105,'Shorts ideas'!$B$6:$B$105,$A6,'Shorts ideas'!$U$6:$U$105,"&gt;0"),"")</f>
        <v/>
      </c>
      <c r="E6" s="18">
        <f>IFERROR(AVERAGEIFS('Shorts ideas'!$AD$6:$AD$105,'Shorts ideas'!$B$6:$B$105,$A6,'Shorts ideas'!$AD$6:$AD$105,"&gt;0"),"")</f>
        <v/>
      </c>
      <c r="F6" s="17">
        <f>IFERROR(AVERAGEIFS('Shorts ideas'!$AL$6:$AL$105,'Shorts ideas'!$B$6:$B$105,$A6,'Shorts ideas'!$AL$6:$AL$105,"&gt;0"),"")</f>
        <v/>
      </c>
    </row>
    <row r="7">
      <c r="A7" s="16" t="inlineStr">
        <is>
          <t>Attention and perception</t>
        </is>
      </c>
      <c r="B7" s="16">
        <f>COUNTIFS('Shorts ideas'!$B$6:$B$105,$A7,'Shorts ideas'!$H$6:$H$105,"Published")</f>
        <v/>
      </c>
      <c r="C7" s="17">
        <f>IFERROR(AVERAGEIFS('Shorts ideas'!$AC$6:$AC$105,'Shorts ideas'!$B$6:$B$105,$A7,'Shorts ideas'!$AC$6:$AC$105,"&gt;0"),"")</f>
        <v/>
      </c>
      <c r="D7" s="18">
        <f>IFERROR(AVERAGEIFS('Shorts ideas'!$U$6:$U$105,'Shorts ideas'!$B$6:$B$105,$A7,'Shorts ideas'!$U$6:$U$105,"&gt;0"),"")</f>
        <v/>
      </c>
      <c r="E7" s="18">
        <f>IFERROR(AVERAGEIFS('Shorts ideas'!$AD$6:$AD$105,'Shorts ideas'!$B$6:$B$105,$A7,'Shorts ideas'!$AD$6:$AD$105,"&gt;0"),"")</f>
        <v/>
      </c>
      <c r="F7" s="17">
        <f>IFERROR(AVERAGEIFS('Shorts ideas'!$AL$6:$AL$105,'Shorts ideas'!$B$6:$B$105,$A7,'Shorts ideas'!$AL$6:$AL$105,"&gt;0"),"")</f>
        <v/>
      </c>
    </row>
    <row r="8">
      <c r="A8" s="16" t="inlineStr">
        <is>
          <t>Habits and motivation</t>
        </is>
      </c>
      <c r="B8" s="16">
        <f>COUNTIFS('Shorts ideas'!$B$6:$B$105,$A8,'Shorts ideas'!$H$6:$H$105,"Published")</f>
        <v/>
      </c>
      <c r="C8" s="17">
        <f>IFERROR(AVERAGEIFS('Shorts ideas'!$AC$6:$AC$105,'Shorts ideas'!$B$6:$B$105,$A8,'Shorts ideas'!$AC$6:$AC$105,"&gt;0"),"")</f>
        <v/>
      </c>
      <c r="D8" s="18">
        <f>IFERROR(AVERAGEIFS('Shorts ideas'!$U$6:$U$105,'Shorts ideas'!$B$6:$B$105,$A8,'Shorts ideas'!$U$6:$U$105,"&gt;0"),"")</f>
        <v/>
      </c>
      <c r="E8" s="18">
        <f>IFERROR(AVERAGEIFS('Shorts ideas'!$AD$6:$AD$105,'Shorts ideas'!$B$6:$B$105,$A8,'Shorts ideas'!$AD$6:$AD$105,"&gt;0"),"")</f>
        <v/>
      </c>
      <c r="F8" s="17">
        <f>IFERROR(AVERAGEIFS('Shorts ideas'!$AL$6:$AL$105,'Shorts ideas'!$B$6:$B$105,$A8,'Shorts ideas'!$AL$6:$AL$105,"&gt;0"),"")</f>
        <v/>
      </c>
    </row>
    <row r="9">
      <c r="A9" s="16" t="inlineStr">
        <is>
          <t>Emotions and self-awareness</t>
        </is>
      </c>
      <c r="B9" s="16">
        <f>COUNTIFS('Shorts ideas'!$B$6:$B$105,$A9,'Shorts ideas'!$H$6:$H$105,"Published")</f>
        <v/>
      </c>
      <c r="C9" s="17">
        <f>IFERROR(AVERAGEIFS('Shorts ideas'!$AC$6:$AC$105,'Shorts ideas'!$B$6:$B$105,$A9,'Shorts ideas'!$AC$6:$AC$105,"&gt;0"),"")</f>
        <v/>
      </c>
      <c r="D9" s="18">
        <f>IFERROR(AVERAGEIFS('Shorts ideas'!$U$6:$U$105,'Shorts ideas'!$B$6:$B$105,$A9,'Shorts ideas'!$U$6:$U$105,"&gt;0"),"")</f>
        <v/>
      </c>
      <c r="E9" s="18">
        <f>IFERROR(AVERAGEIFS('Shorts ideas'!$AD$6:$AD$105,'Shorts ideas'!$B$6:$B$105,$A9,'Shorts ideas'!$AD$6:$AD$105,"&gt;0"),"")</f>
        <v/>
      </c>
      <c r="F9" s="17">
        <f>IFERROR(AVERAGEIFS('Shorts ideas'!$AL$6:$AL$105,'Shorts ideas'!$B$6:$B$105,$A9,'Shorts ideas'!$AL$6:$AL$105,"&gt;0"),"")</f>
        <v/>
      </c>
    </row>
    <row r="10">
      <c r="A10" s="16" t="inlineStr">
        <is>
          <t>Relationships and communication</t>
        </is>
      </c>
      <c r="B10" s="16">
        <f>COUNTIFS('Shorts ideas'!$B$6:$B$105,$A10,'Shorts ideas'!$H$6:$H$105,"Published")</f>
        <v/>
      </c>
      <c r="C10" s="17">
        <f>IFERROR(AVERAGEIFS('Shorts ideas'!$AC$6:$AC$105,'Shorts ideas'!$B$6:$B$105,$A10,'Shorts ideas'!$AC$6:$AC$105,"&gt;0"),"")</f>
        <v/>
      </c>
      <c r="D10" s="18">
        <f>IFERROR(AVERAGEIFS('Shorts ideas'!$U$6:$U$105,'Shorts ideas'!$B$6:$B$105,$A10,'Shorts ideas'!$U$6:$U$105,"&gt;0"),"")</f>
        <v/>
      </c>
      <c r="E10" s="18">
        <f>IFERROR(AVERAGEIFS('Shorts ideas'!$AD$6:$AD$105,'Shorts ideas'!$B$6:$B$105,$A10,'Shorts ideas'!$AD$6:$AD$105,"&gt;0"),"")</f>
        <v/>
      </c>
      <c r="F10" s="17">
        <f>IFERROR(AVERAGEIFS('Shorts ideas'!$AL$6:$AL$105,'Shorts ideas'!$B$6:$B$105,$A10,'Shorts ideas'!$AL$6:$AL$105,"&gt;0"),"")</f>
        <v/>
      </c>
    </row>
    <row r="11">
      <c r="A11" s="16" t="inlineStr">
        <is>
          <t>Social psychology</t>
        </is>
      </c>
      <c r="B11" s="16">
        <f>COUNTIFS('Shorts ideas'!$B$6:$B$105,$A11,'Shorts ideas'!$H$6:$H$105,"Published")</f>
        <v/>
      </c>
      <c r="C11" s="17">
        <f>IFERROR(AVERAGEIFS('Shorts ideas'!$AC$6:$AC$105,'Shorts ideas'!$B$6:$B$105,$A11,'Shorts ideas'!$AC$6:$AC$105,"&gt;0"),"")</f>
        <v/>
      </c>
      <c r="D11" s="18">
        <f>IFERROR(AVERAGEIFS('Shorts ideas'!$U$6:$U$105,'Shorts ideas'!$B$6:$B$105,$A11,'Shorts ideas'!$U$6:$U$105,"&gt;0"),"")</f>
        <v/>
      </c>
      <c r="E11" s="18">
        <f>IFERROR(AVERAGEIFS('Shorts ideas'!$AD$6:$AD$105,'Shorts ideas'!$B$6:$B$105,$A11,'Shorts ideas'!$AD$6:$AD$105,"&gt;0"),"")</f>
        <v/>
      </c>
      <c r="F11" s="17">
        <f>IFERROR(AVERAGEIFS('Shorts ideas'!$AL$6:$AL$105,'Shorts ideas'!$B$6:$B$105,$A11,'Shorts ideas'!$AL$6:$AL$105,"&gt;0"),"")</f>
        <v/>
      </c>
    </row>
    <row r="12">
      <c r="A12" s="16" t="inlineStr">
        <is>
          <t>Self-image and confidence</t>
        </is>
      </c>
      <c r="B12" s="16">
        <f>COUNTIFS('Shorts ideas'!$B$6:$B$105,$A12,'Shorts ideas'!$H$6:$H$105,"Published")</f>
        <v/>
      </c>
      <c r="C12" s="17">
        <f>IFERROR(AVERAGEIFS('Shorts ideas'!$AC$6:$AC$105,'Shorts ideas'!$B$6:$B$105,$A12,'Shorts ideas'!$AC$6:$AC$105,"&gt;0"),"")</f>
        <v/>
      </c>
      <c r="D12" s="18">
        <f>IFERROR(AVERAGEIFS('Shorts ideas'!$U$6:$U$105,'Shorts ideas'!$B$6:$B$105,$A12,'Shorts ideas'!$U$6:$U$105,"&gt;0"),"")</f>
        <v/>
      </c>
      <c r="E12" s="18">
        <f>IFERROR(AVERAGEIFS('Shorts ideas'!$AD$6:$AD$105,'Shorts ideas'!$B$6:$B$105,$A12,'Shorts ideas'!$AD$6:$AD$105,"&gt;0"),"")</f>
        <v/>
      </c>
      <c r="F12" s="17">
        <f>IFERROR(AVERAGEIFS('Shorts ideas'!$AL$6:$AL$105,'Shorts ideas'!$B$6:$B$105,$A12,'Shorts ideas'!$AL$6:$AL$105,"&gt;0"),"")</f>
        <v/>
      </c>
    </row>
    <row r="13">
      <c r="A13" s="16" t="inlineStr">
        <is>
          <t>Digital life and consumer behavior</t>
        </is>
      </c>
      <c r="B13" s="16">
        <f>COUNTIFS('Shorts ideas'!$B$6:$B$105,$A13,'Shorts ideas'!$H$6:$H$105,"Published")</f>
        <v/>
      </c>
      <c r="C13" s="17">
        <f>IFERROR(AVERAGEIFS('Shorts ideas'!$AC$6:$AC$105,'Shorts ideas'!$B$6:$B$105,$A13,'Shorts ideas'!$AC$6:$AC$105,"&gt;0"),"")</f>
        <v/>
      </c>
      <c r="D13" s="18">
        <f>IFERROR(AVERAGEIFS('Shorts ideas'!$U$6:$U$105,'Shorts ideas'!$B$6:$B$105,$A13,'Shorts ideas'!$U$6:$U$105,"&gt;0"),"")</f>
        <v/>
      </c>
      <c r="E13" s="18">
        <f>IFERROR(AVERAGEIFS('Shorts ideas'!$AD$6:$AD$105,'Shorts ideas'!$B$6:$B$105,$A13,'Shorts ideas'!$AD$6:$AD$105,"&gt;0"),"")</f>
        <v/>
      </c>
      <c r="F13" s="17">
        <f>IFERROR(AVERAGEIFS('Shorts ideas'!$AL$6:$AL$105,'Shorts ideas'!$B$6:$B$105,$A13,'Shorts ideas'!$AL$6:$AL$105,"&gt;0"),"")</f>
        <v/>
      </c>
    </row>
    <row r="14">
      <c r="A14" s="16" t="inlineStr">
        <is>
          <t>Psychology myths and interactive demos</t>
        </is>
      </c>
      <c r="B14" s="16">
        <f>COUNTIFS('Shorts ideas'!$B$6:$B$105,$A14,'Shorts ideas'!$H$6:$H$105,"Published")</f>
        <v/>
      </c>
      <c r="C14" s="17">
        <f>IFERROR(AVERAGEIFS('Shorts ideas'!$AC$6:$AC$105,'Shorts ideas'!$B$6:$B$105,$A14,'Shorts ideas'!$AC$6:$AC$105,"&gt;0"),"")</f>
        <v/>
      </c>
      <c r="D14" s="18">
        <f>IFERROR(AVERAGEIFS('Shorts ideas'!$U$6:$U$105,'Shorts ideas'!$B$6:$B$105,$A14,'Shorts ideas'!$U$6:$U$105,"&gt;0"),"")</f>
        <v/>
      </c>
      <c r="E14" s="18">
        <f>IFERROR(AVERAGEIFS('Shorts ideas'!$AD$6:$AD$105,'Shorts ideas'!$B$6:$B$105,$A14,'Shorts ideas'!$AD$6:$AD$105,"&gt;0"),"")</f>
        <v/>
      </c>
      <c r="F14" s="17">
        <f>IFERROR(AVERAGEIFS('Shorts ideas'!$AL$6:$AL$105,'Shorts ideas'!$B$6:$B$105,$A14,'Shorts ideas'!$AL$6:$AL$105,"&gt;0"),"")</f>
        <v/>
      </c>
    </row>
    <row r="16">
      <c r="A16" s="8" t="inlineStr">
        <is>
          <t>Hook style</t>
        </is>
      </c>
      <c r="B16" s="8" t="inlineStr">
        <is>
          <t>Published</t>
        </is>
      </c>
      <c r="C16" s="8" t="inlineStr">
        <is>
          <t>Avg views d7</t>
        </is>
      </c>
      <c r="D16" s="8" t="inlineStr">
        <is>
          <t>Avg retention d7</t>
        </is>
      </c>
      <c r="E16" s="8" t="inlineStr">
        <is>
          <t>Avg engagement d7</t>
        </is>
      </c>
      <c r="F16" s="8" t="inlineStr">
        <is>
          <t>Avg views d30</t>
        </is>
      </c>
    </row>
    <row r="17">
      <c r="A17" s="16" t="inlineStr">
        <is>
          <t>eyes</t>
        </is>
      </c>
      <c r="B17" s="16">
        <f>COUNTIFS('Shorts ideas'!$N$6:$N$105,$A17,'Shorts ideas'!$H$6:$H$105,"Published")</f>
        <v/>
      </c>
      <c r="C17" s="17">
        <f>IFERROR(AVERAGEIFS('Shorts ideas'!$AC$6:$AC$105,'Shorts ideas'!$N$6:$N$105,$A17,'Shorts ideas'!$AC$6:$AC$105,"&gt;0"),"")</f>
        <v/>
      </c>
      <c r="D17" s="18">
        <f>IFERROR(AVERAGEIFS('Shorts ideas'!$U$6:$U$105,'Shorts ideas'!$N$6:$N$105,$A17,'Shorts ideas'!$U$6:$U$105,"&gt;0"),"")</f>
        <v/>
      </c>
      <c r="E17" s="18">
        <f>IFERROR(AVERAGEIFS('Shorts ideas'!$AD$6:$AD$105,'Shorts ideas'!$N$6:$N$105,$A17,'Shorts ideas'!$AD$6:$AD$105,"&gt;0"),"")</f>
        <v/>
      </c>
      <c r="F17" s="17">
        <f>IFERROR(AVERAGEIFS('Shorts ideas'!$AL$6:$AL$105,'Shorts ideas'!$N$6:$N$105,$A17,'Shorts ideas'!$AL$6:$AL$105,"&gt;0"),"")</f>
        <v/>
      </c>
    </row>
    <row r="18">
      <c r="A18" s="16" t="inlineStr">
        <is>
          <t>thoughts</t>
        </is>
      </c>
      <c r="B18" s="16">
        <f>COUNTIFS('Shorts ideas'!$N$6:$N$105,$A18,'Shorts ideas'!$H$6:$H$105,"Published")</f>
        <v/>
      </c>
      <c r="C18" s="17">
        <f>IFERROR(AVERAGEIFS('Shorts ideas'!$AC$6:$AC$105,'Shorts ideas'!$N$6:$N$105,$A18,'Shorts ideas'!$AC$6:$AC$105,"&gt;0"),"")</f>
        <v/>
      </c>
      <c r="D18" s="18">
        <f>IFERROR(AVERAGEIFS('Shorts ideas'!$U$6:$U$105,'Shorts ideas'!$N$6:$N$105,$A18,'Shorts ideas'!$U$6:$U$105,"&gt;0"),"")</f>
        <v/>
      </c>
      <c r="E18" s="18">
        <f>IFERROR(AVERAGEIFS('Shorts ideas'!$AD$6:$AD$105,'Shorts ideas'!$N$6:$N$105,$A18,'Shorts ideas'!$AD$6:$AD$105,"&gt;0"),"")</f>
        <v/>
      </c>
      <c r="F18" s="17">
        <f>IFERROR(AVERAGEIFS('Shorts ideas'!$AL$6:$AL$105,'Shorts ideas'!$N$6:$N$105,$A18,'Shorts ideas'!$AL$6:$AL$105,"&gt;0"),"")</f>
        <v/>
      </c>
    </row>
    <row r="20">
      <c r="A20" s="8" t="inlineStr">
        <is>
          <t>Weekday</t>
        </is>
      </c>
      <c r="B20" s="8" t="inlineStr">
        <is>
          <t>Published</t>
        </is>
      </c>
      <c r="C20" s="8" t="inlineStr">
        <is>
          <t>Avg views d7</t>
        </is>
      </c>
      <c r="D20" s="8" t="inlineStr">
        <is>
          <t>Avg retention d7</t>
        </is>
      </c>
      <c r="E20" s="8" t="inlineStr">
        <is>
          <t>Avg engagement d7</t>
        </is>
      </c>
      <c r="F20" s="8" t="inlineStr">
        <is>
          <t>Avg views d30</t>
        </is>
      </c>
    </row>
    <row r="21">
      <c r="A21" s="16" t="inlineStr">
        <is>
          <t>Mon</t>
        </is>
      </c>
      <c r="B21" s="16">
        <f>COUNTIFS('Shorts ideas'!$M$6:$M$105,$A21,'Shorts ideas'!$H$6:$H$105,"Published")</f>
        <v/>
      </c>
      <c r="C21" s="17">
        <f>IFERROR(AVERAGEIFS('Shorts ideas'!$AC$6:$AC$105,'Shorts ideas'!$M$6:$M$105,$A21,'Shorts ideas'!$AC$6:$AC$105,"&gt;0"),"")</f>
        <v/>
      </c>
      <c r="D21" s="18">
        <f>IFERROR(AVERAGEIFS('Shorts ideas'!$U$6:$U$105,'Shorts ideas'!$M$6:$M$105,$A21,'Shorts ideas'!$U$6:$U$105,"&gt;0"),"")</f>
        <v/>
      </c>
      <c r="E21" s="18">
        <f>IFERROR(AVERAGEIFS('Shorts ideas'!$AD$6:$AD$105,'Shorts ideas'!$M$6:$M$105,$A21,'Shorts ideas'!$AD$6:$AD$105,"&gt;0"),"")</f>
        <v/>
      </c>
      <c r="F21" s="17">
        <f>IFERROR(AVERAGEIFS('Shorts ideas'!$AL$6:$AL$105,'Shorts ideas'!$M$6:$M$105,$A21,'Shorts ideas'!$AL$6:$AL$105,"&gt;0"),"")</f>
        <v/>
      </c>
    </row>
    <row r="22">
      <c r="A22" s="16" t="inlineStr">
        <is>
          <t>Tue</t>
        </is>
      </c>
      <c r="B22" s="16">
        <f>COUNTIFS('Shorts ideas'!$M$6:$M$105,$A22,'Shorts ideas'!$H$6:$H$105,"Published")</f>
        <v/>
      </c>
      <c r="C22" s="17">
        <f>IFERROR(AVERAGEIFS('Shorts ideas'!$AC$6:$AC$105,'Shorts ideas'!$M$6:$M$105,$A22,'Shorts ideas'!$AC$6:$AC$105,"&gt;0"),"")</f>
        <v/>
      </c>
      <c r="D22" s="18">
        <f>IFERROR(AVERAGEIFS('Shorts ideas'!$U$6:$U$105,'Shorts ideas'!$M$6:$M$105,$A22,'Shorts ideas'!$U$6:$U$105,"&gt;0"),"")</f>
        <v/>
      </c>
      <c r="E22" s="18">
        <f>IFERROR(AVERAGEIFS('Shorts ideas'!$AD$6:$AD$105,'Shorts ideas'!$M$6:$M$105,$A22,'Shorts ideas'!$AD$6:$AD$105,"&gt;0"),"")</f>
        <v/>
      </c>
      <c r="F22" s="17">
        <f>IFERROR(AVERAGEIFS('Shorts ideas'!$AL$6:$AL$105,'Shorts ideas'!$M$6:$M$105,$A22,'Shorts ideas'!$AL$6:$AL$105,"&gt;0"),"")</f>
        <v/>
      </c>
    </row>
    <row r="23">
      <c r="A23" s="16" t="inlineStr">
        <is>
          <t>Wed</t>
        </is>
      </c>
      <c r="B23" s="16">
        <f>COUNTIFS('Shorts ideas'!$M$6:$M$105,$A23,'Shorts ideas'!$H$6:$H$105,"Published")</f>
        <v/>
      </c>
      <c r="C23" s="17">
        <f>IFERROR(AVERAGEIFS('Shorts ideas'!$AC$6:$AC$105,'Shorts ideas'!$M$6:$M$105,$A23,'Shorts ideas'!$AC$6:$AC$105,"&gt;0"),"")</f>
        <v/>
      </c>
      <c r="D23" s="18">
        <f>IFERROR(AVERAGEIFS('Shorts ideas'!$U$6:$U$105,'Shorts ideas'!$M$6:$M$105,$A23,'Shorts ideas'!$U$6:$U$105,"&gt;0"),"")</f>
        <v/>
      </c>
      <c r="E23" s="18">
        <f>IFERROR(AVERAGEIFS('Shorts ideas'!$AD$6:$AD$105,'Shorts ideas'!$M$6:$M$105,$A23,'Shorts ideas'!$AD$6:$AD$105,"&gt;0"),"")</f>
        <v/>
      </c>
      <c r="F23" s="17">
        <f>IFERROR(AVERAGEIFS('Shorts ideas'!$AL$6:$AL$105,'Shorts ideas'!$M$6:$M$105,$A23,'Shorts ideas'!$AL$6:$AL$105,"&gt;0"),"")</f>
        <v/>
      </c>
    </row>
    <row r="24">
      <c r="A24" s="16" t="inlineStr">
        <is>
          <t>Thu</t>
        </is>
      </c>
      <c r="B24" s="16">
        <f>COUNTIFS('Shorts ideas'!$M$6:$M$105,$A24,'Shorts ideas'!$H$6:$H$105,"Published")</f>
        <v/>
      </c>
      <c r="C24" s="17">
        <f>IFERROR(AVERAGEIFS('Shorts ideas'!$AC$6:$AC$105,'Shorts ideas'!$M$6:$M$105,$A24,'Shorts ideas'!$AC$6:$AC$105,"&gt;0"),"")</f>
        <v/>
      </c>
      <c r="D24" s="18">
        <f>IFERROR(AVERAGEIFS('Shorts ideas'!$U$6:$U$105,'Shorts ideas'!$M$6:$M$105,$A24,'Shorts ideas'!$U$6:$U$105,"&gt;0"),"")</f>
        <v/>
      </c>
      <c r="E24" s="18">
        <f>IFERROR(AVERAGEIFS('Shorts ideas'!$AD$6:$AD$105,'Shorts ideas'!$M$6:$M$105,$A24,'Shorts ideas'!$AD$6:$AD$105,"&gt;0"),"")</f>
        <v/>
      </c>
      <c r="F24" s="17">
        <f>IFERROR(AVERAGEIFS('Shorts ideas'!$AL$6:$AL$105,'Shorts ideas'!$M$6:$M$105,$A24,'Shorts ideas'!$AL$6:$AL$105,"&gt;0"),"")</f>
        <v/>
      </c>
    </row>
    <row r="25">
      <c r="A25" s="16" t="inlineStr">
        <is>
          <t>Fri</t>
        </is>
      </c>
      <c r="B25" s="16">
        <f>COUNTIFS('Shorts ideas'!$M$6:$M$105,$A25,'Shorts ideas'!$H$6:$H$105,"Published")</f>
        <v/>
      </c>
      <c r="C25" s="17">
        <f>IFERROR(AVERAGEIFS('Shorts ideas'!$AC$6:$AC$105,'Shorts ideas'!$M$6:$M$105,$A25,'Shorts ideas'!$AC$6:$AC$105,"&gt;0"),"")</f>
        <v/>
      </c>
      <c r="D25" s="18">
        <f>IFERROR(AVERAGEIFS('Shorts ideas'!$U$6:$U$105,'Shorts ideas'!$M$6:$M$105,$A25,'Shorts ideas'!$U$6:$U$105,"&gt;0"),"")</f>
        <v/>
      </c>
      <c r="E25" s="18">
        <f>IFERROR(AVERAGEIFS('Shorts ideas'!$AD$6:$AD$105,'Shorts ideas'!$M$6:$M$105,$A25,'Shorts ideas'!$AD$6:$AD$105,"&gt;0"),"")</f>
        <v/>
      </c>
      <c r="F25" s="17">
        <f>IFERROR(AVERAGEIFS('Shorts ideas'!$AL$6:$AL$105,'Shorts ideas'!$M$6:$M$105,$A25,'Shorts ideas'!$AL$6:$AL$105,"&gt;0"),"")</f>
        <v/>
      </c>
    </row>
    <row r="26">
      <c r="A26" s="16" t="inlineStr">
        <is>
          <t>Sat</t>
        </is>
      </c>
      <c r="B26" s="16">
        <f>COUNTIFS('Shorts ideas'!$M$6:$M$105,$A26,'Shorts ideas'!$H$6:$H$105,"Published")</f>
        <v/>
      </c>
      <c r="C26" s="17">
        <f>IFERROR(AVERAGEIFS('Shorts ideas'!$AC$6:$AC$105,'Shorts ideas'!$M$6:$M$105,$A26,'Shorts ideas'!$AC$6:$AC$105,"&gt;0"),"")</f>
        <v/>
      </c>
      <c r="D26" s="18">
        <f>IFERROR(AVERAGEIFS('Shorts ideas'!$U$6:$U$105,'Shorts ideas'!$M$6:$M$105,$A26,'Shorts ideas'!$U$6:$U$105,"&gt;0"),"")</f>
        <v/>
      </c>
      <c r="E26" s="18">
        <f>IFERROR(AVERAGEIFS('Shorts ideas'!$AD$6:$AD$105,'Shorts ideas'!$M$6:$M$105,$A26,'Shorts ideas'!$AD$6:$AD$105,"&gt;0"),"")</f>
        <v/>
      </c>
      <c r="F26" s="17">
        <f>IFERROR(AVERAGEIFS('Shorts ideas'!$AL$6:$AL$105,'Shorts ideas'!$M$6:$M$105,$A26,'Shorts ideas'!$AL$6:$AL$105,"&gt;0"),"")</f>
        <v/>
      </c>
    </row>
    <row r="27">
      <c r="A27" s="16" t="inlineStr">
        <is>
          <t>Sun</t>
        </is>
      </c>
      <c r="B27" s="16">
        <f>COUNTIFS('Shorts ideas'!$M$6:$M$105,$A27,'Shorts ideas'!$H$6:$H$105,"Published")</f>
        <v/>
      </c>
      <c r="C27" s="17">
        <f>IFERROR(AVERAGEIFS('Shorts ideas'!$AC$6:$AC$105,'Shorts ideas'!$M$6:$M$105,$A27,'Shorts ideas'!$AC$6:$AC$105,"&gt;0"),"")</f>
        <v/>
      </c>
      <c r="D27" s="18">
        <f>IFERROR(AVERAGEIFS('Shorts ideas'!$U$6:$U$105,'Shorts ideas'!$M$6:$M$105,$A27,'Shorts ideas'!$U$6:$U$105,"&gt;0"),"")</f>
        <v/>
      </c>
      <c r="E27" s="18">
        <f>IFERROR(AVERAGEIFS('Shorts ideas'!$AD$6:$AD$105,'Shorts ideas'!$M$6:$M$105,$A27,'Shorts ideas'!$AD$6:$AD$105,"&gt;0"),"")</f>
        <v/>
      </c>
      <c r="F27" s="17">
        <f>IFERROR(AVERAGEIFS('Shorts ideas'!$AL$6:$AL$105,'Shorts ideas'!$M$6:$M$105,$A27,'Shorts ideas'!$AL$6:$AL$105,"&gt;0"),"")</f>
        <v/>
      </c>
    </row>
    <row r="29">
      <c r="A29" s="8" t="inlineStr">
        <is>
          <t>Template fit</t>
        </is>
      </c>
      <c r="B29" s="8" t="inlineStr">
        <is>
          <t>Published</t>
        </is>
      </c>
      <c r="C29" s="8" t="inlineStr">
        <is>
          <t>Avg views d7</t>
        </is>
      </c>
      <c r="D29" s="8" t="inlineStr">
        <is>
          <t>Avg retention d7</t>
        </is>
      </c>
      <c r="E29" s="8" t="inlineStr">
        <is>
          <t>Avg engagement d7</t>
        </is>
      </c>
      <c r="F29" s="8" t="inlineStr">
        <is>
          <t>Avg views d30</t>
        </is>
      </c>
    </row>
    <row r="30">
      <c r="A30" s="16" t="inlineStr">
        <is>
          <t>Strong</t>
        </is>
      </c>
      <c r="B30" s="16">
        <f>COUNTIFS('Shorts ideas'!$J$6:$J$105,$A30,'Shorts ideas'!$H$6:$H$105,"Published")</f>
        <v/>
      </c>
      <c r="C30" s="17">
        <f>IFERROR(AVERAGEIFS('Shorts ideas'!$AC$6:$AC$105,'Shorts ideas'!$J$6:$J$105,$A30,'Shorts ideas'!$AC$6:$AC$105,"&gt;0"),"")</f>
        <v/>
      </c>
      <c r="D30" s="18">
        <f>IFERROR(AVERAGEIFS('Shorts ideas'!$U$6:$U$105,'Shorts ideas'!$J$6:$J$105,$A30,'Shorts ideas'!$U$6:$U$105,"&gt;0"),"")</f>
        <v/>
      </c>
      <c r="E30" s="18">
        <f>IFERROR(AVERAGEIFS('Shorts ideas'!$AD$6:$AD$105,'Shorts ideas'!$J$6:$J$105,$A30,'Shorts ideas'!$AD$6:$AD$105,"&gt;0"),"")</f>
        <v/>
      </c>
      <c r="F30" s="17">
        <f>IFERROR(AVERAGEIFS('Shorts ideas'!$AL$6:$AL$105,'Shorts ideas'!$J$6:$J$105,$A30,'Shorts ideas'!$AL$6:$AL$105,"&gt;0"),"")</f>
        <v/>
      </c>
    </row>
    <row r="31">
      <c r="A31" s="16" t="inlineStr">
        <is>
          <t>Weak</t>
        </is>
      </c>
      <c r="B31" s="16">
        <f>COUNTIFS('Shorts ideas'!$J$6:$J$105,$A31,'Shorts ideas'!$H$6:$H$105,"Published")</f>
        <v/>
      </c>
      <c r="C31" s="17">
        <f>IFERROR(AVERAGEIFS('Shorts ideas'!$AC$6:$AC$105,'Shorts ideas'!$J$6:$J$105,$A31,'Shorts ideas'!$AC$6:$AC$105,"&gt;0"),"")</f>
        <v/>
      </c>
      <c r="D31" s="18">
        <f>IFERROR(AVERAGEIFS('Shorts ideas'!$U$6:$U$105,'Shorts ideas'!$J$6:$J$105,$A31,'Shorts ideas'!$U$6:$U$105,"&gt;0"),"")</f>
        <v/>
      </c>
      <c r="E31" s="18">
        <f>IFERROR(AVERAGEIFS('Shorts ideas'!$AD$6:$AD$105,'Shorts ideas'!$J$6:$J$105,$A31,'Shorts ideas'!$AD$6:$AD$105,"&gt;0"),"")</f>
        <v/>
      </c>
      <c r="F31" s="17">
        <f>IFERROR(AVERAGEIFS('Shorts ideas'!$AL$6:$AL$105,'Shorts ideas'!$J$6:$J$105,$A31,'Shorts ideas'!$AL$6:$AL$105,"&gt;0"),"")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2026-10-11T22:10:01Z</dcterms:created>
  <dcterms:modified xmlns:dcterms="http://purl.org/dc/terms/" xmlns:xsi="http://www.w3.org/2001/XMLSchema-instance" xsi:type="dcterms:W3CDTF">2026-10-11T23:13:27Z</dcterms:modified>
</cp:coreProperties>
</file>