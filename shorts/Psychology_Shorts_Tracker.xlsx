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orts ideas" sheetId="1" state="visible" r:id="rId1"/>
    <sheet name="Long form" sheetId="2" state="visible" r:id="rId2"/>
    <sheet name="Looks" sheetId="3" state="visible" r:id="rId3"/>
    <sheet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0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  <font>
      <name val="Arial"/>
      <b val="1"/>
      <sz val="14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9" fillId="0" borderId="0" pivotButton="0" quotePrefix="0" xfId="0"/>
    <xf numFmtId="165" fontId="0" fillId="0" borderId="0" pivotButton="0" quotePrefix="0" xfId="0"/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O105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  <c r="AO6" s="10" t="inlineStr">
        <is>
          <t>pixel-lab</t>
        </is>
      </c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Scheduled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>
        <v>46310</v>
      </c>
      <c r="M7" s="5">
        <f>IF(L7="","",TEXT(L7,"ddd"))</f>
        <v/>
      </c>
      <c r="N7" s="10" t="inlineStr">
        <is>
          <t>thoughts</t>
        </is>
      </c>
      <c r="O7" s="10" t="n">
        <v>32</v>
      </c>
      <c r="P7" s="10" t="inlineStr">
        <is>
          <t>Why Everything Seems to Prove You Right #shorts</t>
        </is>
      </c>
      <c r="Q7" s="10" t="inlineStr">
        <is>
          <t>Lord, Ross &amp; Lepper 1979, JPSP 37(11):2098-2109; n=48; biased assimilation and attitude polarization</t>
        </is>
      </c>
      <c r="R7" s="10" t="inlineStr">
        <is>
          <t>buffer:youtube=6acfed2f102b7fd4a48ef5db;instagram=6acfed30384901ac08409c3c;tiktok=6acfed30384901ac08409c67</t>
        </is>
      </c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n"/>
      <c r="AO7" s="10" t="inlineStr">
        <is>
          <t>keynote</t>
        </is>
      </c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Idea</t>
        </is>
      </c>
      <c r="I8" s="10" t="n">
        <v>21</v>
      </c>
      <c r="J8" s="10" t="inlineStr">
        <is>
          <t>Strong</t>
        </is>
      </c>
      <c r="K8" s="10" t="n"/>
      <c r="L8" s="11" t="n"/>
      <c r="M8" s="5">
        <f>IF(L8="","",TEXT(L8,"ddd"))</f>
        <v/>
      </c>
      <c r="N8" s="10" t="n"/>
      <c r="O8" s="10" t="n"/>
      <c r="P8" s="10" t="n"/>
      <c r="Q8" s="10" t="n"/>
      <c r="R8" s="10" t="n"/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swiss</t>
        </is>
      </c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Idea</t>
        </is>
      </c>
      <c r="I9" s="10" t="n">
        <v>30</v>
      </c>
      <c r="J9" s="10" t="inlineStr">
        <is>
          <t>Strong</t>
        </is>
      </c>
      <c r="K9" s="10" t="n"/>
      <c r="L9" s="11" t="n"/>
      <c r="M9" s="5">
        <f>IF(L9="","",TEXT(L9,"ddd"))</f>
        <v/>
      </c>
      <c r="N9" s="10" t="n"/>
      <c r="O9" s="10" t="n"/>
      <c r="P9" s="10" t="n"/>
      <c r="Q9" s="10" t="n"/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dossier</t>
        </is>
      </c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Idea</t>
        </is>
      </c>
      <c r="I10" s="10" t="n">
        <v>38</v>
      </c>
      <c r="J10" s="10" t="inlineStr">
        <is>
          <t>Strong</t>
        </is>
      </c>
      <c r="K10" s="10" t="n"/>
      <c r="L10" s="11" t="n"/>
      <c r="M10" s="5">
        <f>IF(L10="","",TEXT(L10,"ddd"))</f>
        <v/>
      </c>
      <c r="N10" s="10" t="n"/>
      <c r="O10" s="10" t="n"/>
      <c r="P10" s="10" t="n"/>
      <c r="Q10" s="10" t="n"/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cartoon-50s</t>
        </is>
      </c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Idea</t>
        </is>
      </c>
      <c r="I11" s="10" t="n">
        <v>45</v>
      </c>
      <c r="J11" s="10" t="inlineStr">
        <is>
          <t>Strong</t>
        </is>
      </c>
      <c r="K11" s="10" t="n"/>
      <c r="L11" s="11" t="n"/>
      <c r="M11" s="5">
        <f>IF(L11="","",TEXT(L11,"ddd"))</f>
        <v/>
      </c>
      <c r="N11" s="10" t="n"/>
      <c r="O11" s="10" t="n"/>
      <c r="P11" s="10" t="n"/>
      <c r="Q11" s="10" t="n"/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n"/>
      <c r="AO11" s="10" t="inlineStr">
        <is>
          <t>riso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  <c r="AO16" s="10" t="inlineStr">
        <is>
          <t>pixel-lab</t>
        </is>
      </c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Scheduled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>
        <v>46310</v>
      </c>
      <c r="M17" s="5">
        <f>IF(L17="","",TEXT(L17,"ddd"))</f>
        <v/>
      </c>
      <c r="N17" s="10" t="inlineStr">
        <is>
          <t>thoughts</t>
        </is>
      </c>
      <c r="O17" s="10" t="n">
        <v>28</v>
      </c>
      <c r="P17" s="10" t="inlineStr">
        <is>
          <t>Stop Rereading. Do This Instead. #shorts</t>
        </is>
      </c>
      <c r="Q17" s="10" t="inlineStr">
        <is>
          <t>Roediger &amp; Karpicke 2006, Psychological Science 17(3):249-255, Exp 2: 61% (STTT) vs 40% (SSSS) after one week (WashU news)</t>
        </is>
      </c>
      <c r="R17" s="10" t="inlineStr">
        <is>
          <t>buffer:youtube=6acfed31102b7fd4a48ef6cc;instagram=6acfed31ad454aea56cdfb2b;tiktok=6acfed3268efdf6f76c436db</t>
        </is>
      </c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n"/>
      <c r="AO17" s="10" t="inlineStr">
        <is>
          <t>whiteboard</t>
        </is>
      </c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Idea</t>
        </is>
      </c>
      <c r="I18" s="10" t="n">
        <v>22</v>
      </c>
      <c r="J18" s="10" t="inlineStr">
        <is>
          <t>Strong</t>
        </is>
      </c>
      <c r="K18" s="10" t="n"/>
      <c r="L18" s="11" t="n"/>
      <c r="M18" s="5">
        <f>IF(L18="","",TEXT(L18,"ddd"))</f>
        <v/>
      </c>
      <c r="N18" s="10" t="n"/>
      <c r="O18" s="10" t="n"/>
      <c r="P18" s="10" t="n"/>
      <c r="Q18" s="10" t="n"/>
      <c r="R18" s="10" t="n"/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pixel-quest</t>
        </is>
      </c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Idea</t>
        </is>
      </c>
      <c r="I19" s="10" t="n">
        <v>31</v>
      </c>
      <c r="J19" s="10" t="inlineStr">
        <is>
          <t>Strong</t>
        </is>
      </c>
      <c r="K19" s="10" t="n"/>
      <c r="L19" s="11" t="n"/>
      <c r="M19" s="5">
        <f>IF(L19="","",TEXT(L19,"ddd"))</f>
        <v/>
      </c>
      <c r="N19" s="10" t="n"/>
      <c r="O19" s="10" t="n"/>
      <c r="P19" s="10" t="n"/>
      <c r="Q19" s="10" t="n"/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blueprint</t>
        </is>
      </c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Idea</t>
        </is>
      </c>
      <c r="I20" s="10" t="n">
        <v>39</v>
      </c>
      <c r="J20" s="10" t="inlineStr">
        <is>
          <t>Strong</t>
        </is>
      </c>
      <c r="K20" s="10" t="n"/>
      <c r="L20" s="11" t="n"/>
      <c r="M20" s="5">
        <f>IF(L20="","",TEXT(L20,"ddd"))</f>
        <v/>
      </c>
      <c r="N20" s="10" t="n"/>
      <c r="O20" s="10" t="n"/>
      <c r="P20" s="10" t="n"/>
      <c r="Q20" s="10" t="n"/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one-line</t>
        </is>
      </c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n"/>
      <c r="AO21" s="10" t="inlineStr">
        <is>
          <t>dossier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Idea</t>
        </is>
      </c>
      <c r="I23" s="10" t="n">
        <v>59</v>
      </c>
      <c r="J23" s="10" t="inlineStr">
        <is>
          <t>Strong</t>
        </is>
      </c>
      <c r="K23" s="10" t="n"/>
      <c r="L23" s="11" t="n"/>
      <c r="M23" s="5">
        <f>IF(L23="","",TEXT(L23,"ddd"))</f>
        <v/>
      </c>
      <c r="N23" s="10" t="n"/>
      <c r="O23" s="10" t="n"/>
      <c r="P23" s="10" t="n"/>
      <c r="Q23" s="10" t="n"/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n"/>
      <c r="AO23" s="10" t="inlineStr">
        <is>
          <t>data-story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Idea</t>
        </is>
      </c>
      <c r="I26" s="10" t="n">
        <v>72</v>
      </c>
      <c r="J26" s="10" t="inlineStr">
        <is>
          <t>Weak</t>
        </is>
      </c>
      <c r="K26" s="10" t="n"/>
      <c r="L26" s="11" t="n"/>
      <c r="M26" s="5">
        <f>IF(L26="","",TEXT(L26,"ddd"))</f>
        <v/>
      </c>
      <c r="N26" s="10" t="n"/>
      <c r="O26" s="10" t="n"/>
      <c r="P26" s="10" t="n"/>
      <c r="Q26" s="10" t="n"/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n"/>
      <c r="AO26" s="10" t="inlineStr">
        <is>
          <t>game-show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  <c r="AO27" s="10" t="inlineStr">
        <is>
          <t>pixel-lab</t>
        </is>
      </c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Scheduled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>
        <v>46310</v>
      </c>
      <c r="M29" s="5">
        <f>IF(L29="","",TEXT(L29,"ddd"))</f>
        <v/>
      </c>
      <c r="N29" s="10" t="inlineStr">
        <is>
          <t>thoughts</t>
        </is>
      </c>
      <c r="O29" s="10" t="n">
        <v>26</v>
      </c>
      <c r="P29" s="10" t="inlineStr">
        <is>
          <t>Your Brain Can't Actually Multitask #shorts</t>
        </is>
      </c>
      <c r="Q29" s="10" t="inlineStr">
        <is>
          <t>Strayer &amp; Johnston 2001, Psychological Science 12(6):462-466, Exp 1: miss rate more than doubled on phone; handheld = hands-free; radio n.s.</t>
        </is>
      </c>
      <c r="R29" s="10" t="inlineStr">
        <is>
          <t>buffer:youtube=6acfed33d7ed7764890a8f2b;instagram=6acfed33ad454aea56cdfbf1;tiktok=6acfed34d7ed7764890a8f69</t>
        </is>
      </c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n"/>
      <c r="AO29" s="10" t="inlineStr">
        <is>
          <t>terminal</t>
        </is>
      </c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Idea</t>
        </is>
      </c>
      <c r="I30" s="10" t="n">
        <v>23</v>
      </c>
      <c r="J30" s="10" t="inlineStr">
        <is>
          <t>Strong</t>
        </is>
      </c>
      <c r="K30" s="10" t="n"/>
      <c r="L30" s="11" t="n"/>
      <c r="M30" s="5">
        <f>IF(L30="","",TEXT(L30,"ddd"))</f>
        <v/>
      </c>
      <c r="N30" s="10" t="n"/>
      <c r="O30" s="10" t="n"/>
      <c r="P30" s="10" t="n"/>
      <c r="Q30" s="10" t="n"/>
      <c r="R30" s="10" t="n"/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riso</t>
        </is>
      </c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Scheduled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>
        <v>46309</v>
      </c>
      <c r="M37" s="5">
        <f>IF(L37="","",TEXT(L37,"ddd"))</f>
        <v/>
      </c>
      <c r="N37" s="10" t="inlineStr">
        <is>
          <t>thoughts</t>
        </is>
      </c>
      <c r="O37" s="10" t="n">
        <v>42</v>
      </c>
      <c r="P37" s="10" t="inlineStr">
        <is>
          <t>The Simple Plan That Beats Procrastination #shorts</t>
        </is>
      </c>
      <c r="Q37" s="10" t="inlineStr">
        <is>
          <t>Gollwitzer &amp; Brandstätter 1997, JPSP 73(1):186-199, Study 2: 71% (12/17) vs 32% (6/19) wrote report within 2 days</t>
        </is>
      </c>
      <c r="R37" s="10" t="inlineStr">
        <is>
          <t>buffer:youtube=6ace86df1bdf729a2aa960ff;instagram=6ace86df4a3bafcd13007dde;tiktok=6ace86dfeaea728d3cae7f6c</t>
        </is>
      </c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Scripted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/>
      <c r="M40" s="5">
        <f>IF(L40="","",TEXT(L40,"ddd"))</f>
        <v/>
      </c>
      <c r="N40" s="10" t="inlineStr">
        <is>
          <t>thoughts</t>
        </is>
      </c>
      <c r="O40" s="10" t="n"/>
      <c r="P40" s="10" t="n"/>
      <c r="Q40" s="10" t="inlineStr">
        <is>
          <t>Read &amp; van Leeuwen (1998), Organizational Behavior and Human Decision Processes 76(2)</t>
        </is>
      </c>
      <c r="R40" s="10" t="n"/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ted1</t>
        </is>
      </c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Idea</t>
        </is>
      </c>
      <c r="I41" s="10" t="n">
        <v>24</v>
      </c>
      <c r="J41" s="10" t="inlineStr">
        <is>
          <t>Strong</t>
        </is>
      </c>
      <c r="K41" s="10" t="n"/>
      <c r="L41" s="11" t="n"/>
      <c r="M41" s="5">
        <f>IF(L41="","",TEXT(L41,"ddd"))</f>
        <v/>
      </c>
      <c r="N41" s="10" t="n"/>
      <c r="O41" s="10" t="n"/>
      <c r="P41" s="10" t="n"/>
      <c r="Q41" s="10" t="n"/>
      <c r="R41" s="10" t="n"/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crayon</t>
        </is>
      </c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Idea</t>
        </is>
      </c>
      <c r="I42" s="10" t="n">
        <v>33</v>
      </c>
      <c r="J42" s="10" t="inlineStr">
        <is>
          <t>Strong</t>
        </is>
      </c>
      <c r="K42" s="10" t="n"/>
      <c r="L42" s="11" t="n"/>
      <c r="M42" s="5">
        <f>IF(L42="","",TEXT(L42,"ddd"))</f>
        <v/>
      </c>
      <c r="N42" s="10" t="n"/>
      <c r="O42" s="10" t="n"/>
      <c r="P42" s="10" t="n"/>
      <c r="Q42" s="10" t="n"/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game-show</t>
        </is>
      </c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Scheduled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>
        <v>46309</v>
      </c>
      <c r="M47" s="5">
        <f>IF(L47="","",TEXT(L47,"ddd"))</f>
        <v/>
      </c>
      <c r="N47" s="10" t="inlineStr">
        <is>
          <t>thoughts</t>
        </is>
      </c>
      <c r="O47" s="10" t="n">
        <v>46</v>
      </c>
      <c r="P47" s="10" t="inlineStr">
        <is>
          <t>Your Feelings Aren't Always Facts #shorts</t>
        </is>
      </c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inlineStr">
        <is>
          <t>buffer:youtube=6ace86e1eaea728d3cae7fdc;instagram=6ace86e11bdf729a2aa961ae;tiktok=6ace86e29abb1755a4728c48</t>
        </is>
      </c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Scheduled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>
        <v>46309</v>
      </c>
      <c r="M48" s="5">
        <f>IF(L48="","",TEXT(L48,"ddd"))</f>
        <v/>
      </c>
      <c r="N48" s="10" t="n"/>
      <c r="O48" s="10" t="n">
        <v>27</v>
      </c>
      <c r="P48" s="10" t="inlineStr">
        <is>
          <t>Say These 3 Words Before Anything Scary #shorts</t>
        </is>
      </c>
      <c r="Q48" s="10" t="inlineStr">
        <is>
          <t>Brooks (2014), Journal of Experimental Psychology: General 143(3)</t>
        </is>
      </c>
      <c r="R48" s="10" t="inlineStr">
        <is>
          <t>buffer:youtube=6ad04e620d0df6a75bc21aba;instagram=6ad04e6278f377d888aeff2b;tiktok=6ad04e63e09e6bdb27e11075</t>
        </is>
      </c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ted1</t>
        </is>
      </c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Idea</t>
        </is>
      </c>
      <c r="I52" s="10" t="n">
        <v>25</v>
      </c>
      <c r="J52" s="10" t="inlineStr">
        <is>
          <t>Strong</t>
        </is>
      </c>
      <c r="K52" s="10" t="n"/>
      <c r="L52" s="11" t="n"/>
      <c r="M52" s="5">
        <f>IF(L52="","",TEXT(L52,"ddd"))</f>
        <v/>
      </c>
      <c r="N52" s="10" t="n"/>
      <c r="O52" s="10" t="n"/>
      <c r="P52" s="10" t="n"/>
      <c r="Q52" s="10" t="n"/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spy-noir</t>
        </is>
      </c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Scheduled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>
        <v>46309</v>
      </c>
      <c r="M63" s="5">
        <f>IF(L63="","",TEXT(L63,"ddd"))</f>
        <v/>
      </c>
      <c r="N63" s="10" t="inlineStr">
        <is>
          <t>eyes</t>
        </is>
      </c>
      <c r="O63" s="10" t="n">
        <v>42</v>
      </c>
      <c r="P63" s="10" t="inlineStr">
        <is>
          <t>Why a Free Gift Makes You Feel Like You Owe #shorts</t>
        </is>
      </c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inlineStr">
        <is>
          <t>buffer:youtube=6ace86e34a3bafcd13007ef2;instagram=6ace86e49abb1755a4728ccf;tiktok=6ace86e4cb3665561f6351fe</t>
        </is>
      </c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Idea</t>
        </is>
      </c>
      <c r="I64" s="10" t="n">
        <v>16</v>
      </c>
      <c r="J64" s="10" t="inlineStr">
        <is>
          <t>Strong</t>
        </is>
      </c>
      <c r="K64" s="10" t="n"/>
      <c r="L64" s="11" t="n"/>
      <c r="M64" s="5">
        <f>IF(L64="","",TEXT(L64,"ddd"))</f>
        <v/>
      </c>
      <c r="N64" s="10" t="n"/>
      <c r="O64" s="10" t="n"/>
      <c r="P64" s="10" t="n"/>
      <c r="Q64" s="10" t="n"/>
      <c r="R64" s="10" t="n"/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riso</t>
        </is>
      </c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Scheduled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>
        <v>46309</v>
      </c>
      <c r="M66" s="5">
        <f>IF(L66="","",TEXT(L66,"ddd"))</f>
        <v/>
      </c>
      <c r="N66" s="10" t="inlineStr">
        <is>
          <t>eyes</t>
        </is>
      </c>
      <c r="O66" s="10" t="n">
        <v>27</v>
      </c>
      <c r="P66" s="10" t="inlineStr">
        <is>
          <t>Would You Give a Wrong Answer to Fit In? #shorts</t>
        </is>
      </c>
      <c r="Q66" s="10" t="inlineStr">
        <is>
          <t>Asch 1951 (1956 monograph): controls &lt;1% errors; ~74-75% conformed at least once; ~1/3 of critical responses (Wikipedia; textbook summaries)</t>
        </is>
      </c>
      <c r="R66" s="10" t="inlineStr">
        <is>
          <t>buffer:youtube=6acff9681cf1b660315c437a;instagram=6acff968fd7b73f9b827be52;tiktok=6acff96968bd56434b7c64ce</t>
        </is>
      </c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Idea</t>
        </is>
      </c>
      <c r="I67" s="10" t="n">
        <v>17</v>
      </c>
      <c r="J67" s="10" t="inlineStr">
        <is>
          <t>Strong</t>
        </is>
      </c>
      <c r="K67" s="10" t="n"/>
      <c r="L67" s="11" t="n"/>
      <c r="M67" s="5">
        <f>IF(L67="","",TEXT(L67,"ddd"))</f>
        <v/>
      </c>
      <c r="N67" s="10" t="n"/>
      <c r="O67" s="10" t="n"/>
      <c r="P67" s="10" t="n"/>
      <c r="Q67" s="10" t="n"/>
      <c r="R67" s="10" t="n"/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data-story</t>
        </is>
      </c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Idea</t>
        </is>
      </c>
      <c r="I68" s="10" t="n">
        <v>26</v>
      </c>
      <c r="J68" s="10" t="inlineStr">
        <is>
          <t>Strong</t>
        </is>
      </c>
      <c r="K68" s="10" t="n"/>
      <c r="L68" s="11" t="n"/>
      <c r="M68" s="5">
        <f>IF(L68="","",TEXT(L68,"ddd"))</f>
        <v/>
      </c>
      <c r="N68" s="10" t="n"/>
      <c r="O68" s="10" t="n"/>
      <c r="P68" s="10" t="n"/>
      <c r="Q68" s="10" t="n"/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game-show</t>
        </is>
      </c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Idea</t>
        </is>
      </c>
      <c r="I69" s="10" t="n">
        <v>34</v>
      </c>
      <c r="J69" s="10" t="inlineStr">
        <is>
          <t>Strong</t>
        </is>
      </c>
      <c r="K69" s="10" t="n"/>
      <c r="L69" s="11" t="n"/>
      <c r="M69" s="5">
        <f>IF(L69="","",TEXT(L69,"ddd"))</f>
        <v/>
      </c>
      <c r="N69" s="10" t="n"/>
      <c r="O69" s="10" t="n"/>
      <c r="P69" s="10" t="n"/>
      <c r="Q69" s="10" t="n"/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riso</t>
        </is>
      </c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Idea</t>
        </is>
      </c>
      <c r="I70" s="10" t="n">
        <v>41</v>
      </c>
      <c r="J70" s="10" t="inlineStr">
        <is>
          <t>Strong</t>
        </is>
      </c>
      <c r="K70" s="10" t="n"/>
      <c r="L70" s="11" t="n"/>
      <c r="M70" s="5">
        <f>IF(L70="","",TEXT(L70,"ddd"))</f>
        <v/>
      </c>
      <c r="N70" s="10" t="n"/>
      <c r="O70" s="10" t="n"/>
      <c r="P70" s="10" t="n"/>
      <c r="Q70" s="10" t="n"/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dossier</t>
        </is>
      </c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Idea</t>
        </is>
      </c>
      <c r="I71" s="10" t="n">
        <v>48</v>
      </c>
      <c r="J71" s="10" t="inlineStr">
        <is>
          <t>Strong</t>
        </is>
      </c>
      <c r="K71" s="10" t="n"/>
      <c r="L71" s="11" t="n"/>
      <c r="M71" s="5">
        <f>IF(L71="","",TEXT(L71,"ddd"))</f>
        <v/>
      </c>
      <c r="N71" s="10" t="n"/>
      <c r="O71" s="10" t="n"/>
      <c r="P71" s="10" t="n"/>
      <c r="Q71" s="10" t="n"/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n"/>
      <c r="AO71" s="10" t="inlineStr">
        <is>
          <t>blueprint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Scheduled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>
        <v>46309</v>
      </c>
      <c r="M76" s="5">
        <f>IF(L76="","",TEXT(L76,"ddd"))</f>
        <v/>
      </c>
      <c r="N76" s="10" t="inlineStr">
        <is>
          <t>eyes</t>
        </is>
      </c>
      <c r="O76" s="10" t="n">
        <v>30</v>
      </c>
      <c r="P76" s="10" t="inlineStr">
        <is>
          <t>Why You Feel Worse Next to Certain People #shorts</t>
        </is>
      </c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inlineStr">
        <is>
          <t>buffer:youtube=6acff96a38b78c67c8fec2aa;instagram=6acff96b68bd56434b7c651d;tiktok=6acff96b90e61174bee1ea47</t>
        </is>
      </c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Idea</t>
        </is>
      </c>
      <c r="I77" s="10" t="n">
        <v>18</v>
      </c>
      <c r="J77" s="10" t="inlineStr">
        <is>
          <t>Strong</t>
        </is>
      </c>
      <c r="K77" s="10" t="n"/>
      <c r="L77" s="11" t="n"/>
      <c r="M77" s="5">
        <f>IF(L77="","",TEXT(L77,"ddd"))</f>
        <v/>
      </c>
      <c r="N77" s="10" t="n"/>
      <c r="O77" s="10" t="n"/>
      <c r="P77" s="10" t="n"/>
      <c r="Q77" s="10" t="n"/>
      <c r="R77" s="10" t="n"/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game-show</t>
        </is>
      </c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Idea</t>
        </is>
      </c>
      <c r="I78" s="10" t="n">
        <v>27</v>
      </c>
      <c r="J78" s="10" t="inlineStr">
        <is>
          <t>Strong</t>
        </is>
      </c>
      <c r="K78" s="10" t="n"/>
      <c r="L78" s="11" t="n"/>
      <c r="M78" s="5">
        <f>IF(L78="","",TEXT(L78,"ddd"))</f>
        <v/>
      </c>
      <c r="N78" s="10" t="n"/>
      <c r="O78" s="10" t="n"/>
      <c r="P78" s="10" t="n"/>
      <c r="Q78" s="10" t="n"/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spy-noir</t>
        </is>
      </c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Scheduled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>
        <v>46310</v>
      </c>
      <c r="M87" s="5">
        <f>IF(L87="","",TEXT(L87,"ddd"))</f>
        <v/>
      </c>
      <c r="N87" s="10" t="inlineStr">
        <is>
          <t>eyes</t>
        </is>
      </c>
      <c r="O87" s="10" t="n">
        <v>28</v>
      </c>
      <c r="P87" s="10" t="inlineStr">
        <is>
          <t>Why Likes Make You Want to Post Again #shorts</t>
        </is>
      </c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inlineStr">
        <is>
          <t>buffer:youtube=6acfed2bd7ed7764890a8cb7;instagram=6acfed2b384901ac08409b26;tiktok=6acfed2cd7ed7764890a8d15</t>
        </is>
      </c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Idea</t>
        </is>
      </c>
      <c r="I88" s="10" t="n">
        <v>19</v>
      </c>
      <c r="J88" s="10" t="inlineStr">
        <is>
          <t>Strong</t>
        </is>
      </c>
      <c r="K88" s="10" t="n"/>
      <c r="L88" s="11" t="n"/>
      <c r="M88" s="5">
        <f>IF(L88="","",TEXT(L88,"ddd"))</f>
        <v/>
      </c>
      <c r="N88" s="10" t="n"/>
      <c r="O88" s="10" t="n"/>
      <c r="P88" s="10" t="n"/>
      <c r="Q88" s="10" t="n"/>
      <c r="R88" s="10" t="n"/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keynote</t>
        </is>
      </c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Idea</t>
        </is>
      </c>
      <c r="I89" s="10" t="n">
        <v>28</v>
      </c>
      <c r="J89" s="10" t="inlineStr">
        <is>
          <t>Strong</t>
        </is>
      </c>
      <c r="K89" s="10" t="n"/>
      <c r="L89" s="11" t="n"/>
      <c r="M89" s="5">
        <f>IF(L89="","",TEXT(L89,"ddd"))</f>
        <v/>
      </c>
      <c r="N89" s="10" t="n"/>
      <c r="O89" s="10" t="n"/>
      <c r="P89" s="10" t="n"/>
      <c r="Q89" s="10" t="n"/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riso</t>
        </is>
      </c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Idea</t>
        </is>
      </c>
      <c r="I90" s="10" t="n">
        <v>36</v>
      </c>
      <c r="J90" s="10" t="inlineStr">
        <is>
          <t>Strong</t>
        </is>
      </c>
      <c r="K90" s="10" t="n"/>
      <c r="L90" s="11" t="n"/>
      <c r="M90" s="5">
        <f>IF(L90="","",TEXT(L90,"ddd"))</f>
        <v/>
      </c>
      <c r="N90" s="10" t="n"/>
      <c r="O90" s="10" t="n"/>
      <c r="P90" s="10" t="n"/>
      <c r="Q90" s="10" t="n"/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terminal</t>
        </is>
      </c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Idea</t>
        </is>
      </c>
      <c r="I91" s="10" t="n">
        <v>43</v>
      </c>
      <c r="J91" s="10" t="inlineStr">
        <is>
          <t>Strong</t>
        </is>
      </c>
      <c r="K91" s="10" t="n"/>
      <c r="L91" s="11" t="n"/>
      <c r="M91" s="5">
        <f>IF(L91="","",TEXT(L91,"ddd"))</f>
        <v/>
      </c>
      <c r="N91" s="10" t="n"/>
      <c r="O91" s="10" t="n"/>
      <c r="P91" s="10" t="n"/>
      <c r="Q91" s="10" t="n"/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swiss</t>
        </is>
      </c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Scheduled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>
        <v>46310</v>
      </c>
      <c r="M96" s="5">
        <f>IF(L96="","",TEXT(L96,"ddd"))</f>
        <v/>
      </c>
      <c r="N96" s="10" t="inlineStr">
        <is>
          <t>thoughts</t>
        </is>
      </c>
      <c r="O96" s="10" t="n">
        <v>24</v>
      </c>
      <c r="P96" s="10" t="inlineStr">
        <is>
          <t>The Learning Styles Myth Most Teachers Believe #shorts</t>
        </is>
      </c>
      <c r="Q96" s="10" t="inlineStr">
        <is>
          <t>Dekker et al. 2012, Frontiers in Psychology 3:429, Table 1: 93% UK / 96% NL; Pashler et al. 2008, PSPI 9(3)</t>
        </is>
      </c>
      <c r="R96" s="10" t="inlineStr">
        <is>
          <t>buffer:youtube=6acfed2d68efdf6f76c4354c;instagram=6acfed2ed7ed7764890a8dc5;tiktok=6acfed2e68efdf6f76c43581</t>
        </is>
      </c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n"/>
      <c r="AO96" s="10" t="inlineStr">
        <is>
          <t>whiteboard</t>
        </is>
      </c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Idea</t>
        </is>
      </c>
      <c r="I97" s="10" t="n">
        <v>20</v>
      </c>
      <c r="J97" s="10" t="inlineStr">
        <is>
          <t>Strong</t>
        </is>
      </c>
      <c r="K97" s="10" t="n"/>
      <c r="L97" s="11" t="n"/>
      <c r="M97" s="5">
        <f>IF(L97="","",TEXT(L97,"ddd"))</f>
        <v/>
      </c>
      <c r="N97" s="10" t="n"/>
      <c r="O97" s="10" t="n"/>
      <c r="P97" s="10" t="n"/>
      <c r="Q97" s="10" t="n"/>
      <c r="R97" s="10" t="n"/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blueprint</t>
        </is>
      </c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Idea</t>
        </is>
      </c>
      <c r="I98" s="10" t="n">
        <v>29</v>
      </c>
      <c r="J98" s="10" t="inlineStr">
        <is>
          <t>Strong</t>
        </is>
      </c>
      <c r="K98" s="10" t="n"/>
      <c r="L98" s="11" t="n"/>
      <c r="M98" s="5">
        <f>IF(L98="","",TEXT(L98,"ddd"))</f>
        <v/>
      </c>
      <c r="N98" s="10" t="n"/>
      <c r="O98" s="10" t="n"/>
      <c r="P98" s="10" t="n"/>
      <c r="Q98" s="10" t="n"/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dossier</t>
        </is>
      </c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Idea</t>
        </is>
      </c>
      <c r="I99" s="10" t="n">
        <v>37</v>
      </c>
      <c r="J99" s="10" t="inlineStr">
        <is>
          <t>Strong</t>
        </is>
      </c>
      <c r="K99" s="10" t="n"/>
      <c r="L99" s="11" t="n"/>
      <c r="M99" s="5">
        <f>IF(L99="","",TEXT(L99,"ddd"))</f>
        <v/>
      </c>
      <c r="N99" s="10" t="n"/>
      <c r="O99" s="10" t="n"/>
      <c r="P99" s="10" t="n"/>
      <c r="Q99" s="10" t="n"/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spy-noir</t>
        </is>
      </c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3">
    <dataValidation sqref="H6:H105" showDropDown="0" showInputMessage="0" showErrorMessage="0" allowBlank="1" type="list">
      <formula1>"Idea,Researching,Scripted,Scheduled,Published,Vetoed,Failed,Filming,Editing"</formula1>
    </dataValidation>
    <dataValidation sqref="J6:J105" showDropDown="0" showInputMessage="0" showErrorMessage="0" allowBlank="1" type="list">
      <formula1>"Strong,Weak"</formula1>
    </dataValidation>
    <dataValidation sqref="AO6:AO105" showDropDown="0" showInputMessage="0" showErrorMessage="0" allowBlank="1" type="list">
      <formula1>=Looks!$A$5:$A$20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11" customWidth="1" min="4" max="4"/>
    <col width="8" customWidth="1" min="5" max="5"/>
    <col width="26" customWidth="1" min="6" max="6"/>
    <col width="11" customWidth="1" min="7" max="7"/>
    <col width="40" customWidth="1" min="8" max="8"/>
    <col width="10" customWidth="1" min="9" max="9"/>
    <col width="10" customWidth="1" min="10" max="10"/>
    <col width="12" customWidth="1" min="11" max="11"/>
    <col width="12" customWidth="1" min="12" max="12"/>
    <col width="10" customWidth="1" min="13" max="13"/>
    <col width="10" customWidth="1" min="14" max="14"/>
    <col width="40" customWidth="1" min="15" max="15"/>
  </cols>
  <sheetData>
    <row r="1">
      <c r="A1" s="49" t="inlineStr">
        <is>
          <t>Long-form videos (Ted type 1, 16:9, YouTube) — twice a week</t>
        </is>
      </c>
    </row>
    <row r="2">
      <c r="A2" s="15" t="inlineStr">
        <is>
          <t>Built by the "Long-form" GitHub workflow (Mon &amp; Thu) for posting Tue &amp; Fri. Status: Idea → Scripted → Scheduled → Published | Vetoed | Failed.</t>
        </is>
      </c>
    </row>
    <row r="4">
      <c r="A4" s="8" t="inlineStr">
        <is>
          <t>No.</t>
        </is>
      </c>
      <c r="B4" s="8" t="inlineStr">
        <is>
          <t>Topic</t>
        </is>
      </c>
      <c r="C4" s="8" t="inlineStr">
        <is>
          <t>Angle / hook</t>
        </is>
      </c>
      <c r="D4" s="8" t="inlineStr">
        <is>
          <t>Status</t>
        </is>
      </c>
      <c r="E4" s="8" t="inlineStr">
        <is>
          <t>Priority</t>
        </is>
      </c>
      <c r="F4" s="8" t="inlineStr">
        <is>
          <t>Slug</t>
        </is>
      </c>
      <c r="G4" s="8" t="inlineStr">
        <is>
          <t>Post date</t>
        </is>
      </c>
      <c r="H4" s="8" t="inlineStr">
        <is>
          <t>Title used</t>
        </is>
      </c>
      <c r="I4" s="8" t="inlineStr">
        <is>
          <t>Length (min)</t>
        </is>
      </c>
      <c r="J4" s="8" t="inlineStr">
        <is>
          <t>YT views d7</t>
        </is>
      </c>
      <c r="K4" s="8" t="inlineStr">
        <is>
          <t>YT avg view (s) d7</t>
        </is>
      </c>
      <c r="L4" s="8" t="inlineStr">
        <is>
          <t>YT retention d7</t>
        </is>
      </c>
      <c r="M4" s="8" t="inlineStr">
        <is>
          <t>YT likes d7</t>
        </is>
      </c>
      <c r="N4" s="8" t="inlineStr">
        <is>
          <t>YT views d30</t>
        </is>
      </c>
      <c r="O4" s="8" t="inlineStr">
        <is>
          <t>Lesson / notes</t>
        </is>
      </c>
    </row>
    <row r="5">
      <c r="A5" s="16" t="n">
        <v>1</v>
      </c>
      <c r="B5" s="16" t="inlineStr">
        <is>
          <t>Liking &amp; influence</t>
        </is>
      </c>
      <c r="C5" s="16" t="inlineStr">
        <is>
          <t>7 psychology tricks that make people like you (and why they work)</t>
        </is>
      </c>
      <c r="D5" s="16" t="inlineStr">
        <is>
          <t>Scripted</t>
        </is>
      </c>
      <c r="E5" s="16" t="n">
        <v>1</v>
      </c>
      <c r="F5" t="inlineStr">
        <is>
          <t>seven-tricks-liked</t>
        </is>
      </c>
      <c r="H5" t="inlineStr">
        <is>
          <t>7 Psychology Tricks That Make People Like You (Backed by Research)</t>
        </is>
      </c>
      <c r="L5" s="50">
        <f>IF(OR(K5="",N(I5)=0),"",K5/(I5*60))</f>
        <v/>
      </c>
    </row>
    <row r="6">
      <c r="A6" s="16" t="n">
        <v>2</v>
      </c>
      <c r="B6" s="16" t="inlineStr">
        <is>
          <t>Cognitive biases</t>
        </is>
      </c>
      <c r="C6" s="16" t="inlineStr">
        <is>
          <t>8 ways your brain lies to you every day</t>
        </is>
      </c>
      <c r="D6" s="16" t="inlineStr">
        <is>
          <t>Idea</t>
        </is>
      </c>
      <c r="E6" s="16" t="n">
        <v>2</v>
      </c>
      <c r="L6" s="50">
        <f>IF(OR(K6="",N(I6)=0),"",K6/(I6*60))</f>
        <v/>
      </c>
    </row>
    <row r="7">
      <c r="A7" s="16" t="n">
        <v>3</v>
      </c>
      <c r="B7" s="16" t="inlineStr">
        <is>
          <t>Learning</t>
        </is>
      </c>
      <c r="C7" s="16" t="inlineStr">
        <is>
          <t>How to study smarter: 6 techniques backed by research</t>
        </is>
      </c>
      <c r="D7" s="16" t="inlineStr">
        <is>
          <t>Idea</t>
        </is>
      </c>
      <c r="E7" s="16" t="n">
        <v>3</v>
      </c>
      <c r="L7" s="50">
        <f>IF(OR(K7="",N(I7)=0),"",K7/(I7*60))</f>
        <v/>
      </c>
    </row>
    <row r="8">
      <c r="A8" s="16" t="n">
        <v>4</v>
      </c>
      <c r="B8" s="16" t="inlineStr">
        <is>
          <t>Habits</t>
        </is>
      </c>
      <c r="C8" s="16" t="inlineStr">
        <is>
          <t>The psychology of habits: why you can't stop (and how to)</t>
        </is>
      </c>
      <c r="D8" s="16" t="inlineStr">
        <is>
          <t>Idea</t>
        </is>
      </c>
      <c r="E8" s="16" t="n">
        <v>4</v>
      </c>
      <c r="L8" s="50">
        <f>IF(OR(K8="",N(I8)=0),"",K8/(I8*60))</f>
        <v/>
      </c>
    </row>
    <row r="9">
      <c r="A9" s="16" t="n">
        <v>5</v>
      </c>
      <c r="B9" s="16" t="inlineStr">
        <is>
          <t>Social pressure</t>
        </is>
      </c>
      <c r="C9" s="16" t="inlineStr">
        <is>
          <t>Why good people go along with bad things: conformity, obedience and the bystander effect</t>
        </is>
      </c>
      <c r="D9" s="16" t="inlineStr">
        <is>
          <t>Idea</t>
        </is>
      </c>
      <c r="E9" s="16" t="n">
        <v>5</v>
      </c>
      <c r="L9" s="50">
        <f>IF(OR(K9="",N(I9)=0),"",K9/(I9*60))</f>
        <v/>
      </c>
    </row>
    <row r="10">
      <c r="A10" s="16" t="n">
        <v>6</v>
      </c>
      <c r="B10" s="16" t="inlineStr">
        <is>
          <t>Persuasion defense</t>
        </is>
      </c>
      <c r="C10" s="16" t="inlineStr">
        <is>
          <t>Manipulation tactics people use on you, and how to spot them</t>
        </is>
      </c>
      <c r="D10" s="16" t="inlineStr">
        <is>
          <t>Idea</t>
        </is>
      </c>
      <c r="E10" s="16" t="n">
        <v>6</v>
      </c>
      <c r="L10" s="50">
        <f>IF(OR(K10="",N(I10)=0),"",K10/(I10*60))</f>
        <v/>
      </c>
    </row>
    <row r="11">
      <c r="A11" s="16" t="n">
        <v>7</v>
      </c>
      <c r="B11" s="16" t="inlineStr">
        <is>
          <t>Memory</t>
        </is>
      </c>
      <c r="C11" s="16" t="inlineStr">
        <is>
          <t>Memory hacks that actually work, according to science</t>
        </is>
      </c>
      <c r="D11" s="16" t="inlineStr">
        <is>
          <t>Idea</t>
        </is>
      </c>
      <c r="E11" s="16" t="n">
        <v>7</v>
      </c>
      <c r="L11" s="50">
        <f>IF(OR(K11="",N(I11)=0),"",K11/(I11*60))</f>
        <v/>
      </c>
    </row>
    <row r="12">
      <c r="A12" s="16" t="n">
        <v>8</v>
      </c>
      <c r="B12" s="16" t="inlineStr">
        <is>
          <t>Procrastination</t>
        </is>
      </c>
      <c r="C12" s="16" t="inlineStr">
        <is>
          <t>Why you procrastinate (it's not laziness) and what fixes it</t>
        </is>
      </c>
      <c r="D12" s="16" t="inlineStr">
        <is>
          <t>Idea</t>
        </is>
      </c>
      <c r="E12" s="16" t="n">
        <v>8</v>
      </c>
      <c r="L12" s="50">
        <f>IF(OR(K12="",N(I12)=0),"",K12/(I12*60))</f>
        <v/>
      </c>
    </row>
  </sheetData>
  <dataValidations count="1">
    <dataValidation sqref="D5:D200" showDropDown="0" showInputMessage="0" showErrorMessage="0" allowBlank="1" type="list">
      <formula1>"Idea,Scripted,Scheduled,Published,Vetoed,Failed"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  <row r="20">
      <c r="A20" s="16" t="inlineStr">
        <is>
          <t>ted1</t>
        </is>
      </c>
      <c r="B20" s="16" t="inlineStr">
        <is>
          <t>Ted type 1 (card montage)</t>
        </is>
      </c>
      <c r="C20" s="16" t="inlineStr">
        <is>
          <t>@mindunderglass-style tips channel</t>
        </is>
      </c>
      <c r="D20" s="16" t="inlineStr">
        <is>
          <t>Faceless tip lists: Lottie illustration per line, deep male narrator</t>
        </is>
      </c>
      <c r="E20" s="16">
        <f>COUNTIF('Shorts ideas'!$AO$6:$AO$400,A20)</f>
        <v/>
      </c>
      <c r="F20" s="47" t="n"/>
      <c r="G20" s="4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  <row r="49">
      <c r="A49" s="16" t="inlineStr">
        <is>
          <t>ted1</t>
        </is>
      </c>
      <c r="B49" s="16">
        <f>COUNTIFS('Shorts ideas'!$AO$6:$AO$400,$A49,'Shorts ideas'!$H$6:$H$400,"Published")</f>
        <v/>
      </c>
      <c r="C49" s="17">
        <f>IFERROR(AVERAGEIFS('Shorts ideas'!$AC$6:$AC$400,'Shorts ideas'!$AO$6:$AO$400,$A49,'Shorts ideas'!$AC$6:$AC$400,"&gt;0"),"")</f>
        <v/>
      </c>
      <c r="D49" s="18">
        <f>IFERROR(AVERAGEIFS('Shorts ideas'!$U$6:$U$400,'Shorts ideas'!$AO$6:$AO$400,$A49,'Shorts ideas'!$U$6:$U$400,"&gt;0"),"")</f>
        <v/>
      </c>
      <c r="E49" s="18">
        <f>IFERROR(AVERAGEIFS('Shorts ideas'!$AD$6:$AD$400,'Shorts ideas'!$AO$6:$AO$400,$A49,'Shorts ideas'!$AD$6:$AD$400,"&gt;0"),"")</f>
        <v/>
      </c>
      <c r="F49" s="17">
        <f>IFERROR(AVERAGEIFS('Shorts ideas'!$AL$6:$AL$400,'Shorts ideas'!$AO$6:$AO$400,$A49,'Shorts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2026-10-11T22:10:01Z</dcterms:created>
  <dcterms:modified xsi:type="dcterms:W3CDTF">2026-10-15T03:54:11Z</dcterms:modified>
</cp:coreProperties>
</file>