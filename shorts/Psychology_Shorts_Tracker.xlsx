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orts ideas" sheetId="1" state="visible" r:id="rId1"/>
    <sheet name="3-Act Scripts" sheetId="2" state="visible" r:id="rId2"/>
    <sheet name="Long form" sheetId="3" state="visible" r:id="rId3"/>
    <sheet name="Looks" sheetId="4" state="visible" r:id="rId4"/>
    <sheet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10" fillId="0" borderId="0" applyAlignment="1" pivotButton="0" quotePrefix="0" xfId="0">
      <alignment horizontal="general" vertical="center" wrapText="1"/>
    </xf>
    <xf numFmtId="3" fontId="10" fillId="0" borderId="0" applyAlignment="1" pivotButton="0" quotePrefix="0" xfId="0">
      <alignment horizontal="general" vertical="center" wrapText="1"/>
    </xf>
    <xf numFmtId="165" fontId="6" fillId="0" borderId="0" applyAlignment="1" pivotButton="0" quotePrefix="0" xfId="0">
      <alignment horizontal="general" vertical="center" wrapText="1"/>
    </xf>
    <xf numFmtId="3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>
        <v>14</v>
      </c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 2026-10-25 review: d14 from Buffer at age 14 d: YT 14.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>
        <v>538</v>
      </c>
      <c r="T8" s="69" t="n"/>
      <c r="U8" s="72">
        <f>IF(OR(T8="",N(O8)=0),"",T8/O8)</f>
        <v/>
      </c>
      <c r="V8" s="69" t="n">
        <v>5</v>
      </c>
      <c r="W8" s="69" t="n">
        <v>0</v>
      </c>
      <c r="X8" s="69" t="n"/>
      <c r="Y8" s="71" t="n">
        <v>1342</v>
      </c>
      <c r="Z8" s="69" t="n">
        <v>15</v>
      </c>
      <c r="AA8" s="71" t="n">
        <v>83</v>
      </c>
      <c r="AB8" s="69" t="n">
        <v>7</v>
      </c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inlineStr">
        <is>
          <t>2026-10-25 review: d7 from Buffer at age 10 d: YT 538 · IG 1342 (34% ret) · TT 83 (17% ret).</t>
        </is>
      </c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Published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buffer:youtube=6ad95bd2deacf5d253225a1b;instagram=6ad95bd3b086d40f57280621;tiktok=6ad95bd3ecaa6cda041df828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Vetoed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 | 2026-10-22: replaced by the pattern test (Shivam)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Vetoed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inlineStr">
        <is>
          <t>2026-10-22: replaced by the pattern test (Shivam)</t>
        </is>
      </c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Vetoed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inlineStr">
        <is>
          <t>2026-10-22: replaced by the pattern test (Shivam)</t>
        </is>
      </c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Vetoed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inlineStr">
        <is>
          <t>2026-10-22: replaced by the pattern test (Shivam)</t>
        </is>
      </c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Vetoed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inlineStr">
        <is>
          <t>2026-10-22: replaced by the pattern test (Shivam)</t>
        </is>
      </c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>
        <v>175</v>
      </c>
      <c r="T16" s="69" t="n"/>
      <c r="U16" s="72">
        <f>IF(OR(T16="",N(O16)=0),"",T16/O16)</f>
        <v/>
      </c>
      <c r="V16" s="69" t="n">
        <v>2</v>
      </c>
      <c r="W16" s="69" t="n">
        <v>0</v>
      </c>
      <c r="X16" s="69" t="n"/>
      <c r="Y16" s="71" t="n">
        <v>33</v>
      </c>
      <c r="Z16" s="69" t="n">
        <v>0</v>
      </c>
      <c r="AA16" s="71" t="n">
        <v>155</v>
      </c>
      <c r="AB16" s="69" t="n">
        <v>7</v>
      </c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 2026-10-25 review: d7 from Buffer at age 13 d: YT 175 · IG 33 (20% ret) · TT 155 (47% ret).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buffer:youtube=6ad27dfc346e510ac44f4f11;tiktok=6ad27dfd5720e82b418e1add;instagram=6addab04bd33ce99c35d20e4</t>
        </is>
      </c>
      <c r="S18" s="71" t="n">
        <v>944</v>
      </c>
      <c r="T18" s="69" t="n"/>
      <c r="U18" s="72">
        <f>IF(OR(T18="",N(O18)=0),"",T18/O18)</f>
        <v/>
      </c>
      <c r="V18" s="69" t="n">
        <v>21</v>
      </c>
      <c r="W18" s="69" t="n">
        <v>0</v>
      </c>
      <c r="X18" s="69" t="n"/>
      <c r="Y18" s="71" t="n"/>
      <c r="Z18" s="69" t="n"/>
      <c r="AA18" s="71" t="n">
        <v>49</v>
      </c>
      <c r="AB18" s="69" t="n">
        <v>4</v>
      </c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inlineStr">
        <is>
          <t>2026-10-25 review: d7 from Buffer at age 8 d: YT 944 · TT 49 (14% ret).</t>
        </is>
      </c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Published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buffer:youtube=6ad95bdf1093844846d4656b;instagram=6ad95be0b086d40f57280748;tiktok=6ad95be0b086d40f5728077b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Vetoed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 | 2026-10-22: replaced by the pattern test (Shivam)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Vetoed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inlineStr">
        <is>
          <t>2026-10-22: replaced by the pattern test (Shivam)</t>
        </is>
      </c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Vetoed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 | 2026-10-22: replaced by the pattern test (Shivam)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Vetoed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inlineStr">
        <is>
          <t>2026-10-22: replaced by the pattern test (Shivam)</t>
        </is>
      </c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Vetoed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inlineStr">
        <is>
          <t>2026-10-22: replaced by the pattern test (Shivam)</t>
        </is>
      </c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Vetoed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 | 2026-10-22: replaced by the pattern test (Shivam)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>
        <v>11</v>
      </c>
      <c r="T27" s="69" t="n"/>
      <c r="U27" s="72">
        <f>IF(OR(T27="",N(O27)=0),"",T27/O27)</f>
        <v/>
      </c>
      <c r="V27" s="69" t="n">
        <v>1</v>
      </c>
      <c r="W27" s="69" t="n">
        <v>0</v>
      </c>
      <c r="X27" s="69" t="n"/>
      <c r="Y27" s="71" t="n"/>
      <c r="Z27" s="69" t="n"/>
      <c r="AA27" s="71" t="n">
        <v>283</v>
      </c>
      <c r="AB27" s="69" t="n">
        <v>5</v>
      </c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 2026-10-25 review: d7 from Buffer at age 12 d: YT 11 · TT 283 (15% ret).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Vetoed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inlineStr">
        <is>
          <t>2026-10-22: replaced by the pattern test (Shivam)</t>
        </is>
      </c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buffer:youtube=6ad27dfe5720e82b418e1b51;tiktok=6ad27dfe346e510ac44f4f9b;instagram=6adfbc8a2e4832a623d60834</t>
        </is>
      </c>
      <c r="S30" s="71" t="n">
        <v>1056</v>
      </c>
      <c r="T30" s="69" t="n"/>
      <c r="U30" s="72">
        <f>IF(OR(T30="",N(O30)=0),"",T30/O30)</f>
        <v/>
      </c>
      <c r="V30" s="69" t="n">
        <v>27</v>
      </c>
      <c r="W30" s="69" t="n">
        <v>0</v>
      </c>
      <c r="X30" s="69" t="n"/>
      <c r="Y30" s="71" t="n"/>
      <c r="Z30" s="69" t="n"/>
      <c r="AA30" s="71" t="n">
        <v>61</v>
      </c>
      <c r="AB30" s="69" t="n">
        <v>10</v>
      </c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inlineStr">
        <is>
          <t>2026-10-25 review: d7 from Buffer at age 8 d: YT 1056 · TT 61 (26% ret).</t>
        </is>
      </c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Vetoed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inlineStr">
        <is>
          <t>2026-10-22: replaced by the pattern test (Shivam)</t>
        </is>
      </c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Vetoed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inlineStr">
        <is>
          <t>2026-10-22: replaced by the pattern test (Shivam)</t>
        </is>
      </c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Published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buffer:youtube=6ad95bd6deacf5d253225ab8;instagram=6ad95bd7282deeeeb2c11177;tiktok=6ad95bd7ecaa6cda041df874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Published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>
        <v>46318</v>
      </c>
      <c r="M34" s="68">
        <f>IF(L34="","",TEXT(L34,"ddd"))</f>
        <v/>
      </c>
      <c r="N34" s="69" t="n"/>
      <c r="O34" s="69" t="n">
        <v>32</v>
      </c>
      <c r="P34" s="69" t="inlineStr">
        <is>
          <t>Why an Airport Made People Walk Farther On Purpose #shorts</t>
        </is>
      </c>
      <c r="Q34" s="69" t="inlineStr">
        <is>
          <t>Alex Stone, NYT 2012 'Why Waiting Is Torture' (APS summary): 8-min wait, 6x longer walk, complaints near zero; Maister 1985</t>
        </is>
      </c>
      <c r="R34" s="69" t="inlineStr">
        <is>
          <t>buffer:youtube=6adae02e9ef33e7811b8d0de;instagram=6adae02fd447d56a6477a51b;tiktok=6adae02f1dc335d347f312c1</t>
        </is>
      </c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Vetoed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inlineStr">
        <is>
          <t>2026-10-22: replaced by the pattern test (Shivam)</t>
        </is>
      </c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Vetoed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inlineStr">
        <is>
          <t>2026-10-22: replaced by the pattern test (Shivam)</t>
        </is>
      </c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>
        <v>12</v>
      </c>
      <c r="T37" s="69" t="n"/>
      <c r="U37" s="72">
        <f>IF(OR(T37="",N(O37)=0),"",T37/O37)</f>
        <v/>
      </c>
      <c r="V37" s="69" t="n">
        <v>0</v>
      </c>
      <c r="W37" s="69" t="n">
        <v>0</v>
      </c>
      <c r="X37" s="69" t="n"/>
      <c r="Y37" s="71" t="n">
        <v>11</v>
      </c>
      <c r="Z37" s="69" t="n">
        <v>0</v>
      </c>
      <c r="AA37" s="71" t="n">
        <v>38</v>
      </c>
      <c r="AB37" s="69" t="n">
        <v>1</v>
      </c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inlineStr">
        <is>
          <t>2026-10-25 review: d7 from Buffer at age 11 d: YT 12 · IG 11 (15% ret) · TT 38 (18% ret).</t>
        </is>
      </c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Vetoed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inlineStr">
        <is>
          <t>2026-10-22: replaced by the pattern test (Shivam)</t>
        </is>
      </c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Vetoed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inlineStr">
        <is>
          <t>2026-10-22: replaced by the pattern test (Shivam)</t>
        </is>
      </c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>
        <v>189</v>
      </c>
      <c r="T40" s="69" t="n"/>
      <c r="U40" s="72">
        <f>IF(OR(T40="",N(O40)=0),"",T40/O40)</f>
        <v/>
      </c>
      <c r="V40" s="69" t="n">
        <v>4</v>
      </c>
      <c r="W40" s="69" t="n">
        <v>0</v>
      </c>
      <c r="X40" s="69" t="n"/>
      <c r="Y40" s="71" t="n">
        <v>140</v>
      </c>
      <c r="Z40" s="69" t="n">
        <v>2</v>
      </c>
      <c r="AA40" s="71" t="n">
        <v>40</v>
      </c>
      <c r="AB40" s="69" t="n">
        <v>2</v>
      </c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inlineStr">
        <is>
          <t>2026-10-25 review: d7 from Buffer at age 9 d: YT 189 · IG 140 (13% ret) · TT 40 (11% ret).</t>
        </is>
      </c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buffer:youtube=6ad27e00346e510ac44f4fd1;tiktok=6ad27e005720e82b418e1bb9;instagram=6ae1113de2341add8c5b3800</t>
        </is>
      </c>
      <c r="S41" s="71" t="n">
        <v>261</v>
      </c>
      <c r="T41" s="69" t="n"/>
      <c r="U41" s="72">
        <f>IF(OR(T41="",N(O41)=0),"",T41/O41)</f>
        <v/>
      </c>
      <c r="V41" s="69" t="n">
        <v>9</v>
      </c>
      <c r="W41" s="69" t="n">
        <v>0</v>
      </c>
      <c r="X41" s="69" t="n"/>
      <c r="Y41" s="71" t="n"/>
      <c r="Z41" s="69" t="n"/>
      <c r="AA41" s="71" t="n">
        <v>62</v>
      </c>
      <c r="AB41" s="69" t="n">
        <v>18</v>
      </c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inlineStr">
        <is>
          <t>2026-10-25 review: d7 from Buffer at age 8 d: YT 261 · TT 62 (15% ret).</t>
        </is>
      </c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Vetoed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inlineStr">
        <is>
          <t>2026-10-22: replaced by the pattern test (Shivam)</t>
        </is>
      </c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Vetoed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inlineStr">
        <is>
          <t>2026-10-22: replaced by the pattern test (Shivam)</t>
        </is>
      </c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Vetoed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inlineStr">
        <is>
          <t>2026-10-22: replaced by the pattern test (Shivam)</t>
        </is>
      </c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Vetoed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inlineStr">
        <is>
          <t>2026-10-22: replaced by the pattern test (Shivam)</t>
        </is>
      </c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>
        <v>40</v>
      </c>
      <c r="T47" s="69" t="n"/>
      <c r="U47" s="72">
        <f>IF(OR(T47="",N(O47)=0),"",T47/O47)</f>
        <v/>
      </c>
      <c r="V47" s="69" t="n">
        <v>0</v>
      </c>
      <c r="W47" s="69" t="n">
        <v>0</v>
      </c>
      <c r="X47" s="69" t="n"/>
      <c r="Y47" s="71" t="n">
        <v>10</v>
      </c>
      <c r="Z47" s="69" t="n">
        <v>0</v>
      </c>
      <c r="AA47" s="71" t="n">
        <v>20</v>
      </c>
      <c r="AB47" s="69" t="n">
        <v>1</v>
      </c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inlineStr">
        <is>
          <t>2026-10-25 review: d7 from Buffer at age 11 d: YT 40 · IG 10 (8% ret) · TT 20 (11% ret).</t>
        </is>
      </c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>
        <v>523</v>
      </c>
      <c r="T48" s="69" t="n"/>
      <c r="U48" s="72">
        <f>IF(OR(T48="",N(O48)=0),"",T48/O48)</f>
        <v/>
      </c>
      <c r="V48" s="69" t="n">
        <v>5</v>
      </c>
      <c r="W48" s="69" t="n">
        <v>0</v>
      </c>
      <c r="X48" s="69" t="n"/>
      <c r="Y48" s="71" t="n">
        <v>123</v>
      </c>
      <c r="Z48" s="69" t="n">
        <v>2</v>
      </c>
      <c r="AA48" s="71" t="n">
        <v>16</v>
      </c>
      <c r="AB48" s="69" t="n">
        <v>2</v>
      </c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inlineStr">
        <is>
          <t>2026-10-25 review: d7 from Buffer at age 11 d: YT 523 · IG 123 (22% ret) · TT 16 (11% ret).</t>
        </is>
      </c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Vetoed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inlineStr">
        <is>
          <t>2026-10-22: replaced by the pattern test (Shivam)</t>
        </is>
      </c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Vetoed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inlineStr">
        <is>
          <t>2026-10-22: replaced by the pattern test (Shivam)</t>
        </is>
      </c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Vetoed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inlineStr">
        <is>
          <t>2026-10-22: replaced by the pattern test (Shivam)</t>
        </is>
      </c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buffer:youtube=6ad3c111e272c4918f997f66;tiktok=6ad3c1120b0d72757aedb6ef;instagram=6ae267d78ecebd502e74b019</t>
        </is>
      </c>
      <c r="S52" s="71" t="n">
        <v>423</v>
      </c>
      <c r="T52" s="69" t="n"/>
      <c r="U52" s="72">
        <f>IF(OR(T52="",N(O52)=0),"",T52/O52)</f>
        <v/>
      </c>
      <c r="V52" s="69" t="n">
        <v>10</v>
      </c>
      <c r="W52" s="69" t="n">
        <v>0</v>
      </c>
      <c r="X52" s="69" t="n"/>
      <c r="Y52" s="71" t="n"/>
      <c r="Z52" s="69" t="n"/>
      <c r="AA52" s="71" t="n">
        <v>30</v>
      </c>
      <c r="AB52" s="69" t="n">
        <v>2</v>
      </c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inlineStr">
        <is>
          <t>2026-10-25 review: d7 from Buffer at age 7 d: YT 423 · TT 30 (9% ret).</t>
        </is>
      </c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Vetoed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inlineStr">
        <is>
          <t>2026-10-22: replaced by the pattern test (Shivam)</t>
        </is>
      </c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Vetoed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inlineStr">
        <is>
          <t>2026-10-22: replaced by the pattern test (Shivam)</t>
        </is>
      </c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Vetoed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inlineStr">
        <is>
          <t>2026-10-22: replaced by the pattern test (Shivam)</t>
        </is>
      </c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Vetoed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inlineStr">
        <is>
          <t>2026-10-22: replaced by the pattern test (Shivam)</t>
        </is>
      </c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Vetoed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inlineStr">
        <is>
          <t>2026-10-22: replaced by the pattern test (Shivam)</t>
        </is>
      </c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Vetoed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inlineStr">
        <is>
          <t>2026-10-22: replaced by the pattern test (Shivam)</t>
        </is>
      </c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Vetoed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inlineStr">
        <is>
          <t>2026-10-22: replaced by the pattern test (Shivam)</t>
        </is>
      </c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Vetoed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inlineStr">
        <is>
          <t>2026-10-22: replaced by the pattern test (Shivam)</t>
        </is>
      </c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Vetoed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inlineStr">
        <is>
          <t>2026-10-22: replaced by the pattern test (Shivam)</t>
        </is>
      </c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Vetoed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inlineStr">
        <is>
          <t>2026-10-22: replaced by the pattern test (Shivam)</t>
        </is>
      </c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>
        <v>42</v>
      </c>
      <c r="T63" s="69" t="n"/>
      <c r="U63" s="72">
        <f>IF(OR(T63="",N(O63)=0),"",T63/O63)</f>
        <v/>
      </c>
      <c r="V63" s="69" t="n">
        <v>0</v>
      </c>
      <c r="W63" s="69" t="n">
        <v>0</v>
      </c>
      <c r="X63" s="69" t="n"/>
      <c r="Y63" s="71" t="n">
        <v>43</v>
      </c>
      <c r="Z63" s="69" t="n">
        <v>0</v>
      </c>
      <c r="AA63" s="71" t="n">
        <v>83</v>
      </c>
      <c r="AB63" s="69" t="n">
        <v>0</v>
      </c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inlineStr">
        <is>
          <t>2026-10-25 review: d7 from Buffer at age 11 d: YT 42 · IG 43 (13% ret) · TT 83 (9% ret).</t>
        </is>
      </c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>
        <v>182</v>
      </c>
      <c r="T64" s="69" t="n"/>
      <c r="U64" s="72">
        <f>IF(OR(T64="",N(O64)=0),"",T64/O64)</f>
        <v/>
      </c>
      <c r="V64" s="69" t="n">
        <v>5</v>
      </c>
      <c r="W64" s="69" t="n">
        <v>0</v>
      </c>
      <c r="X64" s="69" t="n"/>
      <c r="Y64" s="71" t="n">
        <v>215</v>
      </c>
      <c r="Z64" s="69" t="n">
        <v>1</v>
      </c>
      <c r="AA64" s="71" t="n">
        <v>34</v>
      </c>
      <c r="AB64" s="69" t="n">
        <v>3</v>
      </c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inlineStr">
        <is>
          <t>2026-10-25 review: d7 from Buffer at age 9 d: YT 182 · IG 215 (29% ret) · TT 34 (9% ret).</t>
        </is>
      </c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Vetoed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inlineStr">
        <is>
          <t>2026-10-22: replaced by the pattern test (Shivam)</t>
        </is>
      </c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>
        <v>1238</v>
      </c>
      <c r="T66" s="69" t="n"/>
      <c r="U66" s="72">
        <f>IF(OR(T66="",N(O66)=0),"",T66/O66)</f>
        <v/>
      </c>
      <c r="V66" s="69" t="n">
        <v>9</v>
      </c>
      <c r="W66" s="69" t="n">
        <v>0</v>
      </c>
      <c r="X66" s="69" t="n"/>
      <c r="Y66" s="71" t="n">
        <v>520</v>
      </c>
      <c r="Z66" s="69" t="n">
        <v>5</v>
      </c>
      <c r="AA66" s="71" t="n">
        <v>94</v>
      </c>
      <c r="AB66" s="69" t="n">
        <v>1</v>
      </c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inlineStr">
        <is>
          <t>2026-10-25 review: d7 from Buffer at age 11 d: YT 1238 · IG 520 (37% ret) · TT 94 (13% ret).</t>
        </is>
      </c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>
        <v>160</v>
      </c>
      <c r="T67" s="69" t="n"/>
      <c r="U67" s="72">
        <f>IF(OR(T67="",N(O67)=0),"",T67/O67)</f>
        <v/>
      </c>
      <c r="V67" s="69" t="n">
        <v>2</v>
      </c>
      <c r="W67" s="69" t="n">
        <v>0</v>
      </c>
      <c r="X67" s="69" t="n"/>
      <c r="Y67" s="71" t="n">
        <v>253</v>
      </c>
      <c r="Z67" s="69" t="n">
        <v>3</v>
      </c>
      <c r="AA67" s="71" t="n">
        <v>13</v>
      </c>
      <c r="AB67" s="69" t="n">
        <v>2</v>
      </c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inlineStr">
        <is>
          <t>2026-10-25 review: d7 from Buffer at age 9 d: YT 160 · IG 253 (28% ret) · TT 13 (53% ret).</t>
        </is>
      </c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>
        <v>672</v>
      </c>
      <c r="T68" s="69" t="n"/>
      <c r="U68" s="72">
        <f>IF(OR(T68="",N(O68)=0),"",T68/O68)</f>
        <v/>
      </c>
      <c r="V68" s="69" t="n">
        <v>7</v>
      </c>
      <c r="W68" s="69" t="n">
        <v>0</v>
      </c>
      <c r="X68" s="69" t="n"/>
      <c r="Y68" s="71" t="n"/>
      <c r="Z68" s="69" t="n"/>
      <c r="AA68" s="71" t="n">
        <v>33</v>
      </c>
      <c r="AB68" s="69" t="n">
        <v>1</v>
      </c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inlineStr">
        <is>
          <t>2026-10-25 review: d7 from Buffer at age 7 d: YT 672 · TT 33 (8% ret).</t>
        </is>
      </c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Published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>
        <v>46318</v>
      </c>
      <c r="M70" s="68">
        <f>IF(L70="","",TEXT(L70,"ddd"))</f>
        <v/>
      </c>
      <c r="N70" s="69" t="n"/>
      <c r="O70" s="69" t="n">
        <v>44</v>
      </c>
      <c r="P70" s="69" t="inlineStr">
        <is>
          <t>Why Nobody Helps When Everyone Is Watching #shorts</t>
        </is>
      </c>
      <c r="Q70" s="69" t="inlineStr">
        <is>
          <t>Darley &amp; Latane 1968, JPSP 8(4):377-383; alone 85% helped before seizure ended vs 31% with four others</t>
        </is>
      </c>
      <c r="R70" s="69" t="inlineStr">
        <is>
          <t>buffer:youtube=6adae0329ef33e7811b8d1f6;instagram=6adae032535235087b7f4483;tiktok=6adae033cc1b7cdc08cdae8d</t>
        </is>
      </c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Vetoed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 | 2026-10-22: replaced by the pattern test (Shivam)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Vetoed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inlineStr">
        <is>
          <t>2026-10-22: replaced by the pattern test (Shivam)</t>
        </is>
      </c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Vetoed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inlineStr">
        <is>
          <t>2026-10-22: replaced by the pattern test (Shivam)</t>
        </is>
      </c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Vetoed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inlineStr">
        <is>
          <t>2026-10-22: replaced by the pattern test (Shivam)</t>
        </is>
      </c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Vetoed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inlineStr">
        <is>
          <t>2026-10-22: replaced by the pattern test (Shivam)</t>
        </is>
      </c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>
        <v>666</v>
      </c>
      <c r="T76" s="69" t="n"/>
      <c r="U76" s="72">
        <f>IF(OR(T76="",N(O76)=0),"",T76/O76)</f>
        <v/>
      </c>
      <c r="V76" s="69" t="n">
        <v>4</v>
      </c>
      <c r="W76" s="69" t="n">
        <v>0</v>
      </c>
      <c r="X76" s="69" t="n"/>
      <c r="Y76" s="71" t="n">
        <v>14</v>
      </c>
      <c r="Z76" s="69" t="n">
        <v>0</v>
      </c>
      <c r="AA76" s="71" t="n">
        <v>75</v>
      </c>
      <c r="AB76" s="69" t="n">
        <v>5</v>
      </c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inlineStr">
        <is>
          <t>2026-10-25 review: d7 from Buffer at age 11 d: YT 666 · IG 14 (12% ret) · TT 75 (18% ret).</t>
        </is>
      </c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buffer:youtube=6ad131084fd04e4eb3ab0f47;tiktok=6ad13108b4510d553d75e196;instagram=6ada6fa180b62e657504c588</t>
        </is>
      </c>
      <c r="S77" s="71" t="n">
        <v>804</v>
      </c>
      <c r="T77" s="69" t="n"/>
      <c r="U77" s="72">
        <f>IF(OR(T77="",N(O77)=0),"",T77/O77)</f>
        <v/>
      </c>
      <c r="V77" s="69" t="n">
        <v>9</v>
      </c>
      <c r="W77" s="69" t="n">
        <v>4</v>
      </c>
      <c r="X77" s="69" t="n"/>
      <c r="Y77" s="71" t="n">
        <v>1509</v>
      </c>
      <c r="Z77" s="69" t="n">
        <v>15</v>
      </c>
      <c r="AA77" s="71" t="n">
        <v>9</v>
      </c>
      <c r="AB77" s="69" t="n">
        <v>1</v>
      </c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inlineStr">
        <is>
          <t>2026-10-25 review: d7 from Buffer at age 9 d: YT 804 · IG 1509 (48% ret) · TT 9 (14% ret).</t>
        </is>
      </c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>
        <v>119</v>
      </c>
      <c r="T78" s="69" t="n"/>
      <c r="U78" s="72">
        <f>IF(OR(T78="",N(O78)=0),"",T78/O78)</f>
        <v/>
      </c>
      <c r="V78" s="69" t="n">
        <v>3</v>
      </c>
      <c r="W78" s="69" t="n">
        <v>0</v>
      </c>
      <c r="X78" s="69" t="n"/>
      <c r="Y78" s="71" t="n"/>
      <c r="Z78" s="69" t="n"/>
      <c r="AA78" s="71" t="n">
        <v>24</v>
      </c>
      <c r="AB78" s="69" t="n">
        <v>3</v>
      </c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inlineStr">
        <is>
          <t>2026-10-25 review: d7 from Buffer at age 7 d: YT 119 · TT 24 (16% ret).</t>
        </is>
      </c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Published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buffer:youtube=6ad95bda282deeeeb2c111db;instagram=6ad95bdbecaa6cda041df8c0;tiktok=6ad95bdcdeacf5d253225b33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Published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>
        <v>46318</v>
      </c>
      <c r="M80" s="68">
        <f>IF(L80="","",TEXT(L80,"ddd"))</f>
        <v/>
      </c>
      <c r="N80" s="69" t="n"/>
      <c r="O80" s="69" t="n">
        <v>29</v>
      </c>
      <c r="P80" s="69" t="inlineStr">
        <is>
          <t>When One Grade Decides Your Whole Worth #shorts</t>
        </is>
      </c>
      <c r="Q80" s="69" t="inlineStr">
        <is>
          <t>Crocker, Sommers &amp; Luhtanen 2002, PSPB 28:1275-1286 (year corrected from 2003; 'twice as hard' dropped)</t>
        </is>
      </c>
      <c r="R80" s="69" t="inlineStr">
        <is>
          <t>buffer:youtube=6adae0369ef33e7811b8d2b1;instagram=6adae036cc1b7cdc08cdb0b5;tiktok=6adae037cc1b7cdc08cdb15f</t>
        </is>
      </c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Vetoed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inlineStr">
        <is>
          <t>2026-10-22: replaced by the pattern test (Shivam)</t>
        </is>
      </c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Vetoed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inlineStr">
        <is>
          <t>2026-10-22: replaced by the pattern test (Shivam)</t>
        </is>
      </c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Vetoed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inlineStr">
        <is>
          <t>2026-10-22: replaced by the pattern test (Shivam)</t>
        </is>
      </c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Vetoed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inlineStr">
        <is>
          <t>2026-10-22: replaced by the pattern test (Shivam)</t>
        </is>
      </c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Vetoed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inlineStr">
        <is>
          <t>2026-10-22: replaced by the pattern test (Shivam)</t>
        </is>
      </c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Vetoed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inlineStr">
        <is>
          <t>2026-10-22: replaced by the pattern test (Shivam)</t>
        </is>
      </c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>
        <v>123</v>
      </c>
      <c r="T87" s="69" t="n"/>
      <c r="U87" s="72">
        <f>IF(OR(T87="",N(O87)=0),"",T87/O87)</f>
        <v/>
      </c>
      <c r="V87" s="69" t="n">
        <v>0</v>
      </c>
      <c r="W87" s="69" t="n">
        <v>0</v>
      </c>
      <c r="X87" s="69" t="n"/>
      <c r="Y87" s="71" t="n">
        <v>4</v>
      </c>
      <c r="Z87" s="69" t="n">
        <v>0</v>
      </c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inlineStr">
        <is>
          <t>2026-10-25 review: d7 from Buffer at age 10 d: YT 123 · IG 4 (4% ret).</t>
        </is>
      </c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buffer:youtube=6ad1310ab4510d553d75e22a;tiktok=6ad1310b84453eae6f32edcf;instagram=6adbc6ad8b3d437ddc85eb35</t>
        </is>
      </c>
      <c r="S88" s="71" t="n">
        <v>295</v>
      </c>
      <c r="T88" s="69" t="n"/>
      <c r="U88" s="72">
        <f>IF(OR(T88="",N(O88)=0),"",T88/O88)</f>
        <v/>
      </c>
      <c r="V88" s="69" t="n">
        <v>9</v>
      </c>
      <c r="W88" s="69" t="n">
        <v>0</v>
      </c>
      <c r="X88" s="69" t="n"/>
      <c r="Y88" s="71" t="n">
        <v>327</v>
      </c>
      <c r="Z88" s="69" t="n">
        <v>5</v>
      </c>
      <c r="AA88" s="71" t="n">
        <v>2</v>
      </c>
      <c r="AB88" s="69" t="n">
        <v>1</v>
      </c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inlineStr">
        <is>
          <t>2026-10-25 review: d7 from Buffer at age 9 d: YT 295 · IG 327 (25% ret) · TT 2 (4% ret).</t>
        </is>
      </c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Published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Vetoed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inlineStr">
        <is>
          <t>2026-10-22: replaced by the pattern test (Shivam)</t>
        </is>
      </c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Vetoed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inlineStr">
        <is>
          <t>2026-10-22: replaced by the pattern test (Shivam)</t>
        </is>
      </c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Vetoed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inlineStr">
        <is>
          <t>2026-10-22: replaced by the pattern test (Shivam)</t>
        </is>
      </c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Vetoed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inlineStr">
        <is>
          <t>2026-10-22: replaced by the pattern test (Shivam)</t>
        </is>
      </c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Vetoed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inlineStr">
        <is>
          <t>2026-10-22: replaced by the pattern test (Shivam)</t>
        </is>
      </c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>
        <v>251</v>
      </c>
      <c r="T97" s="69" t="n"/>
      <c r="U97" s="72">
        <f>IF(OR(T97="",N(O97)=0),"",T97/O97)</f>
        <v/>
      </c>
      <c r="V97" s="69" t="n">
        <v>3</v>
      </c>
      <c r="W97" s="69" t="n">
        <v>0</v>
      </c>
      <c r="X97" s="69" t="n"/>
      <c r="Y97" s="71" t="n"/>
      <c r="Z97" s="69" t="n"/>
      <c r="AA97" s="71" t="n">
        <v>115</v>
      </c>
      <c r="AB97" s="69" t="n">
        <v>12</v>
      </c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inlineStr">
        <is>
          <t>2026-10-25 review: d7 from Buffer at age 10 d: YT 251 · TT 115 (19% ret).</t>
        </is>
      </c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Published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Vetoed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inlineStr">
        <is>
          <t>2026-10-22: replaced by the pattern test (Shivam)</t>
        </is>
      </c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Vetoed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inlineStr">
        <is>
          <t>2026-10-22: replaced by the pattern test (Shivam)</t>
        </is>
      </c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Vetoed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inlineStr">
        <is>
          <t>2026-10-22: replaced by the pattern test (Shivam)</t>
        </is>
      </c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Vetoed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inlineStr">
        <is>
          <t>2026-10-22: replaced by the pattern test (Shivam)</t>
        </is>
      </c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Vetoed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inlineStr">
        <is>
          <t>2026-10-22: replaced by the pattern test (Shivam)</t>
        </is>
      </c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Vetoed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inlineStr">
        <is>
          <t>2026-10-22: replaced by the pattern test (Shivam)</t>
        </is>
      </c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>
        <v>3</v>
      </c>
      <c r="T106" s="69" t="n"/>
      <c r="U106" s="72">
        <f>IF(OR(T106="",N(O106)=0),"",T106/O106)</f>
        <v/>
      </c>
      <c r="V106" s="69" t="n">
        <v>0</v>
      </c>
      <c r="W106" s="69" t="n">
        <v>0</v>
      </c>
      <c r="X106" s="69" t="n"/>
      <c r="Y106" s="71" t="n">
        <v>21</v>
      </c>
      <c r="Z106" s="69" t="n">
        <v>0</v>
      </c>
      <c r="AA106" s="71" t="n">
        <v>24</v>
      </c>
      <c r="AB106" s="69" t="n">
        <v>1</v>
      </c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inlineStr">
        <is>
          <t>2026-10-25 review: d7 from Buffer at age 10 d: YT 3 · IG 21 (17% ret) · TT 24 (3% ret).</t>
        </is>
      </c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buffer:youtube=6ad1a654a82f34dbe1464882;tiktok=6ad1a654fb64fffcf1b41af2;instagram=6adcff3c3d5b27036b9ba0a4</t>
        </is>
      </c>
      <c r="S107" s="71" t="n">
        <v>107</v>
      </c>
      <c r="T107" s="69" t="n"/>
      <c r="U107" s="72">
        <f>IF(OR(T107="",N(O107)=0),"",T107/O107)</f>
        <v/>
      </c>
      <c r="V107" s="69" t="n">
        <v>5</v>
      </c>
      <c r="W107" s="69" t="n">
        <v>0</v>
      </c>
      <c r="X107" s="69" t="n"/>
      <c r="Y107" s="71" t="n"/>
      <c r="Z107" s="69" t="n"/>
      <c r="AA107" s="71" t="n">
        <v>1</v>
      </c>
      <c r="AB107" s="69" t="n">
        <v>0</v>
      </c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inlineStr">
        <is>
          <t>2026-10-25 review: d7 from Buffer at age 9 d: YT 107 · TT 1 (6% ret).</t>
        </is>
      </c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  <row r="108">
      <c r="A108" s="123" t="n">
        <v>103</v>
      </c>
      <c r="B108" s="123" t="inlineStr">
        <is>
          <t>Pattern: Experiment story</t>
        </is>
      </c>
      <c r="C108" s="123" t="inlineStr">
        <is>
          <t>The experiment that fooled psychiatrists (Rosenhan)</t>
        </is>
      </c>
      <c r="D108" s="123" t="inlineStr">
        <is>
          <t>Eight people faked ONE symptom, and every hospital admitted them.</t>
        </is>
      </c>
      <c r="E108" s="123" t="inlineStr">
        <is>
          <t>Rosenhan 1973; 12 hospitals, 19 days avg, 35/118 patients suspected; turn: Cahalan 2019 doubts</t>
        </is>
      </c>
      <c r="F108" s="123" t="n"/>
      <c r="G108" s="123" t="n">
        <v>30</v>
      </c>
      <c r="H108" s="123" t="inlineStr">
        <is>
          <t>Published</t>
        </is>
      </c>
      <c r="I108" s="124" t="n">
        <v>1</v>
      </c>
      <c r="J108" s="124" t="inlineStr">
        <is>
          <t>Strong</t>
        </is>
      </c>
      <c r="K108" s="124" t="inlineStr">
        <is>
          <t>rosenhan-fake-patients</t>
        </is>
      </c>
      <c r="L108" s="125" t="n">
        <v>46319</v>
      </c>
      <c r="M108" s="123">
        <f>IF(L108="","",TEXT(L108,"ddd"))</f>
        <v/>
      </c>
      <c r="N108" s="124" t="n"/>
      <c r="O108" s="124" t="n">
        <v>29</v>
      </c>
      <c r="P108" s="124" t="inlineStr">
        <is>
          <t>The Experiment That Fooled Psychiatrists #shorts</t>
        </is>
      </c>
      <c r="Q108" s="124" t="inlineStr">
        <is>
          <t>Rosenhan (1973, Science): 8 pseudopatients reported hearing a voice say "thud", were admitted to 12 hospitals and held 7 to 52 days (19 on average); 35 of 118 patients suspected them, staff didn't. Journalist Susannah Cahalan (The Great Pretender, 20</t>
        </is>
      </c>
      <c r="R108" s="124" t="inlineStr">
        <is>
          <t>buffer:youtube=6adbc6a6bd33ce99c3ed0fa3;instagram=6adbc6a6bd33ce99c3ed0fcf;tiktok=6adbc6a70b5343d0704ce897</t>
        </is>
      </c>
      <c r="S108" s="126" t="n"/>
      <c r="T108" s="124" t="n"/>
      <c r="U108" s="127">
        <f>IF(OR(T108="",N(O108)=0),"",T108/O108)</f>
        <v/>
      </c>
      <c r="V108" s="124" t="n"/>
      <c r="W108" s="124" t="n"/>
      <c r="X108" s="124" t="n"/>
      <c r="Y108" s="126" t="n"/>
      <c r="Z108" s="124" t="n"/>
      <c r="AA108" s="126" t="n"/>
      <c r="AB108" s="124" t="n"/>
      <c r="AC108" s="128">
        <f>IF(COUNT(S108,Y108,AA108)=0,"",SUM(S108,Y108,AA108))</f>
        <v/>
      </c>
      <c r="AD108" s="127">
        <f>IF(N(AC108)=0,"",SUM(V108,W108,X108,Z108,AB108)/AC108)</f>
        <v/>
      </c>
      <c r="AE108" s="126" t="n"/>
      <c r="AF108" s="126" t="n"/>
      <c r="AG108" s="126" t="n"/>
      <c r="AH108" s="128">
        <f>IF(COUNT(AE108,AF108,AG108)=0,"",SUM(AE108,AF108,AG108))</f>
        <v/>
      </c>
      <c r="AI108" s="126" t="n"/>
      <c r="AJ108" s="126" t="n"/>
      <c r="AK108" s="126" t="n"/>
      <c r="AL108" s="128">
        <f>IF(COUNT(AI108,AJ108,AK108)=0,"",SUM(AI108,AJ108,AK108))</f>
        <v/>
      </c>
      <c r="AM108" s="123">
        <f>IF(N(AC108)=0,"",IF(COUNT($AC$6:$AC$105)&lt;5,"Too early",IF(AC108&gt;=1.5*MEDIAN($AC$6:$AC$105),"Top",IF(AC108&lt;=0.5*MEDIAN($AC$6:$AC$105),"Low","Average"))))</f>
        <v/>
      </c>
      <c r="AN108" s="124" t="inlineStr">
        <is>
          <t>2026-10-25 review: sent on all 3 per Buffer; early (~1 day) IG 1638 (52% ret) · TT 45 (13%) · YT 4. Pattern-test day 1.</t>
        </is>
      </c>
      <c r="AO108" s="124" t="inlineStr">
        <is>
          <t>ted2</t>
        </is>
      </c>
      <c r="AP108" s="129" t="n"/>
      <c r="AQ108" s="129" t="n"/>
      <c r="AR108" s="129" t="n"/>
      <c r="AS108" s="129" t="n"/>
      <c r="AT108" s="129" t="n"/>
      <c r="AU108" s="129" t="n"/>
      <c r="AV108" s="130" t="inlineStr">
        <is>
          <t>Experiment story</t>
        </is>
      </c>
    </row>
    <row r="109">
      <c r="A109" s="123" t="n">
        <v>104</v>
      </c>
      <c r="B109" s="123" t="inlineStr">
        <is>
          <t>Pattern: Protect yourself</t>
        </is>
      </c>
      <c r="C109" s="123" t="inlineStr">
        <is>
          <t>The tiny-yes trick (foot in the door)</t>
        </is>
      </c>
      <c r="D109" s="123" t="inlineStr">
        <is>
          <t>If someone asks you for something TINY first, watch out.</t>
        </is>
      </c>
      <c r="E109" s="123" t="inlineStr">
        <is>
          <t>Freedman &amp; Fraser 1966: 17% vs 76% big sign</t>
        </is>
      </c>
      <c r="F109" s="123" t="n"/>
      <c r="G109" s="123" t="n">
        <v>30</v>
      </c>
      <c r="H109" s="123" t="inlineStr">
        <is>
          <t>Published</t>
        </is>
      </c>
      <c r="I109" s="124" t="n">
        <v>2</v>
      </c>
      <c r="J109" s="124" t="inlineStr">
        <is>
          <t>Strong</t>
        </is>
      </c>
      <c r="K109" s="124" t="inlineStr">
        <is>
          <t>foot-in-the-door</t>
        </is>
      </c>
      <c r="L109" s="125" t="n">
        <v>46319</v>
      </c>
      <c r="M109" s="123">
        <f>IF(L109="","",TEXT(L109,"ddd"))</f>
        <v/>
      </c>
      <c r="N109" s="124" t="n"/>
      <c r="O109" s="124" t="n">
        <v>40</v>
      </c>
      <c r="P109" s="124" t="inlineStr">
        <is>
          <t>The Tiny Yes Trick People Use On You #shorts</t>
        </is>
      </c>
      <c r="Q109" s="124" t="inlineStr">
        <is>
          <t>Freedman &amp; Fraser (1966): only 17% of homeowners agreed to a big "Drive Carefully" yard sign, but 76% agreed after first saying yes to a small "Be a Safe Driver" window sign. The foot-in-the-door technique.</t>
        </is>
      </c>
      <c r="R109" s="124" t="inlineStr">
        <is>
          <t>buffer:youtube=6adbc6a99acae620d8192a7d;instagram=6adbc6a93d5b27036b4fa580;tiktok=6adbc6a9bd33ce99c3ed1021</t>
        </is>
      </c>
      <c r="S109" s="126" t="n"/>
      <c r="T109" s="124" t="n"/>
      <c r="U109" s="127">
        <f>IF(OR(T109="",N(O109)=0),"",T109/O109)</f>
        <v/>
      </c>
      <c r="V109" s="124" t="n"/>
      <c r="W109" s="124" t="n"/>
      <c r="X109" s="124" t="n"/>
      <c r="Y109" s="126" t="n"/>
      <c r="Z109" s="124" t="n"/>
      <c r="AA109" s="126" t="n"/>
      <c r="AB109" s="124" t="n"/>
      <c r="AC109" s="128">
        <f>IF(COUNT(S109,Y109,AA109)=0,"",SUM(S109,Y109,AA109))</f>
        <v/>
      </c>
      <c r="AD109" s="127">
        <f>IF(N(AC109)=0,"",SUM(V109,W109,X109,Z109,AB109)/AC109)</f>
        <v/>
      </c>
      <c r="AE109" s="126" t="n"/>
      <c r="AF109" s="126" t="n"/>
      <c r="AG109" s="126" t="n"/>
      <c r="AH109" s="128">
        <f>IF(COUNT(AE109,AF109,AG109)=0,"",SUM(AE109,AF109,AG109))</f>
        <v/>
      </c>
      <c r="AI109" s="126" t="n"/>
      <c r="AJ109" s="126" t="n"/>
      <c r="AK109" s="126" t="n"/>
      <c r="AL109" s="128">
        <f>IF(COUNT(AI109,AJ109,AK109)=0,"",SUM(AI109,AJ109,AK109))</f>
        <v/>
      </c>
      <c r="AM109" s="123">
        <f>IF(N(AC109)=0,"",IF(COUNT($AC$6:$AC$105)&lt;5,"Too early",IF(AC109&gt;=1.5*MEDIAN($AC$6:$AC$105),"Top",IF(AC109&lt;=0.5*MEDIAN($AC$6:$AC$105),"Low","Average"))))</f>
        <v/>
      </c>
      <c r="AN109" s="124" t="inlineStr">
        <is>
          <t>2026-10-25 review: sent on all 3 per Buffer; early (~1 day) IG 226 (37% ret) · TT 54 (20%) · YT 0. Pattern-test day 1.</t>
        </is>
      </c>
      <c r="AO109" s="124" t="inlineStr">
        <is>
          <t>ted2</t>
        </is>
      </c>
      <c r="AP109" s="129" t="n"/>
      <c r="AQ109" s="129" t="n"/>
      <c r="AR109" s="129" t="n"/>
      <c r="AS109" s="129" t="n"/>
      <c r="AT109" s="129" t="n"/>
      <c r="AU109" s="129" t="n"/>
      <c r="AV109" s="130" t="inlineStr">
        <is>
          <t>Protect yourself</t>
        </is>
      </c>
    </row>
    <row r="110">
      <c r="A110" s="123" t="n">
        <v>105</v>
      </c>
      <c r="B110" s="123" t="inlineStr">
        <is>
          <t>Pattern: Psychology of people who</t>
        </is>
      </c>
      <c r="C110" s="123" t="inlineStr">
        <is>
          <t>Psychology of people who are always late (planning fallacy)</t>
        </is>
      </c>
      <c r="D110" s="123" t="inlineStr">
        <is>
          <t>Psychology of people who are ALWAYS late: it's usually not laziness.</t>
        </is>
      </c>
      <c r="E110" s="123" t="inlineStr">
        <is>
          <t>Buehler, Griffin &amp; Ross 1994: 33.9 / 48.6 / 55.5 days, ~30% on time</t>
        </is>
      </c>
      <c r="F110" s="123" t="n"/>
      <c r="G110" s="123" t="n">
        <v>30</v>
      </c>
      <c r="H110" s="123" t="inlineStr">
        <is>
          <t>Published</t>
        </is>
      </c>
      <c r="I110" s="124" t="n">
        <v>3</v>
      </c>
      <c r="J110" s="124" t="inlineStr">
        <is>
          <t>Strong</t>
        </is>
      </c>
      <c r="K110" s="124" t="inlineStr">
        <is>
          <t>always-late</t>
        </is>
      </c>
      <c r="L110" s="125" t="n">
        <v>46319</v>
      </c>
      <c r="M110" s="123">
        <f>IF(L110="","",TEXT(L110,"ddd"))</f>
        <v/>
      </c>
      <c r="N110" s="124" t="n"/>
      <c r="O110" s="124" t="n">
        <v>30</v>
      </c>
      <c r="P110" s="124" t="inlineStr">
        <is>
          <t>Psychology Of People Who Are Always Late #shorts</t>
        </is>
      </c>
      <c r="Q110" s="124" t="inlineStr">
        <is>
          <t>Buehler, Griffin &amp; Ross (1994): students predicted their thesis would take 33.9 days (worst case 48.6); it took 55.5, and only about 30% finished by their own estimate. The planning fallacy. Fix: base plans on how long it took last time.</t>
        </is>
      </c>
      <c r="R110" s="124" t="inlineStr">
        <is>
          <t>buffer:youtube=6adbc6abe4be8a4d86255e76;instagram=6adbc6acbd33ce99c3ed1093;tiktok=6adbc6ac3d5b27036b4fa5fc</t>
        </is>
      </c>
      <c r="S110" s="126" t="n"/>
      <c r="T110" s="124" t="n"/>
      <c r="U110" s="127">
        <f>IF(OR(T110="",N(O110)=0),"",T110/O110)</f>
        <v/>
      </c>
      <c r="V110" s="124" t="n"/>
      <c r="W110" s="124" t="n"/>
      <c r="X110" s="124" t="n"/>
      <c r="Y110" s="126" t="n"/>
      <c r="Z110" s="124" t="n"/>
      <c r="AA110" s="126" t="n"/>
      <c r="AB110" s="124" t="n"/>
      <c r="AC110" s="128">
        <f>IF(COUNT(S110,Y110,AA110)=0,"",SUM(S110,Y110,AA110))</f>
        <v/>
      </c>
      <c r="AD110" s="127">
        <f>IF(N(AC110)=0,"",SUM(V110,W110,X110,Z110,AB110)/AC110)</f>
        <v/>
      </c>
      <c r="AE110" s="126" t="n"/>
      <c r="AF110" s="126" t="n"/>
      <c r="AG110" s="126" t="n"/>
      <c r="AH110" s="128">
        <f>IF(COUNT(AE110,AF110,AG110)=0,"",SUM(AE110,AF110,AG110))</f>
        <v/>
      </c>
      <c r="AI110" s="126" t="n"/>
      <c r="AJ110" s="126" t="n"/>
      <c r="AK110" s="126" t="n"/>
      <c r="AL110" s="128">
        <f>IF(COUNT(AI110,AJ110,AK110)=0,"",SUM(AI110,AJ110,AK110))</f>
        <v/>
      </c>
      <c r="AM110" s="123">
        <f>IF(N(AC110)=0,"",IF(COUNT($AC$6:$AC$105)&lt;5,"Too early",IF(AC110&gt;=1.5*MEDIAN($AC$6:$AC$105),"Top",IF(AC110&lt;=0.5*MEDIAN($AC$6:$AC$105),"Low","Average"))))</f>
        <v/>
      </c>
      <c r="AN110" s="124" t="inlineStr">
        <is>
          <t>2026-10-25 review: sent on all 3 per Buffer; early (~1 day) IG 1361 (42% ret) · TT 30 (13%) · YT 0. Pattern-test day 1.</t>
        </is>
      </c>
      <c r="AO110" s="124" t="inlineStr">
        <is>
          <t>ted2</t>
        </is>
      </c>
      <c r="AP110" s="129" t="n"/>
      <c r="AQ110" s="129" t="n"/>
      <c r="AR110" s="129" t="n"/>
      <c r="AS110" s="129" t="n"/>
      <c r="AT110" s="129" t="n"/>
      <c r="AU110" s="129" t="n"/>
      <c r="AV110" s="130" t="inlineStr">
        <is>
          <t>Psychology of people who</t>
        </is>
      </c>
    </row>
    <row r="111">
      <c r="A111" s="123" t="n">
        <v>106</v>
      </c>
      <c r="B111" s="123" t="inlineStr">
        <is>
          <t>Pattern: Numbered facts</t>
        </is>
      </c>
      <c r="C111" s="123" t="inlineStr">
        <is>
          <t>3 reasons your mind goes blank</t>
        </is>
      </c>
      <c r="D111" s="123" t="inlineStr">
        <is>
          <t>Three reasons your mind goes BLANK.</t>
        </is>
      </c>
      <c r="E111" s="123" t="inlineStr">
        <is>
          <t>Radvansky 2011 doorway; Brenner 1973 next-in-line; Sparrow 2011 Google effect</t>
        </is>
      </c>
      <c r="F111" s="123" t="n"/>
      <c r="G111" s="123" t="n">
        <v>30</v>
      </c>
      <c r="H111" s="123" t="inlineStr">
        <is>
          <t>Vetoed</t>
        </is>
      </c>
      <c r="I111" s="124" t="n">
        <v>4</v>
      </c>
      <c r="J111" s="124" t="inlineStr">
        <is>
          <t>Strong</t>
        </is>
      </c>
      <c r="K111" s="124" t="inlineStr">
        <is>
          <t>mind-goes-blank</t>
        </is>
      </c>
      <c r="L111" s="125" t="n">
        <v>46320</v>
      </c>
      <c r="M111" s="123">
        <f>IF(L111="","",TEXT(L111,"ddd"))</f>
        <v/>
      </c>
      <c r="N111" s="124" t="n"/>
      <c r="O111" s="124" t="n">
        <v>29</v>
      </c>
      <c r="P111" s="124" t="inlineStr">
        <is>
          <t>3 Reasons Your Mind Goes Blank #shorts</t>
        </is>
      </c>
      <c r="Q111" s="124" t="inlineStr">
        <is>
          <t>1) Radvansky et al. (2011): walking through a doorway causes more forgetting than the same distance within a room (an event boundary). 2) Brenner (1973), the next-in-line effect: people recall least of what was said just before their own turn. 3) Spa</t>
        </is>
      </c>
      <c r="R111" s="124" t="inlineStr">
        <is>
          <t>buffer:youtube=6adcff348b3d437ddcd3cc95;instagram=6adcff35e4be8a4d86734cd5;tiktok=6adcff356887a2efc1cf66b7</t>
        </is>
      </c>
      <c r="S111" s="126" t="n"/>
      <c r="T111" s="124" t="n"/>
      <c r="U111" s="127">
        <f>IF(OR(T111="",N(O111)=0),"",T111/O111)</f>
        <v/>
      </c>
      <c r="V111" s="124" t="n"/>
      <c r="W111" s="124" t="n"/>
      <c r="X111" s="124" t="n"/>
      <c r="Y111" s="126" t="n"/>
      <c r="Z111" s="124" t="n"/>
      <c r="AA111" s="126" t="n"/>
      <c r="AB111" s="124" t="n"/>
      <c r="AC111" s="128">
        <f>IF(COUNT(S111,Y111,AA111)=0,"",SUM(S111,Y111,AA111))</f>
        <v/>
      </c>
      <c r="AD111" s="127">
        <f>IF(N(AC111)=0,"",SUM(V111,W111,X111,Z111,AB111)/AC111)</f>
        <v/>
      </c>
      <c r="AE111" s="126" t="n"/>
      <c r="AF111" s="126" t="n"/>
      <c r="AG111" s="126" t="n"/>
      <c r="AH111" s="128">
        <f>IF(COUNT(AE111,AF111,AG111)=0,"",SUM(AE111,AF111,AG111))</f>
        <v/>
      </c>
      <c r="AI111" s="126" t="n"/>
      <c r="AJ111" s="126" t="n"/>
      <c r="AK111" s="126" t="n"/>
      <c r="AL111" s="128">
        <f>IF(COUNT(AI111,AJ111,AK111)=0,"",SUM(AI111,AJ111,AK111))</f>
        <v/>
      </c>
      <c r="AM111" s="123">
        <f>IF(N(AC111)=0,"",IF(COUNT($AC$6:$AC$105)&lt;5,"Too early",IF(AC111&gt;=1.5*MEDIAN($AC$6:$AC$105),"Top",IF(AC111&lt;=0.5*MEDIAN($AC$6:$AC$105),"Low","Average"))))</f>
        <v/>
      </c>
      <c r="AN111" s="124" t="inlineStr">
        <is>
          <t>2026-10-24: pulled from Buffer for the stick story format (Shivam)</t>
        </is>
      </c>
      <c r="AO111" s="124" t="inlineStr">
        <is>
          <t>ted2</t>
        </is>
      </c>
      <c r="AP111" s="129" t="n"/>
      <c r="AQ111" s="129" t="n"/>
      <c r="AR111" s="129" t="n"/>
      <c r="AS111" s="129" t="n"/>
      <c r="AT111" s="129" t="n"/>
      <c r="AU111" s="129" t="n"/>
      <c r="AV111" s="130" t="inlineStr">
        <is>
          <t>Numbered facts</t>
        </is>
      </c>
    </row>
    <row r="112">
      <c r="A112" s="123" t="n">
        <v>107</v>
      </c>
      <c r="B112" s="123" t="inlineStr">
        <is>
          <t>Pattern: Therapist tip</t>
        </is>
      </c>
      <c r="C112" s="123" t="inlineStr">
        <is>
          <t>The 5-minute breath that beat mindfulness (cyclic sighing)</t>
        </is>
      </c>
      <c r="D112" s="123" t="inlineStr">
        <is>
          <t>This five-minute breath lifted mood MORE than mindfulness.</t>
        </is>
      </c>
      <c r="E112" s="123" t="inlineStr">
        <is>
          <t>Balban et al. 2023 Cell Reports Medicine</t>
        </is>
      </c>
      <c r="F112" s="123" t="n"/>
      <c r="G112" s="123" t="n">
        <v>30</v>
      </c>
      <c r="H112" s="123" t="inlineStr">
        <is>
          <t>Vetoed</t>
        </is>
      </c>
      <c r="I112" s="124" t="n">
        <v>5</v>
      </c>
      <c r="J112" s="124" t="inlineStr">
        <is>
          <t>Strong</t>
        </is>
      </c>
      <c r="K112" s="124" t="inlineStr">
        <is>
          <t>five-minute-sigh</t>
        </is>
      </c>
      <c r="L112" s="125" t="n">
        <v>46320</v>
      </c>
      <c r="M112" s="123">
        <f>IF(L112="","",TEXT(L112,"ddd"))</f>
        <v/>
      </c>
      <c r="N112" s="124" t="n"/>
      <c r="O112" s="124" t="n">
        <v>31</v>
      </c>
      <c r="P112" s="124" t="inlineStr">
        <is>
          <t>A 5-Minute Breath That Beat Mindfulness #shorts</t>
        </is>
      </c>
      <c r="Q112" s="124" t="inlineStr">
        <is>
          <t>Balban et al. (2023, Cell Reports Medicine, Stanford): 5 minutes a day of cyclic sighing (inhale, second short inhale, long exhale) for a month raised daily positive mood more than mindfulness meditation; both reduced anxiety. Not medical advice.</t>
        </is>
      </c>
      <c r="R112" s="124" t="inlineStr">
        <is>
          <t>buffer:youtube=6adcff370b5343d0709a8cb9;instagram=6adcff373d5b27036b9b9fe3;tiktok=6adcff38e4be8a4d86734d26</t>
        </is>
      </c>
      <c r="S112" s="126" t="n"/>
      <c r="T112" s="124" t="n"/>
      <c r="U112" s="127">
        <f>IF(OR(T112="",N(O112)=0),"",T112/O112)</f>
        <v/>
      </c>
      <c r="V112" s="124" t="n"/>
      <c r="W112" s="124" t="n"/>
      <c r="X112" s="124" t="n"/>
      <c r="Y112" s="126" t="n"/>
      <c r="Z112" s="124" t="n"/>
      <c r="AA112" s="126" t="n"/>
      <c r="AB112" s="124" t="n"/>
      <c r="AC112" s="128">
        <f>IF(COUNT(S112,Y112,AA112)=0,"",SUM(S112,Y112,AA112))</f>
        <v/>
      </c>
      <c r="AD112" s="127">
        <f>IF(N(AC112)=0,"",SUM(V112,W112,X112,Z112,AB112)/AC112)</f>
        <v/>
      </c>
      <c r="AE112" s="126" t="n"/>
      <c r="AF112" s="126" t="n"/>
      <c r="AG112" s="126" t="n"/>
      <c r="AH112" s="128">
        <f>IF(COUNT(AE112,AF112,AG112)=0,"",SUM(AE112,AF112,AG112))</f>
        <v/>
      </c>
      <c r="AI112" s="126" t="n"/>
      <c r="AJ112" s="126" t="n"/>
      <c r="AK112" s="126" t="n"/>
      <c r="AL112" s="128">
        <f>IF(COUNT(AI112,AJ112,AK112)=0,"",SUM(AI112,AJ112,AK112))</f>
        <v/>
      </c>
      <c r="AM112" s="123">
        <f>IF(N(AC112)=0,"",IF(COUNT($AC$6:$AC$105)&lt;5,"Too early",IF(AC112&gt;=1.5*MEDIAN($AC$6:$AC$105),"Top",IF(AC112&lt;=0.5*MEDIAN($AC$6:$AC$105),"Low","Average"))))</f>
        <v/>
      </c>
      <c r="AN112" s="124" t="inlineStr">
        <is>
          <t>2026-10-24: pulled from Buffer for the stick story format (Shivam)</t>
        </is>
      </c>
      <c r="AO112" s="124" t="inlineStr">
        <is>
          <t>ted2</t>
        </is>
      </c>
      <c r="AP112" s="129" t="n"/>
      <c r="AQ112" s="129" t="n"/>
      <c r="AR112" s="129" t="n"/>
      <c r="AS112" s="129" t="n"/>
      <c r="AT112" s="129" t="n"/>
      <c r="AU112" s="129" t="n"/>
      <c r="AV112" s="130" t="inlineStr">
        <is>
          <t>Therapist tip</t>
        </is>
      </c>
    </row>
    <row r="113">
      <c r="A113" s="123" t="n">
        <v>108</v>
      </c>
      <c r="B113" s="123" t="inlineStr">
        <is>
          <t>Pattern: Relationships &amp; likability</t>
        </is>
      </c>
      <c r="C113" s="123" t="inlineStr">
        <is>
          <t>Why small mistakes make you likable (pratfall effect)</t>
        </is>
      </c>
      <c r="D113" s="123" t="inlineStr">
        <is>
          <t>The most likable person might be the one who SPILLS their coffee.</t>
        </is>
      </c>
      <c r="E113" s="123" t="inlineStr">
        <is>
          <t>Aronson, Willerman &amp; Floyd 1966: 92% contestant</t>
        </is>
      </c>
      <c r="F113" s="123" t="n"/>
      <c r="G113" s="123" t="n">
        <v>30</v>
      </c>
      <c r="H113" s="123" t="inlineStr">
        <is>
          <t>Published</t>
        </is>
      </c>
      <c r="I113" s="124" t="n">
        <v>6</v>
      </c>
      <c r="J113" s="124" t="inlineStr">
        <is>
          <t>Strong</t>
        </is>
      </c>
      <c r="K113" s="124" t="inlineStr">
        <is>
          <t>coffee-spill-effect</t>
        </is>
      </c>
      <c r="L113" s="125" t="n">
        <v>46322</v>
      </c>
      <c r="M113" s="123">
        <f>IF(L113="","",TEXT(L113,"ddd"))</f>
        <v/>
      </c>
      <c r="N113" s="124" t="n"/>
      <c r="O113" s="124" t="n">
        <v>28</v>
      </c>
      <c r="P113" s="124" t="inlineStr">
        <is>
          <t>Why Small Mistakes Make People Like You More #shorts</t>
        </is>
      </c>
      <c r="Q113" s="124" t="inlineStr">
        <is>
          <t>Aronson, Willerman &amp; Floyd (1966): students heard a taped quiz contestant who answered 92% of questions right; when he spilled coffee on himself he was rated more likable. An average contestant who spilled was rated less likable. The pratfall effect.</t>
        </is>
      </c>
      <c r="R113" s="124" t="inlineStr">
        <is>
          <t>buffer:youtube=6ae15f55c3dec74d25995e2d;instagram=6ae15f563d4d083d91210c79;tiktok=6ae15f56c3dec74d25995ee8</t>
        </is>
      </c>
      <c r="S113" s="126" t="n"/>
      <c r="T113" s="124" t="n"/>
      <c r="U113" s="127">
        <f>IF(OR(T113="",N(O113)=0),"",T113/O113)</f>
        <v/>
      </c>
      <c r="V113" s="124" t="n"/>
      <c r="W113" s="124" t="n"/>
      <c r="X113" s="124" t="n"/>
      <c r="Y113" s="126" t="n"/>
      <c r="Z113" s="124" t="n"/>
      <c r="AA113" s="126" t="n"/>
      <c r="AB113" s="124" t="n"/>
      <c r="AC113" s="128">
        <f>IF(COUNT(S113,Y113,AA113)=0,"",SUM(S113,Y113,AA113))</f>
        <v/>
      </c>
      <c r="AD113" s="127">
        <f>IF(N(AC113)=0,"",SUM(V113,W113,X113,Z113,AB113)/AC113)</f>
        <v/>
      </c>
      <c r="AE113" s="126" t="n"/>
      <c r="AF113" s="126" t="n"/>
      <c r="AG113" s="126" t="n"/>
      <c r="AH113" s="128">
        <f>IF(COUNT(AE113,AF113,AG113)=0,"",SUM(AE113,AF113,AG113))</f>
        <v/>
      </c>
      <c r="AI113" s="126" t="n"/>
      <c r="AJ113" s="126" t="n"/>
      <c r="AK113" s="126" t="n"/>
      <c r="AL113" s="128">
        <f>IF(COUNT(AI113,AJ113,AK113)=0,"",SUM(AI113,AJ113,AK113))</f>
        <v/>
      </c>
      <c r="AM113" s="123">
        <f>IF(N(AC113)=0,"",IF(COUNT($AC$6:$AC$105)&lt;5,"Too early",IF(AC113&gt;=1.5*MEDIAN($AC$6:$AC$105),"Top",IF(AC113&lt;=0.5*MEDIAN($AC$6:$AC$105),"Low","Average"))))</f>
        <v/>
      </c>
      <c r="AN113" s="124" t="inlineStr">
        <is>
          <t>2026-10-24: pulled from Buffer for the stick story format (Shivam)</t>
        </is>
      </c>
      <c r="AO113" s="124" t="inlineStr">
        <is>
          <t>ted2</t>
        </is>
      </c>
      <c r="AP113" s="129" t="n"/>
      <c r="AQ113" s="129" t="n"/>
      <c r="AR113" s="129" t="n"/>
      <c r="AS113" s="129" t="n"/>
      <c r="AT113" s="129" t="n"/>
      <c r="AU113" s="129" t="n"/>
      <c r="AV113" s="130" t="inlineStr">
        <is>
          <t>Relationships &amp; likability</t>
        </is>
      </c>
    </row>
    <row r="114">
      <c r="A114" s="123" t="n">
        <v>109</v>
      </c>
      <c r="B114" s="123" t="inlineStr">
        <is>
          <t>Pattern: Strange named effect</t>
        </is>
      </c>
      <c r="C114" s="123" t="inlineStr">
        <is>
          <t>The Tetris effect: your brain replays what you repeat</t>
        </is>
      </c>
      <c r="D114" s="123" t="inlineStr">
        <is>
          <t>Play a game for hours and your brain plays it while you SLEEP.</t>
        </is>
      </c>
      <c r="E114" s="123" t="inlineStr">
        <is>
          <t>Stickgold et al. 2000 Science: Tetris imagery at sleep onset, even in amnesic patients</t>
        </is>
      </c>
      <c r="F114" s="123" t="n"/>
      <c r="G114" s="123" t="n">
        <v>30</v>
      </c>
      <c r="H114" s="123" t="inlineStr">
        <is>
          <t>Published</t>
        </is>
      </c>
      <c r="I114" s="124" t="n">
        <v>7</v>
      </c>
      <c r="J114" s="124" t="inlineStr">
        <is>
          <t>Strong</t>
        </is>
      </c>
      <c r="K114" s="124" t="inlineStr">
        <is>
          <t>kabir-tetris-dreams</t>
        </is>
      </c>
      <c r="L114" s="125" t="n">
        <v>46321</v>
      </c>
      <c r="M114" s="123">
        <f>IF(L114="","",TEXT(L114,"ddd"))</f>
        <v/>
      </c>
      <c r="N114" s="124" t="n"/>
      <c r="O114" s="124" t="n">
        <v>30</v>
      </c>
      <c r="P114" s="124" t="inlineStr">
        <is>
          <t>Why You See the Game When You Close Your Eyes #shorts</t>
        </is>
      </c>
      <c r="Q114" s="124" t="inlineStr">
        <is>
          <t>Stickgold et al. (2000, Science): after hours of Tetris over three days, 17 of 27 players reported Tetris images at sleep onset, incl. 3 of 5 amnesic patients who couldn't remember playing (Harvard Gazette 2000). Retold as stick story (Kabir ep. 2).</t>
        </is>
      </c>
      <c r="R114" s="124" t="inlineStr">
        <is>
          <t>buffer:youtube=6ade5a388b3d437ddc2479fa;instagram=6ade5a39e4be8a4d86c30f8b;tiktok=6ade5a3a3d5b27036bec0941</t>
        </is>
      </c>
      <c r="S114" s="126" t="n"/>
      <c r="T114" s="124" t="n"/>
      <c r="U114" s="127">
        <f>IF(OR(T114="",N(O114)=0),"",T114/O114)</f>
        <v/>
      </c>
      <c r="V114" s="124" t="n"/>
      <c r="W114" s="124" t="n"/>
      <c r="X114" s="124" t="n"/>
      <c r="Y114" s="126" t="n"/>
      <c r="Z114" s="124" t="n"/>
      <c r="AA114" s="126" t="n"/>
      <c r="AB114" s="124" t="n"/>
      <c r="AC114" s="128">
        <f>IF(COUNT(S114,Y114,AA114)=0,"",SUM(S114,Y114,AA114))</f>
        <v/>
      </c>
      <c r="AD114" s="127">
        <f>IF(N(AC114)=0,"",SUM(V114,W114,X114,Z114,AB114)/AC114)</f>
        <v/>
      </c>
      <c r="AE114" s="126" t="n"/>
      <c r="AF114" s="126" t="n"/>
      <c r="AG114" s="126" t="n"/>
      <c r="AH114" s="128">
        <f>IF(COUNT(AE114,AF114,AG114)=0,"",SUM(AE114,AF114,AG114))</f>
        <v/>
      </c>
      <c r="AI114" s="126" t="n"/>
      <c r="AJ114" s="126" t="n"/>
      <c r="AK114" s="126" t="n"/>
      <c r="AL114" s="128">
        <f>IF(COUNT(AI114,AJ114,AK114)=0,"",SUM(AI114,AJ114,AK114))</f>
        <v/>
      </c>
      <c r="AM114" s="123">
        <f>IF(N(AC114)=0,"",IF(COUNT($AC$6:$AC$105)&lt;5,"Too early",IF(AC114&gt;=1.5*MEDIAN($AC$6:$AC$105),"Top",IF(AC114&lt;=0.5*MEDIAN($AC$6:$AC$105),"Low","Average"))))</f>
        <v/>
      </c>
      <c r="AN114" s="124" t="inlineStr">
        <is>
          <t>2026-10-25: explainer script shelved; rewrite as a stick character story (Shivam)</t>
        </is>
      </c>
      <c r="AO114" s="124" t="inlineStr">
        <is>
          <t>stick</t>
        </is>
      </c>
      <c r="AP114" s="129" t="n"/>
      <c r="AQ114" s="129" t="n"/>
      <c r="AR114" s="129" t="n"/>
      <c r="AS114" s="129" t="n"/>
      <c r="AT114" s="129" t="n"/>
      <c r="AU114" s="129" t="n"/>
      <c r="AV114" s="130" t="inlineStr">
        <is>
          <t>Strange named effect</t>
        </is>
      </c>
    </row>
    <row r="115">
      <c r="A115" s="123" t="n">
        <v>110</v>
      </c>
      <c r="B115" s="123" t="inlineStr">
        <is>
          <t>Pattern: Quiz / test yourself</t>
        </is>
      </c>
      <c r="C115" s="123" t="inlineStr">
        <is>
          <t>Can you solve the bat-and-ball question? (CRT)</t>
        </is>
      </c>
      <c r="D115" s="123" t="inlineStr">
        <is>
          <t>A bat and a ball cost $1.10. Most Ivy League students got this WRONG.</t>
        </is>
      </c>
      <c r="E115" s="123" t="inlineStr">
        <is>
          <t>Frederick 2005 Cognitive Reflection Test</t>
        </is>
      </c>
      <c r="F115" s="123" t="n"/>
      <c r="G115" s="123" t="n">
        <v>30</v>
      </c>
      <c r="H115" s="123" t="inlineStr">
        <is>
          <t>Vetoed</t>
        </is>
      </c>
      <c r="I115" s="124" t="n">
        <v>8</v>
      </c>
      <c r="J115" s="124" t="inlineStr">
        <is>
          <t>Strong</t>
        </is>
      </c>
      <c r="K115" s="124" t="inlineStr">
        <is>
          <t>maya-bat-and-ball</t>
        </is>
      </c>
      <c r="L115" s="125" t="n">
        <v>46321</v>
      </c>
      <c r="M115" s="123">
        <f>IF(L115="","",TEXT(L115,"ddd"))</f>
        <v/>
      </c>
      <c r="N115" s="124" t="n"/>
      <c r="O115" s="124" t="n">
        <v>44</v>
      </c>
      <c r="P115" s="124" t="inlineStr">
        <is>
          <t>The Easy Question Half of Harvard Got Wrong #shorts</t>
        </is>
      </c>
      <c r="Q115" s="124" t="inlineStr">
        <is>
          <t>Frederick (2005, J. Econ. Perspectives), Cognitive Reflection Test: about half of students at Harvard, MIT and Princeton gave the intuitive 10-cent answer (correct: 5 cents). Retold as stick story (Maya ep. 1).</t>
        </is>
      </c>
      <c r="R115" s="124" t="inlineStr">
        <is>
          <t>buffer:youtube=6ade5a3dbd33ce99c38a3357;instagram=6ade5a3ebd33ce99c38a338a;tiktok=6ade5a3e0b5343d070eb2880</t>
        </is>
      </c>
      <c r="S115" s="126" t="n"/>
      <c r="T115" s="124" t="n"/>
      <c r="U115" s="127">
        <f>IF(OR(T115="",N(O115)=0),"",T115/O115)</f>
        <v/>
      </c>
      <c r="V115" s="124" t="n"/>
      <c r="W115" s="124" t="n"/>
      <c r="X115" s="124" t="n"/>
      <c r="Y115" s="126" t="n"/>
      <c r="Z115" s="124" t="n"/>
      <c r="AA115" s="126" t="n"/>
      <c r="AB115" s="124" t="n"/>
      <c r="AC115" s="128">
        <f>IF(COUNT(S115,Y115,AA115)=0,"",SUM(S115,Y115,AA115))</f>
        <v/>
      </c>
      <c r="AD115" s="127">
        <f>IF(N(AC115)=0,"",SUM(V115,W115,X115,Z115,AB115)/AC115)</f>
        <v/>
      </c>
      <c r="AE115" s="126" t="n"/>
      <c r="AF115" s="126" t="n"/>
      <c r="AG115" s="126" t="n"/>
      <c r="AH115" s="128">
        <f>IF(COUNT(AE115,AF115,AG115)=0,"",SUM(AE115,AF115,AG115))</f>
        <v/>
      </c>
      <c r="AI115" s="126" t="n"/>
      <c r="AJ115" s="126" t="n"/>
      <c r="AK115" s="126" t="n"/>
      <c r="AL115" s="128">
        <f>IF(COUNT(AI115,AJ115,AK115)=0,"",SUM(AI115,AJ115,AK115))</f>
        <v/>
      </c>
      <c r="AM115" s="123">
        <f>IF(N(AC115)=0,"",IF(COUNT($AC$6:$AC$105)&lt;5,"Too early",IF(AC115&gt;=1.5*MEDIAN($AC$6:$AC$105),"Top",IF(AC115&lt;=0.5*MEDIAN($AC$6:$AC$105),"Low","Average"))))</f>
        <v/>
      </c>
      <c r="AN115" s="124" t="inlineStr">
        <is>
          <t>2026-10-26 Shivam: stick format stopped; scheduled Buffer posts deleted before they went out</t>
        </is>
      </c>
      <c r="AO115" s="124" t="inlineStr">
        <is>
          <t>stick</t>
        </is>
      </c>
      <c r="AP115" s="129" t="n"/>
      <c r="AQ115" s="129" t="n"/>
      <c r="AR115" s="129" t="n"/>
      <c r="AS115" s="129" t="n"/>
      <c r="AT115" s="129" t="n"/>
      <c r="AU115" s="129" t="n"/>
      <c r="AV115" s="130" t="inlineStr">
        <is>
          <t>Quiz / test yourself</t>
        </is>
      </c>
    </row>
    <row r="116">
      <c r="A116" s="123" t="n">
        <v>111</v>
      </c>
      <c r="B116" s="123" t="inlineStr">
        <is>
          <t>Pattern: Presence &amp; influence rules</t>
        </is>
      </c>
      <c r="C116" s="123" t="inlineStr">
        <is>
          <t>Repeat their words, get bigger tips (mirroring)</t>
        </is>
      </c>
      <c r="D116" s="123" t="inlineStr">
        <is>
          <t>Waiters who did ONE thing got much bigger tips.</t>
        </is>
      </c>
      <c r="E116" s="123" t="inlineStr">
        <is>
          <t>van Baaren et al. 2003: repeating orders verbatim raised tips</t>
        </is>
      </c>
      <c r="F116" s="123" t="n"/>
      <c r="G116" s="123" t="n">
        <v>30</v>
      </c>
      <c r="H116" s="123" t="inlineStr">
        <is>
          <t>Vetoed</t>
        </is>
      </c>
      <c r="I116" s="124" t="n">
        <v>9</v>
      </c>
      <c r="J116" s="124" t="inlineStr">
        <is>
          <t>Strong</t>
        </is>
      </c>
      <c r="K116" s="124" t="inlineStr">
        <is>
          <t>zoe-repeat-order</t>
        </is>
      </c>
      <c r="L116" s="125" t="n">
        <v>46321</v>
      </c>
      <c r="M116" s="123">
        <f>IF(L116="","",TEXT(L116,"ddd"))</f>
        <v/>
      </c>
      <c r="N116" s="124" t="n"/>
      <c r="O116" s="124" t="n">
        <v>37</v>
      </c>
      <c r="P116" s="124" t="inlineStr">
        <is>
          <t>The Waiter Trick That Doubles Tips #shorts</t>
        </is>
      </c>
      <c r="Q116" s="124" t="inlineStr">
        <is>
          <t>van Baaren, Holland, Steenaert &amp; van Knippenberg (2003): a Dutch waitress who repeated orders verbatim got almost twice the tips (~3 guilders) vs not mimicking. Retold as stick story (Zoe ep. 2).</t>
        </is>
      </c>
      <c r="R116" s="124" t="inlineStr">
        <is>
          <t>buffer:youtube=6ade5a41bd33ce99c38a3420;instagram=6ade5a426887a2efc11fea8a;tiktok=6ade5a420b5343d070eb292c</t>
        </is>
      </c>
      <c r="S116" s="126" t="n"/>
      <c r="T116" s="124" t="n"/>
      <c r="U116" s="127">
        <f>IF(OR(T116="",N(O116)=0),"",T116/O116)</f>
        <v/>
      </c>
      <c r="V116" s="124" t="n"/>
      <c r="W116" s="124" t="n"/>
      <c r="X116" s="124" t="n"/>
      <c r="Y116" s="126" t="n"/>
      <c r="Z116" s="124" t="n"/>
      <c r="AA116" s="126" t="n"/>
      <c r="AB116" s="124" t="n"/>
      <c r="AC116" s="128">
        <f>IF(COUNT(S116,Y116,AA116)=0,"",SUM(S116,Y116,AA116))</f>
        <v/>
      </c>
      <c r="AD116" s="127">
        <f>IF(N(AC116)=0,"",SUM(V116,W116,X116,Z116,AB116)/AC116)</f>
        <v/>
      </c>
      <c r="AE116" s="126" t="n"/>
      <c r="AF116" s="126" t="n"/>
      <c r="AG116" s="126" t="n"/>
      <c r="AH116" s="128">
        <f>IF(COUNT(AE116,AF116,AG116)=0,"",SUM(AE116,AF116,AG116))</f>
        <v/>
      </c>
      <c r="AI116" s="126" t="n"/>
      <c r="AJ116" s="126" t="n"/>
      <c r="AK116" s="126" t="n"/>
      <c r="AL116" s="128">
        <f>IF(COUNT(AI116,AJ116,AK116)=0,"",SUM(AI116,AJ116,AK116))</f>
        <v/>
      </c>
      <c r="AM116" s="123">
        <f>IF(N(AC116)=0,"",IF(COUNT($AC$6:$AC$105)&lt;5,"Too early",IF(AC116&gt;=1.5*MEDIAN($AC$6:$AC$105),"Top",IF(AC116&lt;=0.5*MEDIAN($AC$6:$AC$105),"Low","Average"))))</f>
        <v/>
      </c>
      <c r="AN116" s="124" t="inlineStr">
        <is>
          <t>2026-10-26 Shivam: stick format stopped; scheduled Buffer posts deleted before they went out</t>
        </is>
      </c>
      <c r="AO116" s="124" t="inlineStr">
        <is>
          <t>stick</t>
        </is>
      </c>
      <c r="AP116" s="129" t="n"/>
      <c r="AQ116" s="129" t="n"/>
      <c r="AR116" s="129" t="n"/>
      <c r="AS116" s="129" t="n"/>
      <c r="AT116" s="129" t="n"/>
      <c r="AU116" s="129" t="n"/>
      <c r="AV116" s="130" t="inlineStr">
        <is>
          <t>Presence &amp; influence rules</t>
        </is>
      </c>
    </row>
    <row r="117">
      <c r="A117" s="123" t="n">
        <v>112</v>
      </c>
      <c r="B117" s="123" t="inlineStr">
        <is>
          <t>Pattern: Psychology says (15 s loop)</t>
        </is>
      </c>
      <c r="C117" s="123" t="inlineStr">
        <is>
          <t>Psychology says: asking a favor makes them like you</t>
        </is>
      </c>
      <c r="D117" s="123" t="inlineStr">
        <is>
          <t>Psychology says: want someone to like you? Ask THEM for a favor.</t>
        </is>
      </c>
      <c r="E117" s="123" t="inlineStr">
        <is>
          <t>Jecker &amp; Landy 1969; Franklin's book anecdote</t>
        </is>
      </c>
      <c r="F117" s="123" t="n"/>
      <c r="G117" s="123" t="n">
        <v>30</v>
      </c>
      <c r="H117" s="123" t="inlineStr">
        <is>
          <t>Vetoed</t>
        </is>
      </c>
      <c r="I117" s="124" t="n">
        <v>10</v>
      </c>
      <c r="J117" s="124" t="inlineStr">
        <is>
          <t>Strong</t>
        </is>
      </c>
      <c r="K117" s="124" t="inlineStr">
        <is>
          <t>arjun-borrow-notes</t>
        </is>
      </c>
      <c r="L117" s="125" t="n"/>
      <c r="M117" s="123">
        <f>IF(L117="","",TEXT(L117,"ddd"))</f>
        <v/>
      </c>
      <c r="N117" s="124" t="inlineStr">
        <is>
          <t>story</t>
        </is>
      </c>
      <c r="O117" s="124" t="n"/>
      <c r="P117" s="124" t="n"/>
      <c r="Q117" s="124" t="inlineStr">
        <is>
          <t>Jecker &amp; Landy (1969, Human Relations): participants asked by the experimenter to return their winnings as a personal favor liked him more than those not asked (Ben Franklin effect). Retold as stick story (Arjun ep. 2).</t>
        </is>
      </c>
      <c r="R117" s="124" t="n"/>
      <c r="S117" s="126" t="n"/>
      <c r="T117" s="124" t="n"/>
      <c r="U117" s="127">
        <f>IF(OR(T117="",N(O117)=0),"",T117/O117)</f>
        <v/>
      </c>
      <c r="V117" s="124" t="n"/>
      <c r="W117" s="124" t="n"/>
      <c r="X117" s="124" t="n"/>
      <c r="Y117" s="126" t="n"/>
      <c r="Z117" s="124" t="n"/>
      <c r="AA117" s="126" t="n"/>
      <c r="AB117" s="124" t="n"/>
      <c r="AC117" s="128">
        <f>IF(COUNT(S117,Y117,AA117)=0,"",SUM(S117,Y117,AA117))</f>
        <v/>
      </c>
      <c r="AD117" s="127">
        <f>IF(N(AC117)=0,"",SUM(V117,W117,X117,Z117,AB117)/AC117)</f>
        <v/>
      </c>
      <c r="AE117" s="126" t="n"/>
      <c r="AF117" s="126" t="n"/>
      <c r="AG117" s="126" t="n"/>
      <c r="AH117" s="128">
        <f>IF(COUNT(AE117,AF117,AG117)=0,"",SUM(AE117,AF117,AG117))</f>
        <v/>
      </c>
      <c r="AI117" s="126" t="n"/>
      <c r="AJ117" s="126" t="n"/>
      <c r="AK117" s="126" t="n"/>
      <c r="AL117" s="128">
        <f>IF(COUNT(AI117,AJ117,AK117)=0,"",SUM(AI117,AJ117,AK117))</f>
        <v/>
      </c>
      <c r="AM117" s="123">
        <f>IF(N(AC117)=0,"",IF(COUNT($AC$6:$AC$105)&lt;5,"Too early",IF(AC117&gt;=1.5*MEDIAN($AC$6:$AC$105),"Top",IF(AC117&lt;=0.5*MEDIAN($AC$6:$AC$105),"Low","Average"))))</f>
        <v/>
      </c>
      <c r="AN117" s="124" t="inlineStr">
        <is>
          <t>2026-10-26 Shivam: stick format stopped for psychology Shorts (replaced by the tedmg/retro style cycle); never built</t>
        </is>
      </c>
      <c r="AO117" s="124" t="inlineStr">
        <is>
          <t>stick</t>
        </is>
      </c>
      <c r="AP117" s="129" t="n"/>
      <c r="AQ117" s="129" t="n"/>
      <c r="AR117" s="129" t="n"/>
      <c r="AS117" s="129" t="n"/>
      <c r="AT117" s="129" t="n"/>
      <c r="AU117" s="129" t="n"/>
      <c r="AV117" s="130" t="inlineStr">
        <is>
          <t>Psychology says (15 s loop)</t>
        </is>
      </c>
    </row>
    <row r="118">
      <c r="A118" s="123" t="n">
        <v>113</v>
      </c>
      <c r="B118" s="123" t="inlineStr">
        <is>
          <t>Pattern: Experiment story</t>
        </is>
      </c>
      <c r="C118" s="123" t="inlineStr">
        <is>
          <t>The Good Samaritan experiment: hurry kills kindness</t>
        </is>
      </c>
      <c r="D118" s="123" t="inlineStr">
        <is>
          <t>Seminary students on their way to talk about HELPING walked past a man in need.</t>
        </is>
      </c>
      <c r="E118" s="123" t="inlineStr">
        <is>
          <t>Darley &amp; Batson 1973: 63% vs 10% helped by hurry level</t>
        </is>
      </c>
      <c r="F118" s="123" t="n"/>
      <c r="G118" s="123" t="n">
        <v>30</v>
      </c>
      <c r="H118" s="123" t="inlineStr">
        <is>
          <t>Vetoed</t>
        </is>
      </c>
      <c r="I118" s="124" t="n">
        <v>11</v>
      </c>
      <c r="J118" s="124" t="inlineStr">
        <is>
          <t>Strong</t>
        </is>
      </c>
      <c r="K118" s="124" t="inlineStr">
        <is>
          <t>kabir-late-samaritan</t>
        </is>
      </c>
      <c r="L118" s="125" t="n"/>
      <c r="M118" s="123">
        <f>IF(L118="","",TEXT(L118,"ddd"))</f>
        <v/>
      </c>
      <c r="N118" s="124" t="inlineStr">
        <is>
          <t>story</t>
        </is>
      </c>
      <c r="O118" s="124" t="n"/>
      <c r="P118" s="124" t="n"/>
      <c r="Q118" s="124" t="inlineStr">
        <is>
          <t>Darley &amp; Batson (1973, JPSP): seminary students going to give a talk (some on the Good Samaritan) passed a slumped man; 63% helped with no hurry, 45% intermediate, 10% high hurry. Retold as stick story (Kabir ep. 3).</t>
        </is>
      </c>
      <c r="R118" s="124" t="n"/>
      <c r="S118" s="126" t="n"/>
      <c r="T118" s="124" t="n"/>
      <c r="U118" s="127">
        <f>IF(OR(T118="",N(O118)=0),"",T118/O118)</f>
        <v/>
      </c>
      <c r="V118" s="124" t="n"/>
      <c r="W118" s="124" t="n"/>
      <c r="X118" s="124" t="n"/>
      <c r="Y118" s="126" t="n"/>
      <c r="Z118" s="124" t="n"/>
      <c r="AA118" s="126" t="n"/>
      <c r="AB118" s="124" t="n"/>
      <c r="AC118" s="128">
        <f>IF(COUNT(S118,Y118,AA118)=0,"",SUM(S118,Y118,AA118))</f>
        <v/>
      </c>
      <c r="AD118" s="127">
        <f>IF(N(AC118)=0,"",SUM(V118,W118,X118,Z118,AB118)/AC118)</f>
        <v/>
      </c>
      <c r="AE118" s="126" t="n"/>
      <c r="AF118" s="126" t="n"/>
      <c r="AG118" s="126" t="n"/>
      <c r="AH118" s="128">
        <f>IF(COUNT(AE118,AF118,AG118)=0,"",SUM(AE118,AF118,AG118))</f>
        <v/>
      </c>
      <c r="AI118" s="126" t="n"/>
      <c r="AJ118" s="126" t="n"/>
      <c r="AK118" s="126" t="n"/>
      <c r="AL118" s="128">
        <f>IF(COUNT(AI118,AJ118,AK118)=0,"",SUM(AI118,AJ118,AK118))</f>
        <v/>
      </c>
      <c r="AM118" s="123">
        <f>IF(N(AC118)=0,"",IF(COUNT($AC$6:$AC$105)&lt;5,"Too early",IF(AC118&gt;=1.5*MEDIAN($AC$6:$AC$105),"Top",IF(AC118&lt;=0.5*MEDIAN($AC$6:$AC$105),"Low","Average"))))</f>
        <v/>
      </c>
      <c r="AN118" s="124" t="inlineStr">
        <is>
          <t>2026-10-26 Shivam: stick format stopped for psychology Shorts (replaced by the tedmg/retro style cycle); never built</t>
        </is>
      </c>
      <c r="AO118" s="124" t="inlineStr">
        <is>
          <t>stick</t>
        </is>
      </c>
      <c r="AP118" s="129" t="n"/>
      <c r="AQ118" s="129" t="n"/>
      <c r="AR118" s="129" t="n"/>
      <c r="AS118" s="129" t="n"/>
      <c r="AT118" s="129" t="n"/>
      <c r="AU118" s="129" t="n"/>
      <c r="AV118" s="130" t="inlineStr">
        <is>
          <t>Experiment story</t>
        </is>
      </c>
    </row>
    <row r="119">
      <c r="A119" s="123" t="n">
        <v>114</v>
      </c>
      <c r="B119" s="123" t="inlineStr">
        <is>
          <t>Pattern: Protect yourself</t>
        </is>
      </c>
      <c r="C119" s="123" t="inlineStr">
        <is>
          <t>The big-no trick (door in the face)</t>
        </is>
      </c>
      <c r="D119" s="123" t="inlineStr">
        <is>
          <t>If someone asks for something HUGE first, the real ask is next.</t>
        </is>
      </c>
      <c r="E119" s="123" t="inlineStr">
        <is>
          <t>Cialdini et al. 1975: zoo chaperone 50% vs 17%</t>
        </is>
      </c>
      <c r="F119" s="123" t="n"/>
      <c r="G119" s="123" t="n">
        <v>30</v>
      </c>
      <c r="H119" s="123" t="inlineStr">
        <is>
          <t>Vetoed</t>
        </is>
      </c>
      <c r="I119" s="124" t="n">
        <v>12</v>
      </c>
      <c r="J119" s="124" t="inlineStr">
        <is>
          <t>Strong</t>
        </is>
      </c>
      <c r="K119" s="124" t="inlineStr">
        <is>
          <t>maya-big-ask</t>
        </is>
      </c>
      <c r="L119" s="125" t="n"/>
      <c r="M119" s="123">
        <f>IF(L119="","",TEXT(L119,"ddd"))</f>
        <v/>
      </c>
      <c r="N119" s="124" t="inlineStr">
        <is>
          <t>story</t>
        </is>
      </c>
      <c r="O119" s="124" t="n"/>
      <c r="P119" s="124" t="n"/>
      <c r="Q119" s="124" t="inlineStr">
        <is>
          <t>Cialdini et al. (1975, JPSP): 17% agreed to chaperone juvenile delinquents on a zoo trip; 50% after first refusing 2 hrs/week for 2 years as counselors (25% when large request only described). Retold as stick story (Maya ep. 2).</t>
        </is>
      </c>
      <c r="R119" s="124" t="n"/>
      <c r="S119" s="126" t="n"/>
      <c r="T119" s="124" t="n"/>
      <c r="U119" s="127">
        <f>IF(OR(T119="",N(O119)=0),"",T119/O119)</f>
        <v/>
      </c>
      <c r="V119" s="124" t="n"/>
      <c r="W119" s="124" t="n"/>
      <c r="X119" s="124" t="n"/>
      <c r="Y119" s="126" t="n"/>
      <c r="Z119" s="124" t="n"/>
      <c r="AA119" s="126" t="n"/>
      <c r="AB119" s="124" t="n"/>
      <c r="AC119" s="128">
        <f>IF(COUNT(S119,Y119,AA119)=0,"",SUM(S119,Y119,AA119))</f>
        <v/>
      </c>
      <c r="AD119" s="127">
        <f>IF(N(AC119)=0,"",SUM(V119,W119,X119,Z119,AB119)/AC119)</f>
        <v/>
      </c>
      <c r="AE119" s="126" t="n"/>
      <c r="AF119" s="126" t="n"/>
      <c r="AG119" s="126" t="n"/>
      <c r="AH119" s="128">
        <f>IF(COUNT(AE119,AF119,AG119)=0,"",SUM(AE119,AF119,AG119))</f>
        <v/>
      </c>
      <c r="AI119" s="126" t="n"/>
      <c r="AJ119" s="126" t="n"/>
      <c r="AK119" s="126" t="n"/>
      <c r="AL119" s="128">
        <f>IF(COUNT(AI119,AJ119,AK119)=0,"",SUM(AI119,AJ119,AK119))</f>
        <v/>
      </c>
      <c r="AM119" s="123">
        <f>IF(N(AC119)=0,"",IF(COUNT($AC$6:$AC$105)&lt;5,"Too early",IF(AC119&gt;=1.5*MEDIAN($AC$6:$AC$105),"Top",IF(AC119&lt;=0.5*MEDIAN($AC$6:$AC$105),"Low","Average"))))</f>
        <v/>
      </c>
      <c r="AN119" s="124" t="inlineStr">
        <is>
          <t>2026-10-26 Shivam: stick format stopped for psychology Shorts (replaced by the tedmg/retro style cycle); never built</t>
        </is>
      </c>
      <c r="AO119" s="124" t="inlineStr">
        <is>
          <t>stick</t>
        </is>
      </c>
      <c r="AP119" s="129" t="n"/>
      <c r="AQ119" s="129" t="n"/>
      <c r="AR119" s="129" t="n"/>
      <c r="AS119" s="129" t="n"/>
      <c r="AT119" s="129" t="n"/>
      <c r="AU119" s="129" t="n"/>
      <c r="AV119" s="130" t="inlineStr">
        <is>
          <t>Protect yourself</t>
        </is>
      </c>
    </row>
    <row r="120">
      <c r="A120" s="123" t="n">
        <v>115</v>
      </c>
      <c r="B120" s="123" t="inlineStr">
        <is>
          <t>Pattern: Psychology of people who</t>
        </is>
      </c>
      <c r="C120" s="123" t="inlineStr">
        <is>
          <t>Psychology of people who doodle in meetings</t>
        </is>
      </c>
      <c r="D120" s="123" t="inlineStr">
        <is>
          <t>Psychology of people who DOODLE: they may remember more.</t>
        </is>
      </c>
      <c r="E120" s="123" t="inlineStr">
        <is>
          <t>Andrade 2009: doodlers recalled 29% more</t>
        </is>
      </c>
      <c r="F120" s="123" t="n"/>
      <c r="G120" s="123" t="n">
        <v>30</v>
      </c>
      <c r="H120" s="123" t="inlineStr">
        <is>
          <t>Scheduled</t>
        </is>
      </c>
      <c r="I120" s="124" t="n">
        <v>13</v>
      </c>
      <c r="J120" s="124" t="inlineStr">
        <is>
          <t>Strong</t>
        </is>
      </c>
      <c r="K120" s="124" t="inlineStr">
        <is>
          <t>doodlers</t>
        </is>
      </c>
      <c r="L120" s="125" t="n">
        <v>46323</v>
      </c>
      <c r="M120" s="123">
        <f>IF(L120="","",TEXT(L120,"ddd"))</f>
        <v/>
      </c>
      <c r="N120" s="124" t="n"/>
      <c r="O120" s="124" t="n">
        <v>36</v>
      </c>
      <c r="P120" s="124" t="inlineStr">
        <is>
          <t>Why Doodlers Remember More #shorts</t>
        </is>
      </c>
      <c r="Q120" s="124" t="inlineStr">
        <is>
          <t>Andrade, Applied Cognitive Psychology 24(1) 2010 (online 2009): 40 adults, doodlers recalled 29% more (7.5 vs 5.81) — simplypsychology.org/andrade-doodling.html</t>
        </is>
      </c>
      <c r="R120" s="124" t="inlineStr">
        <is>
          <t>buffer:youtube=6ae111322086adf9c11928cb;instagram=6ae111334e914b3cee29ca7f;tiktok=6ae11134b017df23970aefbd</t>
        </is>
      </c>
      <c r="S120" s="126" t="n"/>
      <c r="T120" s="124" t="n"/>
      <c r="U120" s="127">
        <f>IF(OR(T120="",N(O120)=0),"",T120/O120)</f>
        <v/>
      </c>
      <c r="V120" s="124" t="n"/>
      <c r="W120" s="124" t="n"/>
      <c r="X120" s="124" t="n"/>
      <c r="Y120" s="126" t="n"/>
      <c r="Z120" s="124" t="n"/>
      <c r="AA120" s="126" t="n"/>
      <c r="AB120" s="124" t="n"/>
      <c r="AC120" s="128">
        <f>IF(COUNT(S120,Y120,AA120)=0,"",SUM(S120,Y120,AA120))</f>
        <v/>
      </c>
      <c r="AD120" s="127">
        <f>IF(N(AC120)=0,"",SUM(V120,W120,X120,Z120,AB120)/AC120)</f>
        <v/>
      </c>
      <c r="AE120" s="126" t="n"/>
      <c r="AF120" s="126" t="n"/>
      <c r="AG120" s="126" t="n"/>
      <c r="AH120" s="128">
        <f>IF(COUNT(AE120,AF120,AG120)=0,"",SUM(AE120,AF120,AG120))</f>
        <v/>
      </c>
      <c r="AI120" s="126" t="n"/>
      <c r="AJ120" s="126" t="n"/>
      <c r="AK120" s="126" t="n"/>
      <c r="AL120" s="128">
        <f>IF(COUNT(AI120,AJ120,AK120)=0,"",SUM(AI120,AJ120,AK120))</f>
        <v/>
      </c>
      <c r="AM120" s="123">
        <f>IF(N(AC120)=0,"",IF(COUNT($AC$6:$AC$105)&lt;5,"Too early",IF(AC120&gt;=1.5*MEDIAN($AC$6:$AC$105),"Top",IF(AC120&lt;=0.5*MEDIAN($AC$6:$AC$105),"Low","Average"))))</f>
        <v/>
      </c>
      <c r="AN120" s="124" t="n"/>
      <c r="AO120" s="124" t="inlineStr">
        <is>
          <t>tedmg</t>
        </is>
      </c>
      <c r="AP120" s="129" t="n"/>
      <c r="AQ120" s="129" t="n"/>
      <c r="AR120" s="129" t="n"/>
      <c r="AS120" s="129" t="n"/>
      <c r="AT120" s="129" t="n"/>
      <c r="AU120" s="129" t="n"/>
      <c r="AV120" s="130" t="inlineStr">
        <is>
          <t>Psychology of people who</t>
        </is>
      </c>
    </row>
    <row r="121">
      <c r="A121" s="123" t="n">
        <v>116</v>
      </c>
      <c r="B121" s="123" t="inlineStr">
        <is>
          <t>Pattern: Numbered facts</t>
        </is>
      </c>
      <c r="C121" s="123" t="inlineStr">
        <is>
          <t>3 facts about first impressions</t>
        </is>
      </c>
      <c r="D121" s="123" t="inlineStr">
        <is>
          <t>People judge your face in a TENTH of a second.</t>
        </is>
      </c>
      <c r="E121" s="123" t="inlineStr">
        <is>
          <t>Willis &amp; Todorov 2006 (100 ms); Nisbett &amp; Wilson 1977 halo; Dion et al. 1972</t>
        </is>
      </c>
      <c r="F121" s="123" t="n"/>
      <c r="G121" s="123" t="n">
        <v>30</v>
      </c>
      <c r="H121" s="123" t="inlineStr">
        <is>
          <t>Scheduled</t>
        </is>
      </c>
      <c r="I121" s="124" t="n">
        <v>14</v>
      </c>
      <c r="J121" s="124" t="inlineStr">
        <is>
          <t>Strong</t>
        </is>
      </c>
      <c r="K121" s="124" t="inlineStr">
        <is>
          <t>first-impressions</t>
        </is>
      </c>
      <c r="L121" s="125" t="n">
        <v>46323</v>
      </c>
      <c r="M121" s="123">
        <f>IF(L121="","",TEXT(L121,"ddd"))</f>
        <v/>
      </c>
      <c r="N121" s="124" t="n"/>
      <c r="O121" s="124" t="n">
        <v>46</v>
      </c>
      <c r="P121" s="124" t="inlineStr">
        <is>
          <t>3 Facts About First Impressions #shorts</t>
        </is>
      </c>
      <c r="Q121" s="124" t="inlineStr">
        <is>
          <t>Willis &amp; Todorov 2006 Psych Sci (PubMed 16866745): 100-ms judgments correlate highly with untimed, longer exposure mainly raises confidence; Nisbett &amp; Wilson 1977 JPSP halo (warm vs cold lecturer, 118 Michigan students)</t>
        </is>
      </c>
      <c r="R121" s="124" t="inlineStr">
        <is>
          <t>buffer:youtube=6ae111364137b5e3590cba91;instagram=6ae11137b017df23970af197;tiktok=6ae111384137b5e3590cbb60</t>
        </is>
      </c>
      <c r="S121" s="126" t="n"/>
      <c r="T121" s="124" t="n"/>
      <c r="U121" s="127">
        <f>IF(OR(T121="",N(O121)=0),"",T121/O121)</f>
        <v/>
      </c>
      <c r="V121" s="124" t="n"/>
      <c r="W121" s="124" t="n"/>
      <c r="X121" s="124" t="n"/>
      <c r="Y121" s="126" t="n"/>
      <c r="Z121" s="124" t="n"/>
      <c r="AA121" s="126" t="n"/>
      <c r="AB121" s="124" t="n"/>
      <c r="AC121" s="128">
        <f>IF(COUNT(S121,Y121,AA121)=0,"",SUM(S121,Y121,AA121))</f>
        <v/>
      </c>
      <c r="AD121" s="127">
        <f>IF(N(AC121)=0,"",SUM(V121,W121,X121,Z121,AB121)/AC121)</f>
        <v/>
      </c>
      <c r="AE121" s="126" t="n"/>
      <c r="AF121" s="126" t="n"/>
      <c r="AG121" s="126" t="n"/>
      <c r="AH121" s="128">
        <f>IF(COUNT(AE121,AF121,AG121)=0,"",SUM(AE121,AF121,AG121))</f>
        <v/>
      </c>
      <c r="AI121" s="126" t="n"/>
      <c r="AJ121" s="126" t="n"/>
      <c r="AK121" s="126" t="n"/>
      <c r="AL121" s="128">
        <f>IF(COUNT(AI121,AJ121,AK121)=0,"",SUM(AI121,AJ121,AK121))</f>
        <v/>
      </c>
      <c r="AM121" s="123">
        <f>IF(N(AC121)=0,"",IF(COUNT($AC$6:$AC$105)&lt;5,"Too early",IF(AC121&gt;=1.5*MEDIAN($AC$6:$AC$105),"Top",IF(AC121&lt;=0.5*MEDIAN($AC$6:$AC$105),"Low","Average"))))</f>
        <v/>
      </c>
      <c r="AN121" s="124" t="n"/>
      <c r="AO121" s="124" t="inlineStr">
        <is>
          <t>tedmg</t>
        </is>
      </c>
      <c r="AP121" s="129" t="n"/>
      <c r="AQ121" s="129" t="n"/>
      <c r="AR121" s="129" t="n"/>
      <c r="AS121" s="129" t="n"/>
      <c r="AT121" s="129" t="n"/>
      <c r="AU121" s="129" t="n"/>
      <c r="AV121" s="130" t="inlineStr">
        <is>
          <t>Numbered facts</t>
        </is>
      </c>
    </row>
    <row r="122">
      <c r="A122" s="123" t="n">
        <v>117</v>
      </c>
      <c r="B122" s="123" t="inlineStr">
        <is>
          <t>Pattern: Therapist tip</t>
        </is>
      </c>
      <c r="C122" s="123" t="inlineStr">
        <is>
          <t>Ask yourself this question when you're stuck (Solomon's paradox)</t>
        </is>
      </c>
      <c r="D122" s="123" t="inlineStr">
        <is>
          <t>Ask yourself THIS when you're stuck: what would I tell a friend?</t>
        </is>
      </c>
      <c r="E122" s="123" t="inlineStr">
        <is>
          <t>Grossmann &amp; Kross 2014: wiser reasoning about others' problems; self-distancing</t>
        </is>
      </c>
      <c r="F122" s="123" t="n"/>
      <c r="G122" s="123" t="n">
        <v>30</v>
      </c>
      <c r="H122" s="123" t="inlineStr">
        <is>
          <t>Scheduled</t>
        </is>
      </c>
      <c r="I122" s="124" t="n">
        <v>15</v>
      </c>
      <c r="J122" s="124" t="inlineStr">
        <is>
          <t>Strong</t>
        </is>
      </c>
      <c r="K122" s="124" t="inlineStr">
        <is>
          <t>friend-question</t>
        </is>
      </c>
      <c r="L122" s="125" t="n">
        <v>46323</v>
      </c>
      <c r="M122" s="123">
        <f>IF(L122="","",TEXT(L122,"ddd"))</f>
        <v/>
      </c>
      <c r="N122" s="124" t="n"/>
      <c r="O122" s="124" t="n">
        <v>37</v>
      </c>
      <c r="P122" s="124" t="inlineStr">
        <is>
          <t>Ask This When You're Stuck #shorts</t>
        </is>
      </c>
      <c r="Q122" s="124" t="inlineStr">
        <is>
          <t>Grossmann &amp; Kross 2014 Psych Sci 'Exploring Solomon's paradox' (doi 10.1177/0956797614535400): wiser reasoning about a friend's problem; self-distancing eliminated the asymmetry</t>
        </is>
      </c>
      <c r="R122" s="124" t="inlineStr">
        <is>
          <t>buffer:youtube=6ae1113a4e914b3cee29cc80;instagram=6ae1113b4e914b3cee29cced;tiktok=6ae1113be2341add8c5b37a9</t>
        </is>
      </c>
      <c r="S122" s="126" t="n"/>
      <c r="T122" s="124" t="n"/>
      <c r="U122" s="127">
        <f>IF(OR(T122="",N(O122)=0),"",T122/O122)</f>
        <v/>
      </c>
      <c r="V122" s="124" t="n"/>
      <c r="W122" s="124" t="n"/>
      <c r="X122" s="124" t="n"/>
      <c r="Y122" s="126" t="n"/>
      <c r="Z122" s="124" t="n"/>
      <c r="AA122" s="126" t="n"/>
      <c r="AB122" s="124" t="n"/>
      <c r="AC122" s="128">
        <f>IF(COUNT(S122,Y122,AA122)=0,"",SUM(S122,Y122,AA122))</f>
        <v/>
      </c>
      <c r="AD122" s="127">
        <f>IF(N(AC122)=0,"",SUM(V122,W122,X122,Z122,AB122)/AC122)</f>
        <v/>
      </c>
      <c r="AE122" s="126" t="n"/>
      <c r="AF122" s="126" t="n"/>
      <c r="AG122" s="126" t="n"/>
      <c r="AH122" s="128">
        <f>IF(COUNT(AE122,AF122,AG122)=0,"",SUM(AE122,AF122,AG122))</f>
        <v/>
      </c>
      <c r="AI122" s="126" t="n"/>
      <c r="AJ122" s="126" t="n"/>
      <c r="AK122" s="126" t="n"/>
      <c r="AL122" s="128">
        <f>IF(COUNT(AI122,AJ122,AK122)=0,"",SUM(AI122,AJ122,AK122))</f>
        <v/>
      </c>
      <c r="AM122" s="123">
        <f>IF(N(AC122)=0,"",IF(COUNT($AC$6:$AC$105)&lt;5,"Too early",IF(AC122&gt;=1.5*MEDIAN($AC$6:$AC$105),"Top",IF(AC122&lt;=0.5*MEDIAN($AC$6:$AC$105),"Low","Average"))))</f>
        <v/>
      </c>
      <c r="AN122" s="124" t="n"/>
      <c r="AO122" s="124" t="inlineStr">
        <is>
          <t>ted2</t>
        </is>
      </c>
      <c r="AP122" s="129" t="n"/>
      <c r="AQ122" s="129" t="n"/>
      <c r="AR122" s="129" t="n"/>
      <c r="AS122" s="129" t="n"/>
      <c r="AT122" s="129" t="n"/>
      <c r="AU122" s="129" t="n"/>
      <c r="AV122" s="130" t="inlineStr">
        <is>
          <t>Therapist tip</t>
        </is>
      </c>
    </row>
    <row r="123">
      <c r="A123" s="123" t="n">
        <v>118</v>
      </c>
      <c r="B123" s="123" t="inlineStr">
        <is>
          <t>Pattern: Relationships &amp; likability</t>
        </is>
      </c>
      <c r="C123" s="123" t="inlineStr">
        <is>
          <t>The shaky-bridge study: why fear feels like attraction</t>
        </is>
      </c>
      <c r="D123" s="123" t="inlineStr">
        <is>
          <t>Men on a SHAKY bridge were far more likely to call a woman they just met.</t>
        </is>
      </c>
      <c r="E123" s="123" t="inlineStr">
        <is>
          <t>Dutton &amp; Aron 1974 misattribution of arousal</t>
        </is>
      </c>
      <c r="F123" s="123" t="n"/>
      <c r="G123" s="123" t="n">
        <v>30</v>
      </c>
      <c r="H123" s="123" t="inlineStr">
        <is>
          <t>Scheduled</t>
        </is>
      </c>
      <c r="I123" s="124" t="n">
        <v>16</v>
      </c>
      <c r="J123" s="124" t="inlineStr">
        <is>
          <t>Strong</t>
        </is>
      </c>
      <c r="K123" s="124" t="inlineStr">
        <is>
          <t>shaky-bridge</t>
        </is>
      </c>
      <c r="L123" s="125" t="n">
        <v>46324</v>
      </c>
      <c r="M123" s="123">
        <f>IF(L123="","",TEXT(L123,"ddd"))</f>
        <v/>
      </c>
      <c r="N123" s="124" t="n"/>
      <c r="O123" s="124" t="n">
        <v>33</v>
      </c>
      <c r="P123" s="124" t="inlineStr">
        <is>
          <t>Why Scary Dates Work #shorts</t>
        </is>
      </c>
      <c r="Q123" s="124" t="inlineStr">
        <is>
          <t>Dutton &amp; Aron 1974 JPSP (Capilano suspension bridge ~230 ft vs low solid bridge): ~50% vs 12.5% of men called the female interviewer — youarenotsosmart.com/2011/07/07/misattribution-of-arousal</t>
        </is>
      </c>
      <c r="R123" s="124" t="inlineStr">
        <is>
          <t>buffer:youtube=6ae267cfa840ef151b681394;instagram=6ae267d07570388bc1f23880;tiktok=6ae267d1443b48362cced035</t>
        </is>
      </c>
      <c r="S123" s="126" t="n"/>
      <c r="T123" s="124" t="n"/>
      <c r="U123" s="127">
        <f>IF(OR(T123="",N(O123)=0),"",T123/O123)</f>
        <v/>
      </c>
      <c r="V123" s="124" t="n"/>
      <c r="W123" s="124" t="n"/>
      <c r="X123" s="124" t="n"/>
      <c r="Y123" s="126" t="n"/>
      <c r="Z123" s="124" t="n"/>
      <c r="AA123" s="126" t="n"/>
      <c r="AB123" s="124" t="n"/>
      <c r="AC123" s="128">
        <f>IF(COUNT(S123,Y123,AA123)=0,"",SUM(S123,Y123,AA123))</f>
        <v/>
      </c>
      <c r="AD123" s="127">
        <f>IF(N(AC123)=0,"",SUM(V123,W123,X123,Z123,AB123)/AC123)</f>
        <v/>
      </c>
      <c r="AE123" s="126" t="n"/>
      <c r="AF123" s="126" t="n"/>
      <c r="AG123" s="126" t="n"/>
      <c r="AH123" s="128">
        <f>IF(COUNT(AE123,AF123,AG123)=0,"",SUM(AE123,AF123,AG123))</f>
        <v/>
      </c>
      <c r="AI123" s="126" t="n"/>
      <c r="AJ123" s="126" t="n"/>
      <c r="AK123" s="126" t="n"/>
      <c r="AL123" s="128">
        <f>IF(COUNT(AI123,AJ123,AK123)=0,"",SUM(AI123,AJ123,AK123))</f>
        <v/>
      </c>
      <c r="AM123" s="123">
        <f>IF(N(AC123)=0,"",IF(COUNT($AC$6:$AC$105)&lt;5,"Too early",IF(AC123&gt;=1.5*MEDIAN($AC$6:$AC$105),"Top",IF(AC123&lt;=0.5*MEDIAN($AC$6:$AC$105),"Low","Average"))))</f>
        <v/>
      </c>
      <c r="AN123" s="124" t="n"/>
      <c r="AO123" s="124" t="inlineStr">
        <is>
          <t>tedmg</t>
        </is>
      </c>
      <c r="AP123" s="129" t="n"/>
      <c r="AQ123" s="129" t="n"/>
      <c r="AR123" s="129" t="n"/>
      <c r="AS123" s="129" t="n"/>
      <c r="AT123" s="129" t="n"/>
      <c r="AU123" s="129" t="n"/>
      <c r="AV123" s="130" t="inlineStr">
        <is>
          <t>Relationships &amp; likability</t>
        </is>
      </c>
    </row>
    <row r="124">
      <c r="A124" s="123" t="n">
        <v>119</v>
      </c>
      <c r="B124" s="123" t="inlineStr">
        <is>
          <t>Pattern: Strange named effect</t>
        </is>
      </c>
      <c r="C124" s="123" t="inlineStr">
        <is>
          <t>Say a word 30 times and it stops meaning anything</t>
        </is>
      </c>
      <c r="D124" s="123" t="inlineStr">
        <is>
          <t>Say any word thirty times and it stops MEANING anything.</t>
        </is>
      </c>
      <c r="E124" s="123" t="inlineStr">
        <is>
          <t>Semantic satiation; Severance &amp; Washburn 1907; Lambert &amp; Jakobovits 1962</t>
        </is>
      </c>
      <c r="F124" s="123" t="n"/>
      <c r="G124" s="123" t="n">
        <v>30</v>
      </c>
      <c r="H124" s="123" t="inlineStr">
        <is>
          <t>Scheduled</t>
        </is>
      </c>
      <c r="I124" s="124" t="n">
        <v>17</v>
      </c>
      <c r="J124" s="124" t="inlineStr">
        <is>
          <t>Strong</t>
        </is>
      </c>
      <c r="K124" s="124" t="inlineStr">
        <is>
          <t>semantic-satiation</t>
        </is>
      </c>
      <c r="L124" s="125" t="n">
        <v>46324</v>
      </c>
      <c r="M124" s="123">
        <f>IF(L124="","",TEXT(L124,"ddd"))</f>
        <v/>
      </c>
      <c r="N124" s="124" t="n"/>
      <c r="O124" s="124" t="n">
        <v>44</v>
      </c>
      <c r="P124" s="124" t="inlineStr">
        <is>
          <t>Say a Word Until It Breaks #shorts</t>
        </is>
      </c>
      <c r="Q124" s="124" t="inlineStr">
        <is>
          <t>Severance &amp; Washburn 1907 (Am J Psych): 3-min fixation on a word → loss of meaning; term coined by Leon Jakobovits James, 1962 McGill dissertation (Wikipedia; Frontiers in Psychology 2019 10.3389/fpsyg.2019.02236). Hook's '30 times' dropped: no study gives a count</t>
        </is>
      </c>
      <c r="R124" s="124" t="inlineStr">
        <is>
          <t>buffer:youtube=6ae267d4a840ef151b681442;instagram=6ae267d58ecebd502e74afa6;tiktok=6ae267d58ecebd502e74afd3</t>
        </is>
      </c>
      <c r="S124" s="126" t="n"/>
      <c r="T124" s="124" t="n"/>
      <c r="U124" s="127">
        <f>IF(OR(T124="",N(O124)=0),"",T124/O124)</f>
        <v/>
      </c>
      <c r="V124" s="124" t="n"/>
      <c r="W124" s="124" t="n"/>
      <c r="X124" s="124" t="n"/>
      <c r="Y124" s="126" t="n"/>
      <c r="Z124" s="124" t="n"/>
      <c r="AA124" s="126" t="n"/>
      <c r="AB124" s="124" t="n"/>
      <c r="AC124" s="128">
        <f>IF(COUNT(S124,Y124,AA124)=0,"",SUM(S124,Y124,AA124))</f>
        <v/>
      </c>
      <c r="AD124" s="127">
        <f>IF(N(AC124)=0,"",SUM(V124,W124,X124,Z124,AB124)/AC124)</f>
        <v/>
      </c>
      <c r="AE124" s="126" t="n"/>
      <c r="AF124" s="126" t="n"/>
      <c r="AG124" s="126" t="n"/>
      <c r="AH124" s="128">
        <f>IF(COUNT(AE124,AF124,AG124)=0,"",SUM(AE124,AF124,AG124))</f>
        <v/>
      </c>
      <c r="AI124" s="126" t="n"/>
      <c r="AJ124" s="126" t="n"/>
      <c r="AK124" s="126" t="n"/>
      <c r="AL124" s="128">
        <f>IF(COUNT(AI124,AJ124,AK124)=0,"",SUM(AI124,AJ124,AK124))</f>
        <v/>
      </c>
      <c r="AM124" s="123">
        <f>IF(N(AC124)=0,"",IF(COUNT($AC$6:$AC$105)&lt;5,"Too early",IF(AC124&gt;=1.5*MEDIAN($AC$6:$AC$105),"Top",IF(AC124&lt;=0.5*MEDIAN($AC$6:$AC$105),"Low","Average"))))</f>
        <v/>
      </c>
      <c r="AN124" s="124" t="n"/>
      <c r="AO124" s="124" t="inlineStr">
        <is>
          <t>ted2</t>
        </is>
      </c>
      <c r="AP124" s="129" t="n"/>
      <c r="AQ124" s="129" t="n"/>
      <c r="AR124" s="129" t="n"/>
      <c r="AS124" s="129" t="n"/>
      <c r="AT124" s="129" t="n"/>
      <c r="AU124" s="129" t="n"/>
      <c r="AV124" s="130" t="inlineStr">
        <is>
          <t>Strange named effect</t>
        </is>
      </c>
    </row>
    <row r="125">
      <c r="A125" s="123" t="n">
        <v>120</v>
      </c>
      <c r="B125" s="123" t="inlineStr">
        <is>
          <t>Pattern: Quiz / test yourself</t>
        </is>
      </c>
      <c r="C125" s="123" t="inlineStr">
        <is>
          <t>Say the colour, not the word (Stroop test)</t>
        </is>
      </c>
      <c r="D125" s="123" t="inlineStr">
        <is>
          <t>Say the COLOUR, not the word. Most people trip in seconds.</t>
        </is>
      </c>
      <c r="E125" s="123" t="inlineStr">
        <is>
          <t>Stroop 1935; automatic reading</t>
        </is>
      </c>
      <c r="F125" s="123" t="n"/>
      <c r="G125" s="123" t="n">
        <v>30</v>
      </c>
      <c r="H125" s="123" t="inlineStr">
        <is>
          <t>Failed</t>
        </is>
      </c>
      <c r="I125" s="124" t="n">
        <v>18</v>
      </c>
      <c r="J125" s="124" t="inlineStr">
        <is>
          <t>Strong</t>
        </is>
      </c>
      <c r="K125" s="124" t="inlineStr">
        <is>
          <t>stroop-test</t>
        </is>
      </c>
      <c r="L125" s="125" t="n"/>
      <c r="M125" s="123">
        <f>IF(L125="","",TEXT(L125,"ddd"))</f>
        <v/>
      </c>
      <c r="N125" s="124" t="inlineStr">
        <is>
          <t>character story + viewer quiz: Otto says no test can trick him</t>
        </is>
      </c>
      <c r="O125" s="124" t="n"/>
      <c r="P125" s="124" t="n"/>
      <c r="Q125" s="124" t="inlineStr">
        <is>
          <t>Stroop 1935 J Exp Psych 'Studies of interference in serial verbal reactions': 100 undergraduates, naming ink of incongruent colour words took ~47 s (74.3%) longer than colour patches — simplypsychology.org/stroop-effect.html</t>
        </is>
      </c>
      <c r="R125" s="124" t="n"/>
      <c r="S125" s="126" t="n"/>
      <c r="T125" s="124" t="n"/>
      <c r="U125" s="127">
        <f>IF(OR(T125="",N(O125)=0),"",T125/O125)</f>
        <v/>
      </c>
      <c r="V125" s="124" t="n"/>
      <c r="W125" s="124" t="n"/>
      <c r="X125" s="124" t="n"/>
      <c r="Y125" s="126" t="n"/>
      <c r="Z125" s="124" t="n"/>
      <c r="AA125" s="126" t="n"/>
      <c r="AB125" s="124" t="n"/>
      <c r="AC125" s="128">
        <f>IF(COUNT(S125,Y125,AA125)=0,"",SUM(S125,Y125,AA125))</f>
        <v/>
      </c>
      <c r="AD125" s="127">
        <f>IF(N(AC125)=0,"",SUM(V125,W125,X125,Z125,AB125)/AC125)</f>
        <v/>
      </c>
      <c r="AE125" s="126" t="n"/>
      <c r="AF125" s="126" t="n"/>
      <c r="AG125" s="126" t="n"/>
      <c r="AH125" s="128">
        <f>IF(COUNT(AE125,AF125,AG125)=0,"",SUM(AE125,AF125,AG125))</f>
        <v/>
      </c>
      <c r="AI125" s="126" t="n"/>
      <c r="AJ125" s="126" t="n"/>
      <c r="AK125" s="126" t="n"/>
      <c r="AL125" s="128">
        <f>IF(COUNT(AI125,AJ125,AK125)=0,"",SUM(AI125,AJ125,AK125))</f>
        <v/>
      </c>
      <c r="AM125" s="123">
        <f>IF(N(AC125)=0,"",IF(COUNT($AC$6:$AC$105)&lt;5,"Too early",IF(AC125&gt;=1.5*MEDIAN($AC$6:$AC$105),"Top",IF(AC125&lt;=0.5*MEDIAN($AC$6:$AC$105),"Low","Average"))))</f>
        <v/>
      </c>
      <c r="AN125" s="124" t="inlineStr">
        <is>
          <t>CI 2026-10-28: build produced no video</t>
        </is>
      </c>
      <c r="AO125" s="124" t="inlineStr">
        <is>
          <t>retro</t>
        </is>
      </c>
      <c r="AP125" s="129" t="n"/>
      <c r="AQ125" s="129" t="n"/>
      <c r="AR125" s="129" t="n"/>
      <c r="AS125" s="129" t="n"/>
      <c r="AT125" s="129" t="n"/>
      <c r="AU125" s="129" t="n"/>
      <c r="AV125" s="130" t="inlineStr">
        <is>
          <t>Quiz / test yourself</t>
        </is>
      </c>
    </row>
    <row r="126">
      <c r="A126" s="123" t="n">
        <v>121</v>
      </c>
      <c r="B126" s="123" t="inlineStr">
        <is>
          <t>Pattern: Presence &amp; influence rules</t>
        </is>
      </c>
      <c r="C126" s="123" t="inlineStr">
        <is>
          <t>The one word that gets people to say yes ('because')</t>
        </is>
      </c>
      <c r="D126" s="123" t="inlineStr">
        <is>
          <t>ONE word got people to let a stranger cut the line.</t>
        </is>
      </c>
      <c r="E126" s="123" t="inlineStr">
        <is>
          <t>Langer, Blank &amp; Chanowitz 1978: 94% / 93% / 60%</t>
        </is>
      </c>
      <c r="F126" s="123" t="n"/>
      <c r="G126" s="123" t="n">
        <v>30</v>
      </c>
      <c r="H126" s="123" t="inlineStr">
        <is>
          <t>Idea</t>
        </is>
      </c>
      <c r="I126" s="124" t="n">
        <v>19</v>
      </c>
      <c r="J126" s="124" t="inlineStr">
        <is>
          <t>Strong</t>
        </is>
      </c>
      <c r="K126" s="124" t="inlineStr">
        <is>
          <t>because-copier</t>
        </is>
      </c>
      <c r="L126" s="125" t="n"/>
      <c r="M126" s="123">
        <f>IF(L126="","",TEXT(L126,"ddd"))</f>
        <v/>
      </c>
      <c r="N126" s="124" t="n"/>
      <c r="O126" s="124" t="n"/>
      <c r="P126" s="124" t="n"/>
      <c r="Q126" s="124" t="n"/>
      <c r="R126" s="124" t="n"/>
      <c r="S126" s="126" t="n"/>
      <c r="T126" s="124" t="n"/>
      <c r="U126" s="127">
        <f>IF(OR(T126="",N(O126)=0),"",T126/O126)</f>
        <v/>
      </c>
      <c r="V126" s="124" t="n"/>
      <c r="W126" s="124" t="n"/>
      <c r="X126" s="124" t="n"/>
      <c r="Y126" s="126" t="n"/>
      <c r="Z126" s="124" t="n"/>
      <c r="AA126" s="126" t="n"/>
      <c r="AB126" s="124" t="n"/>
      <c r="AC126" s="128">
        <f>IF(COUNT(S126,Y126,AA126)=0,"",SUM(S126,Y126,AA126))</f>
        <v/>
      </c>
      <c r="AD126" s="127">
        <f>IF(N(AC126)=0,"",SUM(V126,W126,X126,Z126,AB126)/AC126)</f>
        <v/>
      </c>
      <c r="AE126" s="126" t="n"/>
      <c r="AF126" s="126" t="n"/>
      <c r="AG126" s="126" t="n"/>
      <c r="AH126" s="128">
        <f>IF(COUNT(AE126,AF126,AG126)=0,"",SUM(AE126,AF126,AG126))</f>
        <v/>
      </c>
      <c r="AI126" s="126" t="n"/>
      <c r="AJ126" s="126" t="n"/>
      <c r="AK126" s="126" t="n"/>
      <c r="AL126" s="128">
        <f>IF(COUNT(AI126,AJ126,AK126)=0,"",SUM(AI126,AJ126,AK126))</f>
        <v/>
      </c>
      <c r="AM126" s="123">
        <f>IF(N(AC126)=0,"",IF(COUNT($AC$6:$AC$105)&lt;5,"Too early",IF(AC126&gt;=1.5*MEDIAN($AC$6:$AC$105),"Top",IF(AC126&lt;=0.5*MEDIAN($AC$6:$AC$105),"Low","Average"))))</f>
        <v/>
      </c>
      <c r="AN126" s="124" t="n"/>
      <c r="AO126" s="124" t="inlineStr">
        <is>
          <t>ted2</t>
        </is>
      </c>
      <c r="AP126" s="129" t="n"/>
      <c r="AQ126" s="129" t="n"/>
      <c r="AR126" s="129" t="n"/>
      <c r="AS126" s="129" t="n"/>
      <c r="AT126" s="129" t="n"/>
      <c r="AU126" s="129" t="n"/>
      <c r="AV126" s="130" t="inlineStr">
        <is>
          <t>Presence &amp; influence rules</t>
        </is>
      </c>
    </row>
    <row r="127">
      <c r="A127" s="123" t="n">
        <v>122</v>
      </c>
      <c r="B127" s="123" t="inlineStr">
        <is>
          <t>Pattern: Psychology says (15 s loop)</t>
        </is>
      </c>
      <c r="C127" s="123" t="inlineStr">
        <is>
          <t>Psychology says: you remember the ending, not the whole thing</t>
        </is>
      </c>
      <c r="D127" s="123" t="inlineStr">
        <is>
          <t>Psychology says: you'll remember how something ENDS, not how long it lasted.</t>
        </is>
      </c>
      <c r="E127" s="123" t="inlineStr">
        <is>
          <t>Kahneman et al. 1993 cold-hand study</t>
        </is>
      </c>
      <c r="F127" s="123" t="n"/>
      <c r="G127" s="123" t="n">
        <v>30</v>
      </c>
      <c r="H127" s="123" t="inlineStr">
        <is>
          <t>Idea</t>
        </is>
      </c>
      <c r="I127" s="124" t="n">
        <v>20</v>
      </c>
      <c r="J127" s="124" t="inlineStr">
        <is>
          <t>Strong</t>
        </is>
      </c>
      <c r="K127" s="124" t="inlineStr">
        <is>
          <t>peak-end-rule</t>
        </is>
      </c>
      <c r="L127" s="125" t="n"/>
      <c r="M127" s="123">
        <f>IF(L127="","",TEXT(L127,"ddd"))</f>
        <v/>
      </c>
      <c r="N127" s="124" t="n"/>
      <c r="O127" s="124" t="n"/>
      <c r="P127" s="124" t="n"/>
      <c r="Q127" s="124" t="n"/>
      <c r="R127" s="124" t="n"/>
      <c r="S127" s="126" t="n"/>
      <c r="T127" s="124" t="n"/>
      <c r="U127" s="127">
        <f>IF(OR(T127="",N(O127)=0),"",T127/O127)</f>
        <v/>
      </c>
      <c r="V127" s="124" t="n"/>
      <c r="W127" s="124" t="n"/>
      <c r="X127" s="124" t="n"/>
      <c r="Y127" s="126" t="n"/>
      <c r="Z127" s="124" t="n"/>
      <c r="AA127" s="126" t="n"/>
      <c r="AB127" s="124" t="n"/>
      <c r="AC127" s="128">
        <f>IF(COUNT(S127,Y127,AA127)=0,"",SUM(S127,Y127,AA127))</f>
        <v/>
      </c>
      <c r="AD127" s="127">
        <f>IF(N(AC127)=0,"",SUM(V127,W127,X127,Z127,AB127)/AC127)</f>
        <v/>
      </c>
      <c r="AE127" s="126" t="n"/>
      <c r="AF127" s="126" t="n"/>
      <c r="AG127" s="126" t="n"/>
      <c r="AH127" s="128">
        <f>IF(COUNT(AE127,AF127,AG127)=0,"",SUM(AE127,AF127,AG127))</f>
        <v/>
      </c>
      <c r="AI127" s="126" t="n"/>
      <c r="AJ127" s="126" t="n"/>
      <c r="AK127" s="126" t="n"/>
      <c r="AL127" s="128">
        <f>IF(COUNT(AI127,AJ127,AK127)=0,"",SUM(AI127,AJ127,AK127))</f>
        <v/>
      </c>
      <c r="AM127" s="123">
        <f>IF(N(AC127)=0,"",IF(COUNT($AC$6:$AC$105)&lt;5,"Too early",IF(AC127&gt;=1.5*MEDIAN($AC$6:$AC$105),"Top",IF(AC127&lt;=0.5*MEDIAN($AC$6:$AC$105),"Low","Average"))))</f>
        <v/>
      </c>
      <c r="AN127" s="124" t="n"/>
      <c r="AO127" s="124" t="inlineStr">
        <is>
          <t>ted2</t>
        </is>
      </c>
      <c r="AP127" s="129" t="n"/>
      <c r="AQ127" s="129" t="n"/>
      <c r="AR127" s="129" t="n"/>
      <c r="AS127" s="129" t="n"/>
      <c r="AT127" s="129" t="n"/>
      <c r="AU127" s="129" t="n"/>
      <c r="AV127" s="130" t="inlineStr">
        <is>
          <t>Psychology says (15 s loop)</t>
        </is>
      </c>
    </row>
    <row r="128">
      <c r="A128" s="123" t="n">
        <v>123</v>
      </c>
      <c r="B128" s="123" t="inlineStr">
        <is>
          <t>Pattern: Experiment story</t>
        </is>
      </c>
      <c r="C128" s="123" t="inlineStr">
        <is>
          <t>The experiment where people kept pressing the button (Milgram)</t>
        </is>
      </c>
      <c r="D128" s="123" t="inlineStr">
        <is>
          <t>Two out of three ordinary people kept going to the highest SHOCK.</t>
        </is>
      </c>
      <c r="E128" s="123" t="inlineStr">
        <is>
          <t>Milgram 1963: 65% to 450V; turn: variations &amp; critiques</t>
        </is>
      </c>
      <c r="F128" s="123" t="n"/>
      <c r="G128" s="123" t="n">
        <v>30</v>
      </c>
      <c r="H128" s="123" t="inlineStr">
        <is>
          <t>Idea</t>
        </is>
      </c>
      <c r="I128" s="124" t="n">
        <v>21</v>
      </c>
      <c r="J128" s="124" t="inlineStr">
        <is>
          <t>Strong</t>
        </is>
      </c>
      <c r="K128" s="124" t="inlineStr">
        <is>
          <t>milgram-obedience</t>
        </is>
      </c>
      <c r="L128" s="125" t="n"/>
      <c r="M128" s="123">
        <f>IF(L128="","",TEXT(L128,"ddd"))</f>
        <v/>
      </c>
      <c r="N128" s="124" t="n"/>
      <c r="O128" s="124" t="n"/>
      <c r="P128" s="124" t="n"/>
      <c r="Q128" s="124" t="n"/>
      <c r="R128" s="124" t="n"/>
      <c r="S128" s="126" t="n"/>
      <c r="T128" s="124" t="n"/>
      <c r="U128" s="127">
        <f>IF(OR(T128="",N(O128)=0),"",T128/O128)</f>
        <v/>
      </c>
      <c r="V128" s="124" t="n"/>
      <c r="W128" s="124" t="n"/>
      <c r="X128" s="124" t="n"/>
      <c r="Y128" s="126" t="n"/>
      <c r="Z128" s="124" t="n"/>
      <c r="AA128" s="126" t="n"/>
      <c r="AB128" s="124" t="n"/>
      <c r="AC128" s="128">
        <f>IF(COUNT(S128,Y128,AA128)=0,"",SUM(S128,Y128,AA128))</f>
        <v/>
      </c>
      <c r="AD128" s="127">
        <f>IF(N(AC128)=0,"",SUM(V128,W128,X128,Z128,AB128)/AC128)</f>
        <v/>
      </c>
      <c r="AE128" s="126" t="n"/>
      <c r="AF128" s="126" t="n"/>
      <c r="AG128" s="126" t="n"/>
      <c r="AH128" s="128">
        <f>IF(COUNT(AE128,AF128,AG128)=0,"",SUM(AE128,AF128,AG128))</f>
        <v/>
      </c>
      <c r="AI128" s="126" t="n"/>
      <c r="AJ128" s="126" t="n"/>
      <c r="AK128" s="126" t="n"/>
      <c r="AL128" s="128">
        <f>IF(COUNT(AI128,AJ128,AK128)=0,"",SUM(AI128,AJ128,AK128))</f>
        <v/>
      </c>
      <c r="AM128" s="123">
        <f>IF(N(AC128)=0,"",IF(COUNT($AC$6:$AC$105)&lt;5,"Too early",IF(AC128&gt;=1.5*MEDIAN($AC$6:$AC$105),"Top",IF(AC128&lt;=0.5*MEDIAN($AC$6:$AC$105),"Low","Average"))))</f>
        <v/>
      </c>
      <c r="AN128" s="124" t="n"/>
      <c r="AO128" s="124" t="inlineStr">
        <is>
          <t>ted2</t>
        </is>
      </c>
      <c r="AP128" s="129" t="n"/>
      <c r="AQ128" s="129" t="n"/>
      <c r="AR128" s="129" t="n"/>
      <c r="AS128" s="129" t="n"/>
      <c r="AT128" s="129" t="n"/>
      <c r="AU128" s="129" t="n"/>
      <c r="AV128" s="130" t="inlineStr">
        <is>
          <t>Experiment story</t>
        </is>
      </c>
    </row>
    <row r="129">
      <c r="A129" s="123" t="n">
        <v>124</v>
      </c>
      <c r="B129" s="123" t="inlineStr">
        <is>
          <t>Pattern: Protect yourself</t>
        </is>
      </c>
      <c r="C129" s="123" t="inlineStr">
        <is>
          <t>Why 'only 2 left' works on you (scarcity)</t>
        </is>
      </c>
      <c r="D129" s="123" t="inlineStr">
        <is>
          <t>Same cookies, but people rated them BETTER from a nearly empty jar.</t>
        </is>
      </c>
      <c r="E129" s="123" t="inlineStr">
        <is>
          <t>Worchel, Lee &amp; Adewole 1975</t>
        </is>
      </c>
      <c r="F129" s="123" t="n"/>
      <c r="G129" s="123" t="n">
        <v>30</v>
      </c>
      <c r="H129" s="123" t="inlineStr">
        <is>
          <t>Idea</t>
        </is>
      </c>
      <c r="I129" s="124" t="n">
        <v>22</v>
      </c>
      <c r="J129" s="124" t="inlineStr">
        <is>
          <t>Strong</t>
        </is>
      </c>
      <c r="K129" s="124" t="inlineStr">
        <is>
          <t>scarcity-cookies</t>
        </is>
      </c>
      <c r="L129" s="125" t="n"/>
      <c r="M129" s="123">
        <f>IF(L129="","",TEXT(L129,"ddd"))</f>
        <v/>
      </c>
      <c r="N129" s="124" t="n"/>
      <c r="O129" s="124" t="n"/>
      <c r="P129" s="124" t="n"/>
      <c r="Q129" s="124" t="n"/>
      <c r="R129" s="124" t="n"/>
      <c r="S129" s="126" t="n"/>
      <c r="T129" s="124" t="n"/>
      <c r="U129" s="127">
        <f>IF(OR(T129="",N(O129)=0),"",T129/O129)</f>
        <v/>
      </c>
      <c r="V129" s="124" t="n"/>
      <c r="W129" s="124" t="n"/>
      <c r="X129" s="124" t="n"/>
      <c r="Y129" s="126" t="n"/>
      <c r="Z129" s="124" t="n"/>
      <c r="AA129" s="126" t="n"/>
      <c r="AB129" s="124" t="n"/>
      <c r="AC129" s="128">
        <f>IF(COUNT(S129,Y129,AA129)=0,"",SUM(S129,Y129,AA129))</f>
        <v/>
      </c>
      <c r="AD129" s="127">
        <f>IF(N(AC129)=0,"",SUM(V129,W129,X129,Z129,AB129)/AC129)</f>
        <v/>
      </c>
      <c r="AE129" s="126" t="n"/>
      <c r="AF129" s="126" t="n"/>
      <c r="AG129" s="126" t="n"/>
      <c r="AH129" s="128">
        <f>IF(COUNT(AE129,AF129,AG129)=0,"",SUM(AE129,AF129,AG129))</f>
        <v/>
      </c>
      <c r="AI129" s="126" t="n"/>
      <c r="AJ129" s="126" t="n"/>
      <c r="AK129" s="126" t="n"/>
      <c r="AL129" s="128">
        <f>IF(COUNT(AI129,AJ129,AK129)=0,"",SUM(AI129,AJ129,AK129))</f>
        <v/>
      </c>
      <c r="AM129" s="123">
        <f>IF(N(AC129)=0,"",IF(COUNT($AC$6:$AC$105)&lt;5,"Too early",IF(AC129&gt;=1.5*MEDIAN($AC$6:$AC$105),"Top",IF(AC129&lt;=0.5*MEDIAN($AC$6:$AC$105),"Low","Average"))))</f>
        <v/>
      </c>
      <c r="AN129" s="124" t="n"/>
      <c r="AO129" s="124" t="inlineStr">
        <is>
          <t>ted2</t>
        </is>
      </c>
      <c r="AP129" s="129" t="n"/>
      <c r="AQ129" s="129" t="n"/>
      <c r="AR129" s="129" t="n"/>
      <c r="AS129" s="129" t="n"/>
      <c r="AT129" s="129" t="n"/>
      <c r="AU129" s="129" t="n"/>
      <c r="AV129" s="130" t="inlineStr">
        <is>
          <t>Protect yourself</t>
        </is>
      </c>
    </row>
    <row r="130">
      <c r="A130" s="123" t="n">
        <v>125</v>
      </c>
      <c r="B130" s="123" t="inlineStr">
        <is>
          <t>Pattern: Psychology of people who</t>
        </is>
      </c>
      <c r="C130" s="123" t="inlineStr">
        <is>
          <t>Psychology of people who talk to themselves in third person</t>
        </is>
      </c>
      <c r="D130" s="123" t="inlineStr">
        <is>
          <t>Psychology of people who talk to themselves by NAME.</t>
        </is>
      </c>
      <c r="E130" s="123" t="inlineStr">
        <is>
          <t>Kross et al. 2014 self-distancing reduces anxiety</t>
        </is>
      </c>
      <c r="F130" s="123" t="n"/>
      <c r="G130" s="123" t="n">
        <v>30</v>
      </c>
      <c r="H130" s="123" t="inlineStr">
        <is>
          <t>Idea</t>
        </is>
      </c>
      <c r="I130" s="124" t="n">
        <v>23</v>
      </c>
      <c r="J130" s="124" t="inlineStr">
        <is>
          <t>Strong</t>
        </is>
      </c>
      <c r="K130" s="124" t="inlineStr">
        <is>
          <t>talk-to-yourself</t>
        </is>
      </c>
      <c r="L130" s="125" t="n"/>
      <c r="M130" s="123">
        <f>IF(L130="","",TEXT(L130,"ddd"))</f>
        <v/>
      </c>
      <c r="N130" s="124" t="n"/>
      <c r="O130" s="124" t="n"/>
      <c r="P130" s="124" t="n"/>
      <c r="Q130" s="124" t="n"/>
      <c r="R130" s="124" t="n"/>
      <c r="S130" s="126" t="n"/>
      <c r="T130" s="124" t="n"/>
      <c r="U130" s="127">
        <f>IF(OR(T130="",N(O130)=0),"",T130/O130)</f>
        <v/>
      </c>
      <c r="V130" s="124" t="n"/>
      <c r="W130" s="124" t="n"/>
      <c r="X130" s="124" t="n"/>
      <c r="Y130" s="126" t="n"/>
      <c r="Z130" s="124" t="n"/>
      <c r="AA130" s="126" t="n"/>
      <c r="AB130" s="124" t="n"/>
      <c r="AC130" s="128">
        <f>IF(COUNT(S130,Y130,AA130)=0,"",SUM(S130,Y130,AA130))</f>
        <v/>
      </c>
      <c r="AD130" s="127">
        <f>IF(N(AC130)=0,"",SUM(V130,W130,X130,Z130,AB130)/AC130)</f>
        <v/>
      </c>
      <c r="AE130" s="126" t="n"/>
      <c r="AF130" s="126" t="n"/>
      <c r="AG130" s="126" t="n"/>
      <c r="AH130" s="128">
        <f>IF(COUNT(AE130,AF130,AG130)=0,"",SUM(AE130,AF130,AG130))</f>
        <v/>
      </c>
      <c r="AI130" s="126" t="n"/>
      <c r="AJ130" s="126" t="n"/>
      <c r="AK130" s="126" t="n"/>
      <c r="AL130" s="128">
        <f>IF(COUNT(AI130,AJ130,AK130)=0,"",SUM(AI130,AJ130,AK130))</f>
        <v/>
      </c>
      <c r="AM130" s="123">
        <f>IF(N(AC130)=0,"",IF(COUNT($AC$6:$AC$105)&lt;5,"Too early",IF(AC130&gt;=1.5*MEDIAN($AC$6:$AC$105),"Top",IF(AC130&lt;=0.5*MEDIAN($AC$6:$AC$105),"Low","Average"))))</f>
        <v/>
      </c>
      <c r="AN130" s="124" t="n"/>
      <c r="AO130" s="124" t="inlineStr">
        <is>
          <t>ted2</t>
        </is>
      </c>
      <c r="AP130" s="129" t="n"/>
      <c r="AQ130" s="129" t="n"/>
      <c r="AR130" s="129" t="n"/>
      <c r="AS130" s="129" t="n"/>
      <c r="AT130" s="129" t="n"/>
      <c r="AU130" s="129" t="n"/>
      <c r="AV130" s="130" t="inlineStr">
        <is>
          <t>Psychology of people who</t>
        </is>
      </c>
    </row>
    <row r="131">
      <c r="A131" s="123" t="n">
        <v>126</v>
      </c>
      <c r="B131" s="123" t="inlineStr">
        <is>
          <t>Pattern: Numbered facts</t>
        </is>
      </c>
      <c r="C131" s="123" t="inlineStr">
        <is>
          <t>3 facts about how you decide</t>
        </is>
      </c>
      <c r="D131" s="123" t="inlineStr">
        <is>
          <t>Three facts about your decisions. Number one could change who gets an ORGAN.</t>
        </is>
      </c>
      <c r="E131" s="123" t="inlineStr">
        <is>
          <t>Johnson &amp; Goldstein 2003 defaults; Iyengar &amp; Lepper 2000 jam (mixed replications); Shafir decoy</t>
        </is>
      </c>
      <c r="F131" s="123" t="n"/>
      <c r="G131" s="123" t="n">
        <v>30</v>
      </c>
      <c r="H131" s="123" t="inlineStr">
        <is>
          <t>Idea</t>
        </is>
      </c>
      <c r="I131" s="124" t="n">
        <v>24</v>
      </c>
      <c r="J131" s="124" t="inlineStr">
        <is>
          <t>Strong</t>
        </is>
      </c>
      <c r="K131" s="124" t="inlineStr">
        <is>
          <t>decision-facts</t>
        </is>
      </c>
      <c r="L131" s="125" t="n"/>
      <c r="M131" s="123">
        <f>IF(L131="","",TEXT(L131,"ddd"))</f>
        <v/>
      </c>
      <c r="N131" s="124" t="n"/>
      <c r="O131" s="124" t="n"/>
      <c r="P131" s="124" t="n"/>
      <c r="Q131" s="124" t="n"/>
      <c r="R131" s="124" t="n"/>
      <c r="S131" s="126" t="n"/>
      <c r="T131" s="124" t="n"/>
      <c r="U131" s="127">
        <f>IF(OR(T131="",N(O131)=0),"",T131/O131)</f>
        <v/>
      </c>
      <c r="V131" s="124" t="n"/>
      <c r="W131" s="124" t="n"/>
      <c r="X131" s="124" t="n"/>
      <c r="Y131" s="126" t="n"/>
      <c r="Z131" s="124" t="n"/>
      <c r="AA131" s="126" t="n"/>
      <c r="AB131" s="124" t="n"/>
      <c r="AC131" s="128">
        <f>IF(COUNT(S131,Y131,AA131)=0,"",SUM(S131,Y131,AA131))</f>
        <v/>
      </c>
      <c r="AD131" s="127">
        <f>IF(N(AC131)=0,"",SUM(V131,W131,X131,Z131,AB131)/AC131)</f>
        <v/>
      </c>
      <c r="AE131" s="126" t="n"/>
      <c r="AF131" s="126" t="n"/>
      <c r="AG131" s="126" t="n"/>
      <c r="AH131" s="128">
        <f>IF(COUNT(AE131,AF131,AG131)=0,"",SUM(AE131,AF131,AG131))</f>
        <v/>
      </c>
      <c r="AI131" s="126" t="n"/>
      <c r="AJ131" s="126" t="n"/>
      <c r="AK131" s="126" t="n"/>
      <c r="AL131" s="128">
        <f>IF(COUNT(AI131,AJ131,AK131)=0,"",SUM(AI131,AJ131,AK131))</f>
        <v/>
      </c>
      <c r="AM131" s="123">
        <f>IF(N(AC131)=0,"",IF(COUNT($AC$6:$AC$105)&lt;5,"Too early",IF(AC131&gt;=1.5*MEDIAN($AC$6:$AC$105),"Top",IF(AC131&lt;=0.5*MEDIAN($AC$6:$AC$105),"Low","Average"))))</f>
        <v/>
      </c>
      <c r="AN131" s="124" t="n"/>
      <c r="AO131" s="124" t="inlineStr">
        <is>
          <t>ted2</t>
        </is>
      </c>
      <c r="AP131" s="129" t="n"/>
      <c r="AQ131" s="129" t="n"/>
      <c r="AR131" s="129" t="n"/>
      <c r="AS131" s="129" t="n"/>
      <c r="AT131" s="129" t="n"/>
      <c r="AU131" s="129" t="n"/>
      <c r="AV131" s="130" t="inlineStr">
        <is>
          <t>Numbered facts</t>
        </is>
      </c>
    </row>
    <row r="132">
      <c r="A132" s="123" t="n">
        <v>127</v>
      </c>
      <c r="B132" s="123" t="inlineStr">
        <is>
          <t>Pattern: Therapist tip</t>
        </is>
      </c>
      <c r="C132" s="123" t="inlineStr">
        <is>
          <t>The gratitude visit: one letter, a month of happiness</t>
        </is>
      </c>
      <c r="D132" s="123" t="inlineStr">
        <is>
          <t>One letter made people happier for a MONTH.</t>
        </is>
      </c>
      <c r="E132" s="123" t="inlineStr">
        <is>
          <t>Seligman et al. 2005 gratitude visit</t>
        </is>
      </c>
      <c r="F132" s="123" t="n"/>
      <c r="G132" s="123" t="n">
        <v>30</v>
      </c>
      <c r="H132" s="123" t="inlineStr">
        <is>
          <t>Idea</t>
        </is>
      </c>
      <c r="I132" s="124" t="n">
        <v>25</v>
      </c>
      <c r="J132" s="124" t="inlineStr">
        <is>
          <t>Strong</t>
        </is>
      </c>
      <c r="K132" s="124" t="inlineStr">
        <is>
          <t>gratitude-visit</t>
        </is>
      </c>
      <c r="L132" s="125" t="n"/>
      <c r="M132" s="123">
        <f>IF(L132="","",TEXT(L132,"ddd"))</f>
        <v/>
      </c>
      <c r="N132" s="124" t="n"/>
      <c r="O132" s="124" t="n"/>
      <c r="P132" s="124" t="n"/>
      <c r="Q132" s="124" t="n"/>
      <c r="R132" s="124" t="n"/>
      <c r="S132" s="126" t="n"/>
      <c r="T132" s="124" t="n"/>
      <c r="U132" s="127">
        <f>IF(OR(T132="",N(O132)=0),"",T132/O132)</f>
        <v/>
      </c>
      <c r="V132" s="124" t="n"/>
      <c r="W132" s="124" t="n"/>
      <c r="X132" s="124" t="n"/>
      <c r="Y132" s="126" t="n"/>
      <c r="Z132" s="124" t="n"/>
      <c r="AA132" s="126" t="n"/>
      <c r="AB132" s="124" t="n"/>
      <c r="AC132" s="128">
        <f>IF(COUNT(S132,Y132,AA132)=0,"",SUM(S132,Y132,AA132))</f>
        <v/>
      </c>
      <c r="AD132" s="127">
        <f>IF(N(AC132)=0,"",SUM(V132,W132,X132,Z132,AB132)/AC132)</f>
        <v/>
      </c>
      <c r="AE132" s="126" t="n"/>
      <c r="AF132" s="126" t="n"/>
      <c r="AG132" s="126" t="n"/>
      <c r="AH132" s="128">
        <f>IF(COUNT(AE132,AF132,AG132)=0,"",SUM(AE132,AF132,AG132))</f>
        <v/>
      </c>
      <c r="AI132" s="126" t="n"/>
      <c r="AJ132" s="126" t="n"/>
      <c r="AK132" s="126" t="n"/>
      <c r="AL132" s="128">
        <f>IF(COUNT(AI132,AJ132,AK132)=0,"",SUM(AI132,AJ132,AK132))</f>
        <v/>
      </c>
      <c r="AM132" s="123">
        <f>IF(N(AC132)=0,"",IF(COUNT($AC$6:$AC$105)&lt;5,"Too early",IF(AC132&gt;=1.5*MEDIAN($AC$6:$AC$105),"Top",IF(AC132&lt;=0.5*MEDIAN($AC$6:$AC$105),"Low","Average"))))</f>
        <v/>
      </c>
      <c r="AN132" s="124" t="n"/>
      <c r="AO132" s="124" t="inlineStr">
        <is>
          <t>ted2</t>
        </is>
      </c>
      <c r="AP132" s="129" t="n"/>
      <c r="AQ132" s="129" t="n"/>
      <c r="AR132" s="129" t="n"/>
      <c r="AS132" s="129" t="n"/>
      <c r="AT132" s="129" t="n"/>
      <c r="AU132" s="129" t="n"/>
      <c r="AV132" s="130" t="inlineStr">
        <is>
          <t>Therapist tip</t>
        </is>
      </c>
    </row>
    <row r="133">
      <c r="A133" s="123" t="n">
        <v>128</v>
      </c>
      <c r="B133" s="123" t="inlineStr">
        <is>
          <t>Pattern: Relationships &amp; likability</t>
        </is>
      </c>
      <c r="C133" s="123" t="inlineStr">
        <is>
          <t>The 36 questions that made strangers close</t>
        </is>
      </c>
      <c r="D133" s="123" t="inlineStr">
        <is>
          <t>Thirty-six questions made strangers feel CLOSE in under an hour.</t>
        </is>
      </c>
      <c r="E133" s="123" t="inlineStr">
        <is>
          <t>Aron et al. 1997</t>
        </is>
      </c>
      <c r="F133" s="123" t="n"/>
      <c r="G133" s="123" t="n">
        <v>30</v>
      </c>
      <c r="H133" s="123" t="inlineStr">
        <is>
          <t>Idea</t>
        </is>
      </c>
      <c r="I133" s="124" t="n">
        <v>26</v>
      </c>
      <c r="J133" s="124" t="inlineStr">
        <is>
          <t>Strong</t>
        </is>
      </c>
      <c r="K133" s="124" t="inlineStr">
        <is>
          <t>thirty-six-questions</t>
        </is>
      </c>
      <c r="L133" s="125" t="n"/>
      <c r="M133" s="123">
        <f>IF(L133="","",TEXT(L133,"ddd"))</f>
        <v/>
      </c>
      <c r="N133" s="124" t="n"/>
      <c r="O133" s="124" t="n"/>
      <c r="P133" s="124" t="n"/>
      <c r="Q133" s="124" t="n"/>
      <c r="R133" s="124" t="n"/>
      <c r="S133" s="126" t="n"/>
      <c r="T133" s="124" t="n"/>
      <c r="U133" s="127">
        <f>IF(OR(T133="",N(O133)=0),"",T133/O133)</f>
        <v/>
      </c>
      <c r="V133" s="124" t="n"/>
      <c r="W133" s="124" t="n"/>
      <c r="X133" s="124" t="n"/>
      <c r="Y133" s="126" t="n"/>
      <c r="Z133" s="124" t="n"/>
      <c r="AA133" s="126" t="n"/>
      <c r="AB133" s="124" t="n"/>
      <c r="AC133" s="128">
        <f>IF(COUNT(S133,Y133,AA133)=0,"",SUM(S133,Y133,AA133))</f>
        <v/>
      </c>
      <c r="AD133" s="127">
        <f>IF(N(AC133)=0,"",SUM(V133,W133,X133,Z133,AB133)/AC133)</f>
        <v/>
      </c>
      <c r="AE133" s="126" t="n"/>
      <c r="AF133" s="126" t="n"/>
      <c r="AG133" s="126" t="n"/>
      <c r="AH133" s="128">
        <f>IF(COUNT(AE133,AF133,AG133)=0,"",SUM(AE133,AF133,AG133))</f>
        <v/>
      </c>
      <c r="AI133" s="126" t="n"/>
      <c r="AJ133" s="126" t="n"/>
      <c r="AK133" s="126" t="n"/>
      <c r="AL133" s="128">
        <f>IF(COUNT(AI133,AJ133,AK133)=0,"",SUM(AI133,AJ133,AK133))</f>
        <v/>
      </c>
      <c r="AM133" s="123">
        <f>IF(N(AC133)=0,"",IF(COUNT($AC$6:$AC$105)&lt;5,"Too early",IF(AC133&gt;=1.5*MEDIAN($AC$6:$AC$105),"Top",IF(AC133&lt;=0.5*MEDIAN($AC$6:$AC$105),"Low","Average"))))</f>
        <v/>
      </c>
      <c r="AN133" s="124" t="n"/>
      <c r="AO133" s="124" t="inlineStr">
        <is>
          <t>ted2</t>
        </is>
      </c>
      <c r="AP133" s="129" t="n"/>
      <c r="AQ133" s="129" t="n"/>
      <c r="AR133" s="129" t="n"/>
      <c r="AS133" s="129" t="n"/>
      <c r="AT133" s="129" t="n"/>
      <c r="AU133" s="129" t="n"/>
      <c r="AV133" s="130" t="inlineStr">
        <is>
          <t>Relationships &amp; likability</t>
        </is>
      </c>
    </row>
    <row r="134">
      <c r="A134" s="123" t="n">
        <v>129</v>
      </c>
      <c r="B134" s="123" t="inlineStr">
        <is>
          <t>Pattern: Strange named effect</t>
        </is>
      </c>
      <c r="C134" s="123" t="inlineStr">
        <is>
          <t>Lima syndrome: when captors bond with hostages</t>
        </is>
      </c>
      <c r="D134" s="123" t="inlineStr">
        <is>
          <t>You've heard of Stockholm syndrome. This is the REVERSE.</t>
        </is>
      </c>
      <c r="E134" s="123" t="inlineStr">
        <is>
          <t>1996 Lima Japanese embassy hostage crisis; captors released hostages</t>
        </is>
      </c>
      <c r="F134" s="123" t="n"/>
      <c r="G134" s="123" t="n">
        <v>30</v>
      </c>
      <c r="H134" s="123" t="inlineStr">
        <is>
          <t>Idea</t>
        </is>
      </c>
      <c r="I134" s="124" t="n">
        <v>27</v>
      </c>
      <c r="J134" s="124" t="inlineStr">
        <is>
          <t>Strong</t>
        </is>
      </c>
      <c r="K134" s="124" t="inlineStr">
        <is>
          <t>lima-syndrome</t>
        </is>
      </c>
      <c r="L134" s="125" t="n"/>
      <c r="M134" s="123">
        <f>IF(L134="","",TEXT(L134,"ddd"))</f>
        <v/>
      </c>
      <c r="N134" s="124" t="n"/>
      <c r="O134" s="124" t="n"/>
      <c r="P134" s="124" t="n"/>
      <c r="Q134" s="124" t="n"/>
      <c r="R134" s="124" t="n"/>
      <c r="S134" s="126" t="n"/>
      <c r="T134" s="124" t="n"/>
      <c r="U134" s="127">
        <f>IF(OR(T134="",N(O134)=0),"",T134/O134)</f>
        <v/>
      </c>
      <c r="V134" s="124" t="n"/>
      <c r="W134" s="124" t="n"/>
      <c r="X134" s="124" t="n"/>
      <c r="Y134" s="126" t="n"/>
      <c r="Z134" s="124" t="n"/>
      <c r="AA134" s="126" t="n"/>
      <c r="AB134" s="124" t="n"/>
      <c r="AC134" s="128">
        <f>IF(COUNT(S134,Y134,AA134)=0,"",SUM(S134,Y134,AA134))</f>
        <v/>
      </c>
      <c r="AD134" s="127">
        <f>IF(N(AC134)=0,"",SUM(V134,W134,X134,Z134,AB134)/AC134)</f>
        <v/>
      </c>
      <c r="AE134" s="126" t="n"/>
      <c r="AF134" s="126" t="n"/>
      <c r="AG134" s="126" t="n"/>
      <c r="AH134" s="128">
        <f>IF(COUNT(AE134,AF134,AG134)=0,"",SUM(AE134,AF134,AG134))</f>
        <v/>
      </c>
      <c r="AI134" s="126" t="n"/>
      <c r="AJ134" s="126" t="n"/>
      <c r="AK134" s="126" t="n"/>
      <c r="AL134" s="128">
        <f>IF(COUNT(AI134,AJ134,AK134)=0,"",SUM(AI134,AJ134,AK134))</f>
        <v/>
      </c>
      <c r="AM134" s="123">
        <f>IF(N(AC134)=0,"",IF(COUNT($AC$6:$AC$105)&lt;5,"Too early",IF(AC134&gt;=1.5*MEDIAN($AC$6:$AC$105),"Top",IF(AC134&lt;=0.5*MEDIAN($AC$6:$AC$105),"Low","Average"))))</f>
        <v/>
      </c>
      <c r="AN134" s="124" t="n"/>
      <c r="AO134" s="124" t="inlineStr">
        <is>
          <t>ted2</t>
        </is>
      </c>
      <c r="AP134" s="129" t="n"/>
      <c r="AQ134" s="129" t="n"/>
      <c r="AR134" s="129" t="n"/>
      <c r="AS134" s="129" t="n"/>
      <c r="AT134" s="129" t="n"/>
      <c r="AU134" s="129" t="n"/>
      <c r="AV134" s="130" t="inlineStr">
        <is>
          <t>Strange named effect</t>
        </is>
      </c>
    </row>
    <row r="135">
      <c r="A135" s="123" t="n">
        <v>130</v>
      </c>
      <c r="B135" s="123" t="inlineStr">
        <is>
          <t>Pattern: Quiz / test yourself</t>
        </is>
      </c>
      <c r="C135" s="123" t="inlineStr">
        <is>
          <t>Are you a maximizer or a satisficer? Take the test</t>
        </is>
      </c>
      <c r="D135" s="123" t="inlineStr">
        <is>
          <t>Do you always look for the BEST option? That might be making you less happy.</t>
        </is>
      </c>
      <c r="E135" s="123" t="inlineStr">
        <is>
          <t>Schwartz et al. 2002 maximizers less satisfied</t>
        </is>
      </c>
      <c r="F135" s="123" t="n"/>
      <c r="G135" s="123" t="n">
        <v>30</v>
      </c>
      <c r="H135" s="123" t="inlineStr">
        <is>
          <t>Idea</t>
        </is>
      </c>
      <c r="I135" s="124" t="n">
        <v>28</v>
      </c>
      <c r="J135" s="124" t="inlineStr">
        <is>
          <t>Strong</t>
        </is>
      </c>
      <c r="K135" s="124" t="inlineStr">
        <is>
          <t>maximizer-test</t>
        </is>
      </c>
      <c r="L135" s="125" t="n"/>
      <c r="M135" s="123">
        <f>IF(L135="","",TEXT(L135,"ddd"))</f>
        <v/>
      </c>
      <c r="N135" s="124" t="n"/>
      <c r="O135" s="124" t="n"/>
      <c r="P135" s="124" t="n"/>
      <c r="Q135" s="124" t="n"/>
      <c r="R135" s="124" t="n"/>
      <c r="S135" s="126" t="n"/>
      <c r="T135" s="124" t="n"/>
      <c r="U135" s="127">
        <f>IF(OR(T135="",N(O135)=0),"",T135/O135)</f>
        <v/>
      </c>
      <c r="V135" s="124" t="n"/>
      <c r="W135" s="124" t="n"/>
      <c r="X135" s="124" t="n"/>
      <c r="Y135" s="126" t="n"/>
      <c r="Z135" s="124" t="n"/>
      <c r="AA135" s="126" t="n"/>
      <c r="AB135" s="124" t="n"/>
      <c r="AC135" s="128">
        <f>IF(COUNT(S135,Y135,AA135)=0,"",SUM(S135,Y135,AA135))</f>
        <v/>
      </c>
      <c r="AD135" s="127">
        <f>IF(N(AC135)=0,"",SUM(V135,W135,X135,Z135,AB135)/AC135)</f>
        <v/>
      </c>
      <c r="AE135" s="126" t="n"/>
      <c r="AF135" s="126" t="n"/>
      <c r="AG135" s="126" t="n"/>
      <c r="AH135" s="128">
        <f>IF(COUNT(AE135,AF135,AG135)=0,"",SUM(AE135,AF135,AG135))</f>
        <v/>
      </c>
      <c r="AI135" s="126" t="n"/>
      <c r="AJ135" s="126" t="n"/>
      <c r="AK135" s="126" t="n"/>
      <c r="AL135" s="128">
        <f>IF(COUNT(AI135,AJ135,AK135)=0,"",SUM(AI135,AJ135,AK135))</f>
        <v/>
      </c>
      <c r="AM135" s="123">
        <f>IF(N(AC135)=0,"",IF(COUNT($AC$6:$AC$105)&lt;5,"Too early",IF(AC135&gt;=1.5*MEDIAN($AC$6:$AC$105),"Top",IF(AC135&lt;=0.5*MEDIAN($AC$6:$AC$105),"Low","Average"))))</f>
        <v/>
      </c>
      <c r="AN135" s="124" t="n"/>
      <c r="AO135" s="124" t="inlineStr">
        <is>
          <t>ted2</t>
        </is>
      </c>
      <c r="AP135" s="129" t="n"/>
      <c r="AQ135" s="129" t="n"/>
      <c r="AR135" s="129" t="n"/>
      <c r="AS135" s="129" t="n"/>
      <c r="AT135" s="129" t="n"/>
      <c r="AU135" s="129" t="n"/>
      <c r="AV135" s="130" t="inlineStr">
        <is>
          <t>Quiz / test yourself</t>
        </is>
      </c>
    </row>
    <row r="136">
      <c r="A136" s="123" t="n">
        <v>131</v>
      </c>
      <c r="B136" s="123" t="inlineStr">
        <is>
          <t>Pattern: Presence &amp; influence rules</t>
        </is>
      </c>
      <c r="C136" s="123" t="inlineStr">
        <is>
          <t>Why lower voices sound like leaders</t>
        </is>
      </c>
      <c r="D136" s="123" t="inlineStr">
        <is>
          <t>People pick leaders by VOICE more than you think.</t>
        </is>
      </c>
      <c r="E136" s="123" t="inlineStr">
        <is>
          <t>Klofstad, Anderson &amp; Peters 2012</t>
        </is>
      </c>
      <c r="F136" s="123" t="n"/>
      <c r="G136" s="123" t="n">
        <v>30</v>
      </c>
      <c r="H136" s="123" t="inlineStr">
        <is>
          <t>Idea</t>
        </is>
      </c>
      <c r="I136" s="124" t="n">
        <v>29</v>
      </c>
      <c r="J136" s="124" t="inlineStr">
        <is>
          <t>Strong</t>
        </is>
      </c>
      <c r="K136" s="124" t="inlineStr">
        <is>
          <t>lower-voice</t>
        </is>
      </c>
      <c r="L136" s="125" t="n"/>
      <c r="M136" s="123">
        <f>IF(L136="","",TEXT(L136,"ddd"))</f>
        <v/>
      </c>
      <c r="N136" s="124" t="n"/>
      <c r="O136" s="124" t="n"/>
      <c r="P136" s="124" t="n"/>
      <c r="Q136" s="124" t="n"/>
      <c r="R136" s="124" t="n"/>
      <c r="S136" s="126" t="n"/>
      <c r="T136" s="124" t="n"/>
      <c r="U136" s="127">
        <f>IF(OR(T136="",N(O136)=0),"",T136/O136)</f>
        <v/>
      </c>
      <c r="V136" s="124" t="n"/>
      <c r="W136" s="124" t="n"/>
      <c r="X136" s="124" t="n"/>
      <c r="Y136" s="126" t="n"/>
      <c r="Z136" s="124" t="n"/>
      <c r="AA136" s="126" t="n"/>
      <c r="AB136" s="124" t="n"/>
      <c r="AC136" s="128">
        <f>IF(COUNT(S136,Y136,AA136)=0,"",SUM(S136,Y136,AA136))</f>
        <v/>
      </c>
      <c r="AD136" s="127">
        <f>IF(N(AC136)=0,"",SUM(V136,W136,X136,Z136,AB136)/AC136)</f>
        <v/>
      </c>
      <c r="AE136" s="126" t="n"/>
      <c r="AF136" s="126" t="n"/>
      <c r="AG136" s="126" t="n"/>
      <c r="AH136" s="128">
        <f>IF(COUNT(AE136,AF136,AG136)=0,"",SUM(AE136,AF136,AG136))</f>
        <v/>
      </c>
      <c r="AI136" s="126" t="n"/>
      <c r="AJ136" s="126" t="n"/>
      <c r="AK136" s="126" t="n"/>
      <c r="AL136" s="128">
        <f>IF(COUNT(AI136,AJ136,AK136)=0,"",SUM(AI136,AJ136,AK136))</f>
        <v/>
      </c>
      <c r="AM136" s="123">
        <f>IF(N(AC136)=0,"",IF(COUNT($AC$6:$AC$105)&lt;5,"Too early",IF(AC136&gt;=1.5*MEDIAN($AC$6:$AC$105),"Top",IF(AC136&lt;=0.5*MEDIAN($AC$6:$AC$105),"Low","Average"))))</f>
        <v/>
      </c>
      <c r="AN136" s="124" t="n"/>
      <c r="AO136" s="124" t="inlineStr">
        <is>
          <t>ted2</t>
        </is>
      </c>
      <c r="AP136" s="129" t="n"/>
      <c r="AQ136" s="129" t="n"/>
      <c r="AR136" s="129" t="n"/>
      <c r="AS136" s="129" t="n"/>
      <c r="AT136" s="129" t="n"/>
      <c r="AU136" s="129" t="n"/>
      <c r="AV136" s="130" t="inlineStr">
        <is>
          <t>Presence &amp; influence rules</t>
        </is>
      </c>
    </row>
    <row r="137">
      <c r="A137" s="123" t="n">
        <v>132</v>
      </c>
      <c r="B137" s="123" t="inlineStr">
        <is>
          <t>Pattern: Psychology says (15 s loop)</t>
        </is>
      </c>
      <c r="C137" s="123" t="inlineStr">
        <is>
          <t>Psychology says: you overvalue what you build (IKEA effect)</t>
        </is>
      </c>
      <c r="D137" s="123" t="inlineStr">
        <is>
          <t>Psychology says: you'll pay MORE for something you built yourself.</t>
        </is>
      </c>
      <c r="E137" s="123" t="inlineStr">
        <is>
          <t>Norton, Mochon &amp; Ariely 2012</t>
        </is>
      </c>
      <c r="F137" s="123" t="n"/>
      <c r="G137" s="123" t="n">
        <v>30</v>
      </c>
      <c r="H137" s="123" t="inlineStr">
        <is>
          <t>Idea</t>
        </is>
      </c>
      <c r="I137" s="124" t="n">
        <v>30</v>
      </c>
      <c r="J137" s="124" t="inlineStr">
        <is>
          <t>Strong</t>
        </is>
      </c>
      <c r="K137" s="124" t="inlineStr">
        <is>
          <t>ikea-effect</t>
        </is>
      </c>
      <c r="L137" s="125" t="n"/>
      <c r="M137" s="123">
        <f>IF(L137="","",TEXT(L137,"ddd"))</f>
        <v/>
      </c>
      <c r="N137" s="124" t="n"/>
      <c r="O137" s="124" t="n"/>
      <c r="P137" s="124" t="n"/>
      <c r="Q137" s="124" t="n"/>
      <c r="R137" s="124" t="n"/>
      <c r="S137" s="126" t="n"/>
      <c r="T137" s="124" t="n"/>
      <c r="U137" s="127">
        <f>IF(OR(T137="",N(O137)=0),"",T137/O137)</f>
        <v/>
      </c>
      <c r="V137" s="124" t="n"/>
      <c r="W137" s="124" t="n"/>
      <c r="X137" s="124" t="n"/>
      <c r="Y137" s="126" t="n"/>
      <c r="Z137" s="124" t="n"/>
      <c r="AA137" s="126" t="n"/>
      <c r="AB137" s="124" t="n"/>
      <c r="AC137" s="128">
        <f>IF(COUNT(S137,Y137,AA137)=0,"",SUM(S137,Y137,AA137))</f>
        <v/>
      </c>
      <c r="AD137" s="127">
        <f>IF(N(AC137)=0,"",SUM(V137,W137,X137,Z137,AB137)/AC137)</f>
        <v/>
      </c>
      <c r="AE137" s="126" t="n"/>
      <c r="AF137" s="126" t="n"/>
      <c r="AG137" s="126" t="n"/>
      <c r="AH137" s="128">
        <f>IF(COUNT(AE137,AF137,AG137)=0,"",SUM(AE137,AF137,AG137))</f>
        <v/>
      </c>
      <c r="AI137" s="126" t="n"/>
      <c r="AJ137" s="126" t="n"/>
      <c r="AK137" s="126" t="n"/>
      <c r="AL137" s="128">
        <f>IF(COUNT(AI137,AJ137,AK137)=0,"",SUM(AI137,AJ137,AK137))</f>
        <v/>
      </c>
      <c r="AM137" s="123">
        <f>IF(N(AC137)=0,"",IF(COUNT($AC$6:$AC$105)&lt;5,"Too early",IF(AC137&gt;=1.5*MEDIAN($AC$6:$AC$105),"Top",IF(AC137&lt;=0.5*MEDIAN($AC$6:$AC$105),"Low","Average"))))</f>
        <v/>
      </c>
      <c r="AN137" s="124" t="n"/>
      <c r="AO137" s="124" t="inlineStr">
        <is>
          <t>ted2</t>
        </is>
      </c>
      <c r="AP137" s="129" t="n"/>
      <c r="AQ137" s="129" t="n"/>
      <c r="AR137" s="129" t="n"/>
      <c r="AS137" s="129" t="n"/>
      <c r="AT137" s="129" t="n"/>
      <c r="AU137" s="129" t="n"/>
      <c r="AV137" s="130" t="inlineStr">
        <is>
          <t>Psychology says (15 s loop)</t>
        </is>
      </c>
    </row>
    <row r="138">
      <c r="A138" s="123" t="n">
        <v>133</v>
      </c>
      <c r="B138" s="123" t="inlineStr">
        <is>
          <t>Character story: Arjun</t>
        </is>
      </c>
      <c r="C138" s="123" t="inlineStr">
        <is>
          <t>Arjun ep.1: thinks Kabir is mad at him (mind reading)</t>
        </is>
      </c>
      <c r="D138" s="123" t="inlineStr">
        <is>
          <t>Arjun waved at Kabir. Kabir walked right past him.</t>
        </is>
      </c>
      <c r="E138" s="123" t="inlineStr">
        <is>
          <t>Mind reading cognitive distortion (Beck; Burns 1980)</t>
        </is>
      </c>
      <c r="F138" s="123" t="n"/>
      <c r="G138" s="123" t="n">
        <v>32</v>
      </c>
      <c r="H138" s="123" t="inlineStr">
        <is>
          <t>Published</t>
        </is>
      </c>
      <c r="I138" s="124" t="n">
        <v>0</v>
      </c>
      <c r="J138" s="124" t="n"/>
      <c r="K138" s="124" t="inlineStr">
        <is>
          <t>arjun-mind-reading</t>
        </is>
      </c>
      <c r="L138" s="125" t="n">
        <v>46320</v>
      </c>
      <c r="M138" s="123">
        <f>IF(L138="","",TEXT(L138,"ddd"))</f>
        <v/>
      </c>
      <c r="N138" s="124" t="n"/>
      <c r="O138" s="124" t="n">
        <v>31</v>
      </c>
      <c r="P138" s="124" t="inlineStr">
        <is>
          <t>Why You Think Everyone Is Mad at You #shorts</t>
        </is>
      </c>
      <c r="Q138" s="124" t="inlineStr">
        <is>
          <t>Beck cognitive distortions; Burns, Feeling Good (1980)</t>
        </is>
      </c>
      <c r="R138" s="124" t="inlineStr">
        <is>
          <t>buffer:youtube=6addb17f0b5343d070be583b;instagram=6addb17f8b3d437ddcf7b8bd;tiktok=6addb180e4be8a4d8697746f</t>
        </is>
      </c>
      <c r="S138" s="126" t="n"/>
      <c r="T138" s="124" t="n"/>
      <c r="U138" s="127">
        <f>IF(OR(T138="",N(O138)=0),"",T138/O138)</f>
        <v/>
      </c>
      <c r="V138" s="124" t="n"/>
      <c r="W138" s="124" t="n"/>
      <c r="X138" s="124" t="n"/>
      <c r="Y138" s="126" t="n"/>
      <c r="Z138" s="124" t="n"/>
      <c r="AA138" s="126" t="n"/>
      <c r="AB138" s="124" t="n"/>
      <c r="AC138" s="128">
        <f>IF(COUNT(S138,Y138,AA138)=0,"",SUM(S138,Y138,AA138))</f>
        <v/>
      </c>
      <c r="AD138" s="127">
        <f>IF(N(AC138)=0,"",SUM(V138,W138,X138,Z138,AB138)/AC138)</f>
        <v/>
      </c>
      <c r="AE138" s="126" t="n"/>
      <c r="AF138" s="126" t="n"/>
      <c r="AG138" s="126" t="n"/>
      <c r="AH138" s="128">
        <f>IF(COUNT(AE138,AF138,AG138)=0,"",SUM(AE138,AF138,AG138))</f>
        <v/>
      </c>
      <c r="AI138" s="126" t="n"/>
      <c r="AJ138" s="126" t="n"/>
      <c r="AK138" s="126" t="n"/>
      <c r="AL138" s="128">
        <f>IF(COUNT(AI138,AJ138,AK138)=0,"",SUM(AI138,AJ138,AK138))</f>
        <v/>
      </c>
      <c r="AM138" s="123">
        <f>IF(N(AC138)=0,"",IF(COUNT($AC$6:$AC$105)&lt;5,"Too early",IF(AC138&gt;=1.5*MEDIAN($AC$6:$AC$105),"Top",IF(AC138&lt;=0.5*MEDIAN($AC$6:$AC$105),"Low","Average"))))</f>
        <v/>
      </c>
      <c r="AN138" s="124" t="n"/>
      <c r="AO138" s="124" t="inlineStr">
        <is>
          <t>stick</t>
        </is>
      </c>
      <c r="AP138" s="129" t="n"/>
      <c r="AQ138" s="129" t="n"/>
      <c r="AR138" s="129" t="n"/>
      <c r="AS138" s="129" t="n"/>
      <c r="AT138" s="129" t="n"/>
      <c r="AU138" s="129" t="n"/>
      <c r="AV138" s="130" t="n"/>
    </row>
    <row r="139">
      <c r="A139" s="123" t="n">
        <v>134</v>
      </c>
      <c r="B139" s="123" t="inlineStr">
        <is>
          <t>Character story: Zoe</t>
        </is>
      </c>
      <c r="C139" s="123" t="inlineStr">
        <is>
          <t>Zoe ep.1: tiny favor then weekend shift (foot in the door)</t>
        </is>
      </c>
      <c r="D139" s="123" t="inlineStr">
        <is>
          <t>Maya asked Zoe for one tiny favor.</t>
        </is>
      </c>
      <c r="E139" s="123" t="inlineStr">
        <is>
          <t>Freedman &amp; Fraser 1966 17% vs 76%</t>
        </is>
      </c>
      <c r="F139" s="123" t="n"/>
      <c r="G139" s="123" t="n">
        <v>36</v>
      </c>
      <c r="H139" s="123" t="inlineStr">
        <is>
          <t>Published</t>
        </is>
      </c>
      <c r="I139" s="124" t="n">
        <v>0</v>
      </c>
      <c r="J139" s="124" t="n"/>
      <c r="K139" s="124" t="inlineStr">
        <is>
          <t>zoe-tiny-favor</t>
        </is>
      </c>
      <c r="L139" s="125" t="n">
        <v>46320</v>
      </c>
      <c r="M139" s="123">
        <f>IF(L139="","",TEXT(L139,"ddd"))</f>
        <v/>
      </c>
      <c r="N139" s="124" t="n"/>
      <c r="O139" s="124" t="n">
        <v>54</v>
      </c>
      <c r="P139" s="124" t="inlineStr">
        <is>
          <t>Why You Can't Say No After Saying Yes Once #shorts</t>
        </is>
      </c>
      <c r="Q139" s="124" t="inlineStr">
        <is>
          <t>Freedman &amp; Fraser (1966) JPSP: 17% vs 76%</t>
        </is>
      </c>
      <c r="R139" s="124" t="inlineStr">
        <is>
          <t>buffer:youtube=6addb1818b3d437ddcf7b908;instagram=6addb1828b3d437ddcf7b93a;tiktok=6addb1830b5343d070be5896</t>
        </is>
      </c>
      <c r="S139" s="126" t="n"/>
      <c r="T139" s="124" t="n"/>
      <c r="U139" s="127">
        <f>IF(OR(T139="",N(O139)=0),"",T139/O139)</f>
        <v/>
      </c>
      <c r="V139" s="124" t="n"/>
      <c r="W139" s="124" t="n"/>
      <c r="X139" s="124" t="n"/>
      <c r="Y139" s="126" t="n"/>
      <c r="Z139" s="124" t="n"/>
      <c r="AA139" s="126" t="n"/>
      <c r="AB139" s="124" t="n"/>
      <c r="AC139" s="128">
        <f>IF(COUNT(S139,Y139,AA139)=0,"",SUM(S139,Y139,AA139))</f>
        <v/>
      </c>
      <c r="AD139" s="127">
        <f>IF(N(AC139)=0,"",SUM(V139,W139,X139,Z139,AB139)/AC139)</f>
        <v/>
      </c>
      <c r="AE139" s="126" t="n"/>
      <c r="AF139" s="126" t="n"/>
      <c r="AG139" s="126" t="n"/>
      <c r="AH139" s="128">
        <f>IF(COUNT(AE139,AF139,AG139)=0,"",SUM(AE139,AF139,AG139))</f>
        <v/>
      </c>
      <c r="AI139" s="126" t="n"/>
      <c r="AJ139" s="126" t="n"/>
      <c r="AK139" s="126" t="n"/>
      <c r="AL139" s="128">
        <f>IF(COUNT(AI139,AJ139,AK139)=0,"",SUM(AI139,AJ139,AK139))</f>
        <v/>
      </c>
      <c r="AM139" s="123">
        <f>IF(N(AC139)=0,"",IF(COUNT($AC$6:$AC$105)&lt;5,"Too early",IF(AC139&gt;=1.5*MEDIAN($AC$6:$AC$105),"Top",IF(AC139&lt;=0.5*MEDIAN($AC$6:$AC$105),"Low","Average"))))</f>
        <v/>
      </c>
      <c r="AN139" s="124" t="inlineStr">
        <is>
          <t>CI 2026-10-25: build produced no video</t>
        </is>
      </c>
      <c r="AO139" s="124" t="inlineStr">
        <is>
          <t>stick</t>
        </is>
      </c>
      <c r="AP139" s="129" t="n"/>
      <c r="AQ139" s="129" t="n"/>
      <c r="AR139" s="129" t="n"/>
      <c r="AS139" s="129" t="n"/>
      <c r="AT139" s="129" t="n"/>
      <c r="AU139" s="129" t="n"/>
      <c r="AV139" s="130" t="n"/>
    </row>
    <row r="140">
      <c r="A140" s="123" t="n">
        <v>135</v>
      </c>
      <c r="B140" s="123" t="inlineStr">
        <is>
          <t>Character story: Kabir</t>
        </is>
      </c>
      <c r="C140" s="123" t="inlineStr">
        <is>
          <t>Kabir ep.1: two days, tops (planning fallacy)</t>
        </is>
      </c>
      <c r="D140" s="123" t="inlineStr">
        <is>
          <t>Kabir had a whole week for his essay.</t>
        </is>
      </c>
      <c r="E140" s="123" t="inlineStr">
        <is>
          <t>Buehler, Griffin &amp; Ross 1994: 33.9 / 55.5 days, ~30%</t>
        </is>
      </c>
      <c r="F140" s="123" t="n"/>
      <c r="G140" s="123" t="n">
        <v>34</v>
      </c>
      <c r="H140" s="123" t="inlineStr">
        <is>
          <t>Published</t>
        </is>
      </c>
      <c r="I140" s="124" t="n">
        <v>0</v>
      </c>
      <c r="J140" s="124" t="n"/>
      <c r="K140" s="124" t="inlineStr">
        <is>
          <t>kabir-two-days</t>
        </is>
      </c>
      <c r="L140" s="125" t="n">
        <v>46320</v>
      </c>
      <c r="M140" s="123">
        <f>IF(L140="","",TEXT(L140,"ddd"))</f>
        <v/>
      </c>
      <c r="N140" s="124" t="n"/>
      <c r="O140" s="124" t="n">
        <v>44</v>
      </c>
      <c r="P140" s="124" t="inlineStr">
        <is>
          <t>Why Everything Takes Longer Than You Planned #shorts</t>
        </is>
      </c>
      <c r="Q140" s="124" t="inlineStr">
        <is>
          <t>Buehler, Griffin &amp; Ross (1994) JPSP: 33.9 predicted, 55.5 actual, ~30% on time</t>
        </is>
      </c>
      <c r="R140" s="124" t="inlineStr">
        <is>
          <t>buffer:youtube=6addb1846887a2efc1f34fd0;instagram=6addb185e4be8a4d869774d0;tiktok=6addb1853d5b27036bbfc791</t>
        </is>
      </c>
      <c r="S140" s="126" t="n"/>
      <c r="T140" s="124" t="n"/>
      <c r="U140" s="127">
        <f>IF(OR(T140="",N(O140)=0),"",T140/O140)</f>
        <v/>
      </c>
      <c r="V140" s="124" t="n"/>
      <c r="W140" s="124" t="n"/>
      <c r="X140" s="124" t="n"/>
      <c r="Y140" s="126" t="n"/>
      <c r="Z140" s="124" t="n"/>
      <c r="AA140" s="126" t="n"/>
      <c r="AB140" s="124" t="n"/>
      <c r="AC140" s="128">
        <f>IF(COUNT(S140,Y140,AA140)=0,"",SUM(S140,Y140,AA140))</f>
        <v/>
      </c>
      <c r="AD140" s="127">
        <f>IF(N(AC140)=0,"",SUM(V140,W140,X140,Z140,AB140)/AC140)</f>
        <v/>
      </c>
      <c r="AE140" s="126" t="n"/>
      <c r="AF140" s="126" t="n"/>
      <c r="AG140" s="126" t="n"/>
      <c r="AH140" s="128">
        <f>IF(COUNT(AE140,AF140,AG140)=0,"",SUM(AE140,AF140,AG140))</f>
        <v/>
      </c>
      <c r="AI140" s="126" t="n"/>
      <c r="AJ140" s="126" t="n"/>
      <c r="AK140" s="126" t="n"/>
      <c r="AL140" s="128">
        <f>IF(COUNT(AI140,AJ140,AK140)=0,"",SUM(AI140,AJ140,AK140))</f>
        <v/>
      </c>
      <c r="AM140" s="123">
        <f>IF(N(AC140)=0,"",IF(COUNT($AC$6:$AC$105)&lt;5,"Too early",IF(AC140&gt;=1.5*MEDIAN($AC$6:$AC$105),"Top",IF(AC140&lt;=0.5*MEDIAN($AC$6:$AC$105),"Low","Average"))))</f>
        <v/>
      </c>
      <c r="AN140" s="124" t="inlineStr">
        <is>
          <t>CI 2026-10-25: build produced no video</t>
        </is>
      </c>
      <c r="AO140" s="124" t="inlineStr">
        <is>
          <t>stick</t>
        </is>
      </c>
      <c r="AP140" s="129" t="n"/>
      <c r="AQ140" s="129" t="n"/>
      <c r="AR140" s="129" t="n"/>
      <c r="AS140" s="129" t="n"/>
      <c r="AT140" s="129" t="n"/>
      <c r="AU140" s="129" t="n"/>
      <c r="AV140" s="130" t="n"/>
    </row>
    <row r="141">
      <c r="A141" s="123" t="n">
        <v>136</v>
      </c>
      <c r="B141" s="123" t="inlineStr">
        <is>
          <t>Character story</t>
        </is>
      </c>
      <c r="C141" s="123" t="inlineStr">
        <is>
          <t>Arthur &amp; the Critic: one criticism beats ten compliments (negativity bias)</t>
        </is>
      </c>
      <c r="D141" s="123" t="inlineStr">
        <is>
          <t>Arthur got ten compliments today. And one criticism.</t>
        </is>
      </c>
      <c r="E141" s="123" t="inlineStr">
        <is>
          <t>Negativity bias: bad is stronger than good (Baumeister et al. 2001; Rozin &amp; Royzman 2001); the Critic is an old alarm</t>
        </is>
      </c>
      <c r="F141" s="123" t="n"/>
      <c r="G141" s="123" t="n"/>
      <c r="H141" s="123" t="inlineStr">
        <is>
          <t>Published</t>
        </is>
      </c>
      <c r="I141" s="124" t="n">
        <v>0</v>
      </c>
      <c r="J141" s="124" t="n"/>
      <c r="K141" s="124" t="inlineStr">
        <is>
          <t>arthur-the-critic</t>
        </is>
      </c>
      <c r="L141" s="125" t="n">
        <v>46321</v>
      </c>
      <c r="M141" s="123">
        <f>IF(L141="","",TEXT(L141,"ddd"))</f>
        <v/>
      </c>
      <c r="N141" s="124" t="n"/>
      <c r="O141" s="124" t="n">
        <v>30</v>
      </c>
      <c r="P141" s="124" t="inlineStr">
        <is>
          <t>Why One Insult Beats Ten Compliments #shorts</t>
        </is>
      </c>
      <c r="Q141" s="124" t="inlineStr">
        <is>
          <t>Baumeister, Bratslavsky, Finkenauer &amp; Vohs 2001 (Rev Gen Psych); Rozin &amp; Royzman 2001 (PSPR)</t>
        </is>
      </c>
      <c r="R141" s="124" t="inlineStr">
        <is>
          <t>buffer:youtube=6adfbc87ca308c8a23248624;instagram=6adfbc883ffda7dd058ff2ba;tiktok=6adfbc883ffda7dd058ff2ef</t>
        </is>
      </c>
      <c r="S141" s="126" t="n"/>
      <c r="T141" s="124" t="n"/>
      <c r="U141" s="127">
        <f>IF(OR(T141="",N(O141)=0),"",T141/O141)</f>
        <v/>
      </c>
      <c r="V141" s="124" t="n"/>
      <c r="W141" s="124" t="n"/>
      <c r="X141" s="124" t="n"/>
      <c r="Y141" s="126" t="n"/>
      <c r="Z141" s="124" t="n"/>
      <c r="AA141" s="126" t="n"/>
      <c r="AB141" s="124" t="n"/>
      <c r="AC141" s="128">
        <f>IF(COUNT(S141,Y141,AA141)=0,"",SUM(S141,Y141,AA141))</f>
        <v/>
      </c>
      <c r="AD141" s="127">
        <f>IF(N(AC141)=0,"",SUM(V141,W141,X141,Z141,AB141)/AC141)</f>
        <v/>
      </c>
      <c r="AE141" s="126" t="n"/>
      <c r="AF141" s="126" t="n"/>
      <c r="AG141" s="126" t="n"/>
      <c r="AH141" s="128">
        <f>IF(COUNT(AE141,AF141,AG141)=0,"",SUM(AE141,AF141,AG141))</f>
        <v/>
      </c>
      <c r="AI141" s="126" t="n"/>
      <c r="AJ141" s="126" t="n"/>
      <c r="AK141" s="126" t="n"/>
      <c r="AL141" s="128">
        <f>IF(COUNT(AI141,AJ141,AK141)=0,"",SUM(AI141,AJ141,AK141))</f>
        <v/>
      </c>
      <c r="AM141" s="123">
        <f>IF(N(AC141)=0,"",IF(COUNT($AC$6:$AC$105)&lt;5,"Too early",IF(AC141&gt;=1.5*MEDIAN($AC$6:$AC$105),"Top",IF(AC141&lt;=0.5*MEDIAN($AC$6:$AC$105),"Low","Average"))))</f>
        <v/>
      </c>
      <c r="AN141" s="124" t="n"/>
      <c r="AO141" s="124" t="inlineStr">
        <is>
          <t>retro</t>
        </is>
      </c>
      <c r="AP141" s="129" t="n"/>
      <c r="AQ141" s="129" t="n"/>
      <c r="AR141" s="129" t="n"/>
      <c r="AS141" s="129" t="n"/>
      <c r="AT141" s="129" t="n"/>
      <c r="AU141" s="129" t="n"/>
      <c r="AV141" s="130" t="n"/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41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41" showDropDown="0" showInputMessage="0" showErrorMessage="0" allowBlank="1" type="list" errorStyle="stop" operator="between">
      <formula1>"Strong,Weak"</formula1>
      <formula2>0</formula2>
    </dataValidation>
    <dataValidation sqref="AO6:AO141" showDropDown="0" showInputMessage="0" showErrorMessage="0" allowBlank="1" type="list" errorStyle="stop" operator="between">
      <formula1>Looks!$A$5:$A$21</formula1>
      <formula2>0</formula2>
    </dataValidation>
    <dataValidation sqref="AP6:AP141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2026-10-11T22:10:01Z</dcterms:created>
  <dcterms:modified xsi:type="dcterms:W3CDTF">2026-10-28T21:23:36Z</dcterms:modified>
  <cp:revision>0</cp:revision>
</cp:coreProperties>
</file>