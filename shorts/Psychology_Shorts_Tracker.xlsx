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ng form" sheetId="2" state="visible" r:id="rId2"/>
    <sheet xmlns:r="http://schemas.openxmlformats.org/officeDocument/2006/relationships" name="Loo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6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Scripted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/>
      <c r="M8" s="5">
        <f>IF(L8="","",TEXT(L8,"ddd"))</f>
        <v/>
      </c>
      <c r="N8" s="10" t="inlineStr">
        <is>
          <t>thoughts</t>
        </is>
      </c>
      <c r="O8" s="10" t="n"/>
      <c r="P8" s="10" t="n"/>
      <c r="Q8" s="10" t="inlineStr">
        <is>
          <t>Tversky &amp; Kahneman 1974, Science 185(4157):1124-1131; wheel 10 vs 65 -&gt; median 25% vs 45% African UN members</t>
        </is>
      </c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Scripted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/>
      <c r="M9" s="5">
        <f>IF(L9="","",TEXT(L9,"ddd"))</f>
        <v/>
      </c>
      <c r="N9" s="10" t="inlineStr">
        <is>
          <t>thoughts</t>
        </is>
      </c>
      <c r="O9" s="10" t="n"/>
      <c r="P9" s="10" t="n"/>
      <c r="Q9" s="10" t="inlineStr">
        <is>
          <t>Lichtenstein, Slovic et al. 1978, JEP:HLM 4(6):551-578; 41 causes of death, dramatic over-, common underestimated; Tversky &amp; Kahneman 1973</t>
        </is>
      </c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Scripted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/>
      <c r="M18" s="5">
        <f>IF(L18="","",TEXT(L18,"ddd"))</f>
        <v/>
      </c>
      <c r="N18" s="10" t="inlineStr">
        <is>
          <t>thoughts</t>
        </is>
      </c>
      <c r="O18" s="10" t="n"/>
      <c r="P18" s="10" t="n"/>
      <c r="Q18" s="10" t="inlineStr">
        <is>
          <t>Cepeda et al. 2006, Psychological Bulletin 132(3):354-380; 317 experiments/184 articles, spaced &gt; massed recall</t>
        </is>
      </c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Scripted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/>
      <c r="M30" s="5">
        <f>IF(L30="","",TEXT(L30,"ddd"))</f>
        <v/>
      </c>
      <c r="N30" s="10" t="inlineStr">
        <is>
          <t>thoughts</t>
        </is>
      </c>
      <c r="O30" s="10" t="n"/>
      <c r="P30" s="10" t="n"/>
      <c r="Q30" s="10" t="inlineStr">
        <is>
          <t>Moray 1959, QJEP 11(1):56-60; words repeated 35x in rejected ear not recalled, ~1/3 noticed own name (cf. Wood &amp; Cowan 1995)</t>
        </is>
      </c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Scripted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/>
      <c r="M40" s="5">
        <f>IF(L40="","",TEXT(L40,"ddd"))</f>
        <v/>
      </c>
      <c r="N40" s="10" t="inlineStr">
        <is>
          <t>thoughts</t>
        </is>
      </c>
      <c r="O40" s="10" t="n"/>
      <c r="P40" s="10" t="n"/>
      <c r="Q40" s="10" t="inlineStr">
        <is>
          <t>Read &amp; van Leeuwen (1998), Organizational Behavior and Human Decision Processes 76(2)</t>
        </is>
      </c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Scripted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/>
      <c r="M41" s="5">
        <f>IF(L41="","",TEXT(L41,"ddd"))</f>
        <v/>
      </c>
      <c r="N41" s="10" t="inlineStr">
        <is>
          <t>thoughts</t>
        </is>
      </c>
      <c r="O41" s="10" t="n"/>
      <c r="P41" s="10" t="n"/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Scripted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/>
      <c r="M52" s="5">
        <f>IF(L52="","",TEXT(L52,"ddd"))</f>
        <v/>
      </c>
      <c r="N52" s="10" t="inlineStr">
        <is>
          <t>eyes</t>
        </is>
      </c>
      <c r="O52" s="10" t="n"/>
      <c r="P52" s="10" t="n"/>
      <c r="Q52" s="10" t="inlineStr">
        <is>
          <t>Butler et al. 2003, Emotion 3(1):48-67; suppression raised partners' blood pressure, lowered rapport/affiliation</t>
        </is>
      </c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Scripted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/>
      <c r="M64" s="5">
        <f>IF(L64="","",TEXT(L64,"ddd"))</f>
        <v/>
      </c>
      <c r="N64" s="10" t="inlineStr">
        <is>
          <t>eyes</t>
        </is>
      </c>
      <c r="O64" s="10" t="n"/>
      <c r="P64" s="10" t="n"/>
      <c r="Q64" s="10" t="inlineStr">
        <is>
          <t>Moreland &amp; Beach 1992, J Exp Social Psych 28(3):255-276; women attended 0/5/10/15 lectures, rated more attractive/likeable with more exposure</t>
        </is>
      </c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Scripted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/>
      <c r="M67" s="5">
        <f>IF(L67="","",TEXT(L67,"ddd"))</f>
        <v/>
      </c>
      <c r="N67" s="10" t="inlineStr">
        <is>
          <t>eyes</t>
        </is>
      </c>
      <c r="O67" s="10" t="n"/>
      <c r="P67" s="10" t="n"/>
      <c r="Q67" s="10" t="inlineStr">
        <is>
          <t>Sherif 1935, Archives of Psychology 27(187); autokinetic effect, group estimates converge and persist when tested alone</t>
        </is>
      </c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Scripted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/>
      <c r="M68" s="5">
        <f>IF(L68="","",TEXT(L68,"ddd"))</f>
        <v/>
      </c>
      <c r="N68" s="10" t="inlineStr">
        <is>
          <t>eyes</t>
        </is>
      </c>
      <c r="O68" s="10" t="n"/>
      <c r="P68" s="10" t="n"/>
      <c r="Q68" s="10" t="inlineStr">
        <is>
          <t>Asch 1956, Psychological Monographs 70(9); written private answers cut conformity sharply (cf. Deutsch &amp; Gerard 1955)</t>
        </is>
      </c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Scripted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/>
      <c r="M77" s="5">
        <f>IF(L77="","",TEXT(L77,"ddd"))</f>
        <v/>
      </c>
      <c r="N77" s="10" t="inlineStr">
        <is>
          <t>thoughts</t>
        </is>
      </c>
      <c r="O77" s="10" t="n"/>
      <c r="P77" s="10" t="n"/>
      <c r="Q77" s="10" t="inlineStr">
        <is>
          <t>Svenson 1981, Acta Psychologica 47(2):143-148; 93% US / 69% Swedish students rated driving skill above median</t>
        </is>
      </c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Scripted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/>
      <c r="M78" s="5">
        <f>IF(L78="","",TEXT(L78,"ddd"))</f>
        <v/>
      </c>
      <c r="N78" s="10" t="inlineStr">
        <is>
          <t>thoughts</t>
        </is>
      </c>
      <c r="O78" s="10" t="n"/>
      <c r="P78" s="10" t="n"/>
      <c r="Q78" s="10" t="inlineStr">
        <is>
          <t>Clance &amp; Imes 1978, Psychotherapy 15(3):241-247 (150+ high-achieving women); Bravata et al. 2020 JGIM review, 62 studies, 9-82%</t>
        </is>
      </c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Scripted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/>
      <c r="M88" s="5">
        <f>IF(L88="","",TEXT(L88,"ddd"))</f>
        <v/>
      </c>
      <c r="N88" s="10" t="inlineStr">
        <is>
          <t>eyes</t>
        </is>
      </c>
      <c r="O88" s="10" t="n"/>
      <c r="P88" s="10" t="n"/>
      <c r="Q88" s="10" t="inlineStr">
        <is>
          <t>Sherman et al. 2016, Psychological Science 27(7):1027-1035; n=32 teens 13-18, many-like photos liked more, NAcc activity for own photos with many likes</t>
        </is>
      </c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Scripted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/>
      <c r="M89" s="5">
        <f>IF(L89="","",TEXT(L89,"ddd"))</f>
        <v/>
      </c>
      <c r="N89" s="10" t="inlineStr">
        <is>
          <t>eyes</t>
        </is>
      </c>
      <c r="O89" s="10" t="n"/>
      <c r="P89" s="10" t="n"/>
      <c r="Q89" s="10" t="inlineStr">
        <is>
          <t>Jordan et al. 2011, PSPB 37(1):120-135; peers' negative emotions underestimated, positive overestimated; linked to loneliness, lower life satisfaction</t>
        </is>
      </c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Scripted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/>
      <c r="M97" s="5">
        <f>IF(L97="","",TEXT(L97,"ddd"))</f>
        <v/>
      </c>
      <c r="N97" s="10" t="inlineStr">
        <is>
          <t>thoughts</t>
        </is>
      </c>
      <c r="O97" s="10" t="n"/>
      <c r="P97" s="10" t="n"/>
      <c r="Q97" s="10" t="inlineStr">
        <is>
          <t>Nielsen et al. 2013, PLOS ONE 8(8):e71275; 1,011 people aged 7-29, no whole-brain left/right dominance</t>
        </is>
      </c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Scripted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/>
      <c r="M98" s="5">
        <f>IF(L98="","",TEXT(L98,"ddd"))</f>
        <v/>
      </c>
      <c r="N98" s="10" t="inlineStr">
        <is>
          <t>thoughts</t>
        </is>
      </c>
      <c r="O98" s="10" t="n"/>
      <c r="P98" s="10" t="n"/>
      <c r="Q98" s="10" t="inlineStr">
        <is>
          <t>Beyerstein 1999, in Mind Myths (Della Sala ed.); imaging shows activity across all regions; brain ~2% body weight, ~20% energy</t>
        </is>
      </c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6" showDropDown="0" showInputMessage="0" showErrorMessage="0" allowBlank="1" type="list">
      <formula1>"Idea,Researching,Scripted,Scheduled,Published,Vetoed,Failed,Filming,Editing"</formula1>
    </dataValidation>
    <dataValidation sqref="J6:J106" showDropDown="0" showInputMessage="0" showErrorMessage="0" allowBlank="1" type="list">
      <formula1>"Strong,Weak"</formula1>
    </dataValidation>
    <dataValidation sqref="AO6:AO106" showDropDown="0" showInputMessage="0" showErrorMessage="0" allowBlank="1" type="list">
      <formula1>=Looks!$A$5:$A$21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2026-10-15T16:31:06Z</dcterms:modified>
</cp:coreProperties>
</file>