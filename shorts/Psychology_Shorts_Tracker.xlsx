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buffer:youtube=6ad27dfe5720e82b418e1b51;tiktok=6ad27dfe346e510ac44f4f9b;instagram=6adfbc8a2e4832a623d60834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buffer:youtube=6ad27e00346e510ac44f4fd1;tiktok=6ad27e005720e82b418e1bb9;instagram=6ae1113de2341add8c5b3800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buffer:youtube=6ad3c111e272c4918f997f66;tiktok=6ad3c1120b0d72757aedb6ef;instagram=6ae267d78ecebd502e74b019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buffer:youtube=6ad3c114ae173d6e00cc5d2c;tiktok=6ad3c114938409f1d09b2e54;instagram=6ae3baa6397c2ef8f34732c2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buffer:youtube=6ad3c116938409f1d09b2eb1;tiktok=6ad3c117ae173d6e00cc5da0;instagram=6ae5091d18914720939a7673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Published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46322</v>
      </c>
      <c r="M113" s="123">
        <f>IF(L113="","",TEXT(L113,"ddd"))</f>
        <v/>
      </c>
      <c r="N113" s="124" t="n"/>
      <c r="O113" s="124" t="n">
        <v>28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buffer:youtube=6ae15f55c3dec74d25995e2d;instagram=6ae15f563d4d083d91210c79;tiktok=6ae15f56c3dec74d25995ee8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Published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Vetoed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2026-10-26 Shivam: stick format stopped; scheduled Buffer posts deleted before they went out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Vetoed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2026-10-26 Shivam: stick format stopped; scheduled Buffer posts deleted before they went out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Vetoed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inlineStr">
        <is>
          <t>2026-10-26 Shivam: stick format stopped for psychology Shorts (replaced by the tedmg/retro style cycle); never built</t>
        </is>
      </c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Vetoed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inlineStr">
        <is>
          <t>2026-10-26 Shivam: stick format stopped for psychology Shorts (replaced by the tedmg/retro style cycle); never built</t>
        </is>
      </c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Vetoed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inlineStr">
        <is>
          <t>2026-10-26 Shivam: stick format stopped for psychology Shorts (replaced by the tedmg/retro style cycle); never built</t>
        </is>
      </c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Published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>
        <v>46323</v>
      </c>
      <c r="M120" s="123">
        <f>IF(L120="","",TEXT(L120,"ddd"))</f>
        <v/>
      </c>
      <c r="N120" s="124" t="n"/>
      <c r="O120" s="124" t="n">
        <v>36</v>
      </c>
      <c r="P120" s="124" t="inlineStr">
        <is>
          <t>Why Doodlers Remember More #shorts</t>
        </is>
      </c>
      <c r="Q120" s="124" t="inlineStr">
        <is>
          <t>Andrade, Applied Cognitive Psychology 24(1) 2010 (online 2009): 40 adults, doodlers recalled 29% more (7.5 vs 5.81) — simplypsychology.org/andrade-doodling.html</t>
        </is>
      </c>
      <c r="R120" s="124" t="inlineStr">
        <is>
          <t>buffer:youtube=6ae111322086adf9c11928cb;instagram=6ae111334e914b3cee29ca7f;tiktok=6ae11134b017df23970aefbd</t>
        </is>
      </c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tedmg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Published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>
        <v>46323</v>
      </c>
      <c r="M121" s="123">
        <f>IF(L121="","",TEXT(L121,"ddd"))</f>
        <v/>
      </c>
      <c r="N121" s="124" t="n"/>
      <c r="O121" s="124" t="n">
        <v>46</v>
      </c>
      <c r="P121" s="124" t="inlineStr">
        <is>
          <t>3 Facts About First Impressions #shorts</t>
        </is>
      </c>
      <c r="Q121" s="124" t="inlineStr">
        <is>
          <t>Willis &amp; Todorov 2006 Psych Sci (PubMed 16866745): 100-ms judgments correlate highly with untimed, longer exposure mainly raises confidence; Nisbett &amp; Wilson 1977 JPSP halo (warm vs cold lecturer, 118 Michigan students)</t>
        </is>
      </c>
      <c r="R121" s="124" t="inlineStr">
        <is>
          <t>buffer:youtube=6ae111364137b5e3590cba91;instagram=6ae11137b017df23970af197;tiktok=6ae111384137b5e3590cbb60</t>
        </is>
      </c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tedmg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Published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>
        <v>46323</v>
      </c>
      <c r="M122" s="123">
        <f>IF(L122="","",TEXT(L122,"ddd"))</f>
        <v/>
      </c>
      <c r="N122" s="124" t="n"/>
      <c r="O122" s="124" t="n">
        <v>37</v>
      </c>
      <c r="P122" s="124" t="inlineStr">
        <is>
          <t>Ask This When You're Stuck #shorts</t>
        </is>
      </c>
      <c r="Q122" s="124" t="inlineStr">
        <is>
          <t>Grossmann &amp; Kross 2014 Psych Sci 'Exploring Solomon's paradox' (doi 10.1177/0956797614535400): wiser reasoning about a friend's problem; self-distancing eliminated the asymmetry</t>
        </is>
      </c>
      <c r="R122" s="124" t="inlineStr">
        <is>
          <t>buffer:youtube=6ae1113a4e914b3cee29cc80;instagram=6ae1113b4e914b3cee29cced;tiktok=6ae1113be2341add8c5b37a9</t>
        </is>
      </c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Published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>
        <v>46324</v>
      </c>
      <c r="M123" s="123">
        <f>IF(L123="","",TEXT(L123,"ddd"))</f>
        <v/>
      </c>
      <c r="N123" s="124" t="n"/>
      <c r="O123" s="124" t="n">
        <v>33</v>
      </c>
      <c r="P123" s="124" t="inlineStr">
        <is>
          <t>Why Scary Dates Work #shorts</t>
        </is>
      </c>
      <c r="Q123" s="124" t="inlineStr">
        <is>
          <t>Dutton &amp; Aron 1974 JPSP (Capilano suspension bridge ~230 ft vs low solid bridge): ~50% vs 12.5% of men called the female interviewer — youarenotsosmart.com/2011/07/07/misattribution-of-arousal</t>
        </is>
      </c>
      <c r="R123" s="124" t="inlineStr">
        <is>
          <t>buffer:youtube=6ae267cfa840ef151b681394;instagram=6ae267d07570388bc1f23880;tiktok=6ae267d1443b48362cced035</t>
        </is>
      </c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tedmg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Published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>
        <v>46324</v>
      </c>
      <c r="M124" s="123">
        <f>IF(L124="","",TEXT(L124,"ddd"))</f>
        <v/>
      </c>
      <c r="N124" s="124" t="n"/>
      <c r="O124" s="124" t="n">
        <v>44</v>
      </c>
      <c r="P124" s="124" t="inlineStr">
        <is>
          <t>Say a Word Until It Breaks #shorts</t>
        </is>
      </c>
      <c r="Q124" s="124" t="inlineStr">
        <is>
          <t>Severance &amp; Washburn 1907 (Am J Psych): 3-min fixation on a word → loss of meaning; term coined by Leon Jakobovits James, 1962 McGill dissertation (Wikipedia; Frontiers in Psychology 2019 10.3389/fpsyg.2019.02236). Hook's '30 times' dropped: no study gives a count</t>
        </is>
      </c>
      <c r="R124" s="124" t="inlineStr">
        <is>
          <t>buffer:youtube=6ae267d4a840ef151b681442;instagram=6ae267d58ecebd502e74afa6;tiktok=6ae267d58ecebd502e74afd3</t>
        </is>
      </c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Scheduled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>
        <v>46325</v>
      </c>
      <c r="M125" s="123">
        <f>IF(L125="","",TEXT(L125,"ddd"))</f>
        <v/>
      </c>
      <c r="N125" s="124" t="n"/>
      <c r="O125" s="124" t="n">
        <v>31</v>
      </c>
      <c r="P125" s="124" t="inlineStr">
        <is>
          <t>Say the Colour, Not the Word #shorts</t>
        </is>
      </c>
      <c r="Q125" s="124" t="inlineStr">
        <is>
          <t>Stroop 1935 J Exp Psych 'Studies of interference in serial verbal reactions': 100 undergraduates, naming ink of incongruent colour words took ~47 s (74.3%) longer than colour patches — simplypsychology.org/stroop-effect.html</t>
        </is>
      </c>
      <c r="R125" s="124" t="inlineStr">
        <is>
          <t>buffer:youtube=6ae3ba9bf3a9d5311bd0a28c;instagram=6ae3ba9b8d19aa0a5be528a2;tiktok=6ae3ba9c397c2ef8f34730fc</t>
        </is>
      </c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inlineStr">
        <is>
          <t>CI 2026-10-28: build produced no video (art threw on negative t in STQuiz); fixed 2026-10-29 by the script writer, back to Scripted (once)</t>
        </is>
      </c>
      <c r="AO125" s="124" t="inlineStr">
        <is>
          <t>retro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Scheduled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>
        <v>46325</v>
      </c>
      <c r="M126" s="123">
        <f>IF(L126="","",TEXT(L126,"ddd"))</f>
        <v/>
      </c>
      <c r="N126" s="124" t="n"/>
      <c r="O126" s="124" t="n">
        <v>45</v>
      </c>
      <c r="P126" s="124" t="inlineStr">
        <is>
          <t>One Word Makes People Say Yes #shorts</t>
        </is>
      </c>
      <c r="Q126" s="124" t="inlineStr">
        <is>
          <t>Langer, Blank &amp; Chanowitz 1978 JPSP 36(6): library copier, 5 pages — no reason 60%, real reason 94%, empty reason ('I have to make copies') 93%; for 20 pages the empty 'because' stopped working — jamesclear.com/copy-machine-study</t>
        </is>
      </c>
      <c r="R126" s="124" t="inlineStr">
        <is>
          <t>buffer:youtube=6ae3ba9fb598658e6530b33a;instagram=6ae3ba9f397c2ef8f3473174;tiktok=6ae3baa0f3a9d5311bd0a375</t>
        </is>
      </c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Scheduled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>
        <v>46325</v>
      </c>
      <c r="M127" s="123">
        <f>IF(L127="","",TEXT(L127,"ddd"))</f>
        <v/>
      </c>
      <c r="N127" s="124" t="n"/>
      <c r="O127" s="124" t="n">
        <v>43</v>
      </c>
      <c r="P127" s="124" t="inlineStr">
        <is>
          <t>One Bad Day Ruined the Whole Trip #shorts</t>
        </is>
      </c>
      <c r="Q127" s="124" t="inlineStr">
        <is>
          <t>Kahneman, Fredrickson, Schreiber &amp; Redelmeier 1993 Psych Sci 'When more pain is preferred to less': 60 s at 14 °C vs same + 30 s warming to ~15 °C; nearly 70% chose to repeat the longer trial — mindhacks.com/2013/05/28/why-you-might-prefer-more-pain/, en.wikipedia.org/wiki/Duration_neglect</t>
        </is>
      </c>
      <c r="R127" s="124" t="inlineStr">
        <is>
          <t>buffer:youtube=6ae3baa3b598658e6530b3bc;instagram=6ae3baa4b598658e6530b41e;tiktok=6ae3baa4f3a9d5311bd0a3db</t>
        </is>
      </c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retro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Scheduled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>
        <v>46326</v>
      </c>
      <c r="M128" s="123">
        <f>IF(L128="","",TEXT(L128,"ddd"))</f>
        <v/>
      </c>
      <c r="N128" s="124" t="n"/>
      <c r="O128" s="124" t="n">
        <v>36</v>
      </c>
      <c r="P128" s="124" t="inlineStr">
        <is>
          <t>Would You Have Stopped? #shorts</t>
        </is>
      </c>
      <c r="Q128" s="124" t="inlineStr">
        <is>
          <t>Milgram 1963 J Abnormal &amp; Social Psych: 40 men, 26/40 (65%) to 450 V, all to 300 V; psychiatrists predicted ~0.1%; Milgram 1974 two-peers-refuse variation 4/40; caveat Perry 2012 — en.wikipedia.org/wiki/Milgram_experiment</t>
        </is>
      </c>
      <c r="R128" s="124" t="inlineStr">
        <is>
          <t>buffer:youtube=6ae5091318914720939a74c3;instagram=6ae50914eaa24d6f9a3d2fc6;tiktok=6ae50914406ab8a018828c8e</t>
        </is>
      </c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Scheduled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>
        <v>46326</v>
      </c>
      <c r="M129" s="123">
        <f>IF(L129="","",TEXT(L129,"ddd"))</f>
        <v/>
      </c>
      <c r="N129" s="124" t="n"/>
      <c r="O129" s="124" t="n">
        <v>48</v>
      </c>
      <c r="P129" s="124" t="inlineStr">
        <is>
          <t>Only 2 Left? Read This First #shorts</t>
        </is>
      </c>
      <c r="Q129" s="124" t="inlineStr">
        <is>
          <t>Worchel, Lee &amp; Adewole 1975 JPSP 'Effects of supply and demand on ratings of object value': 134 students, identical cookies from a jar of 2 rated more desirable/attractive than from a jar of 10; drop 10→2 by demand raised value most; price difference n.s. (no price claim) — uni-muenster.de PDF of the paper, coglode.com/nuggets/scarcity</t>
        </is>
      </c>
      <c r="R129" s="124" t="inlineStr">
        <is>
          <t>buffer:youtube=6ae50917fc1ac02b6edf3bcc;instagram=6ae50917eaa24d6f9a3d30c1;tiktok=6ae50918eaa24d6f9a3d30f8</t>
        </is>
      </c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retro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Scheduled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>
        <v>46326</v>
      </c>
      <c r="M130" s="123">
        <f>IF(L130="","",TEXT(L130,"ddd"))</f>
        <v/>
      </c>
      <c r="N130" s="124" t="n"/>
      <c r="O130" s="124" t="n">
        <v>44</v>
      </c>
      <c r="P130" s="124" t="inlineStr">
        <is>
          <t>Why She Talks to Herself by Name #shorts</t>
        </is>
      </c>
      <c r="Q130" s="124" t="inlineStr">
        <is>
          <t>Kross, Bruehlman-Senecal, Park, Burson, Dougherty, Shablack, Bremner, Moser &amp; Ayduk 2014 JPSP 'Self-talk as a regulatory mechanism': Study 3, 89 students, 5-min speech prep; name/non-first-person group rated better by blind coders (p=.022), less shame and rumination; Study 4 less anticipatory anxiety — rascl.studentorg.berkeley.edu PDF, lsa.umich.edu 2014 news</t>
        </is>
      </c>
      <c r="R130" s="124" t="inlineStr">
        <is>
          <t>buffer:youtube=6ae5091aeaa24d6f9a3d317f;instagram=6ae5091bb84259308ba072ea;tiktok=6ae5091bfc1ac02b6edf3c63</t>
        </is>
      </c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tedmg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Scripted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inlineStr">
        <is>
          <t>character story + numbered facts: Dev says nobody tells him what to choose</t>
        </is>
      </c>
      <c r="O131" s="124" t="n"/>
      <c r="P131" s="124" t="n"/>
      <c r="Q131" s="124" t="inlineStr">
        <is>
          <t>Johnson &amp; Goldstein 2003 Science: online n=161, opt-in 42% / opt-out 82% / neutral 79% (journalofethics.ama-assn.org 2005-09); Iyengar &amp; Lepper 2000 jams 24 vs 6: ~3% vs ~30% of stoppers bought, Scheibehenne et al. 2010 meta-analysis ~zero average (said in script); Huber, Payne &amp; Puto 1982 decoy, qualitative only</t>
        </is>
      </c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tedmg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Scripted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inlineStr">
        <is>
          <t>surprising claim: ONE letter made people happier for a month; Omar + Grace story</t>
        </is>
      </c>
      <c r="O132" s="124" t="n"/>
      <c r="P132" s="124" t="n"/>
      <c r="Q132" s="124" t="inlineStr">
        <is>
          <t>Seligman, Steen, Park &amp; Peterson 2005 Am Psychol 'Positive Psychology Progress': gratitude visit gave the greatest happiness benefit at one month, back to baseline by six months (Greater Good Science Center summary ggia.berkeley.edu/practice/gratitude_letter). No sample-size numbers used.</t>
        </is>
      </c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Scripted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inlineStr">
        <is>
          <t>character story: Otto has sat next to Arthur for TEN years</t>
        </is>
      </c>
      <c r="O133" s="124" t="n"/>
      <c r="P133" s="124" t="n"/>
      <c r="Q133" s="124" t="inlineStr">
        <is>
          <t>Aron, Melinat, Aron, Vallone &amp; Bator 1997 PSPB abstract: 45-min escalating self-disclosure tasks gave greater post-interaction closeness than small-talk tasks (stafforini.com PDF abstract); 36 questions in three sets of 12 (ggia.berkeley.edu). No closeness numbers used.</t>
        </is>
      </c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retro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Scripted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inlineStr">
        <is>
          <t>character story: Rosa must keep Milo and June LOCKED in</t>
        </is>
      </c>
      <c r="O134" s="124" t="n"/>
      <c r="P134" s="124" t="n"/>
      <c r="Q134" s="124" t="inlineStr">
        <is>
          <t>Japanese embassy hostage crisis (Wikipedia): began 17 Dec 1996, 600+ hostages, releases of 38/255/20 in the first 11 days, 72 held to 22 Apr 1997; Healthline: term named for captors growing sympathetic, research scarce. Script says one case, not lab studies.</t>
        </is>
      </c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tedmg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Scripted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inlineStr">
        <is>
          <t>question to viewer: do you always hunt for the BEST option? Sam vs Leo</t>
        </is>
      </c>
      <c r="O135" s="124" t="n"/>
      <c r="P135" s="124" t="n"/>
      <c r="Q135" s="124" t="inlineStr">
        <is>
          <t>Schwartz, Ward, Monterosso, Lyubomirsky, White &amp; Lehman 2002 JPSP (works.swarthmore.edu/fac-psychology/101): maximizers report less happiness, optimism, self-esteem, life satisfaction; more depression, perfectionism, regret. Correlational; no numbers used.</t>
        </is>
      </c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Scripted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inlineStr">
        <is>
          <t>surprising claim: same speech, only the PITCH changed; Priya + Grace</t>
        </is>
      </c>
      <c r="O136" s="124" t="n"/>
      <c r="P136" s="124" t="n"/>
      <c r="Q136" s="124" t="inlineStr">
        <is>
          <t>Klofstad, Anderson &amp; Peters 2012 Proc R Soc B (Duke Today 2012-03, ScienceDaily 2012-03-13): pitch-edited 'I urge you to vote for me this November'; men and women chose lower-pitched male and female candidates; lower female voices rated stronger/more competent/trustworthy by both sexes, lower male voices stronger/more competent by men. No % reported, none used; lab-only caveat in script.</t>
        </is>
      </c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Scripted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inlineStr">
        <is>
          <t>character story: Nia spent six hours building a SHELF</t>
        </is>
      </c>
      <c r="O137" s="124" t="n"/>
      <c r="P137" s="124" t="n"/>
      <c r="Q137" s="124" t="inlineStr">
        <is>
          <t>Norton, Mochon &amp; Ariely (HBS WP 2011; J Consumer Psychol 2012): IKEA box builders paid 63% more than for pre-assembled (Wikipedia IKEA effect; coglode); completion required for the effect (Colby CogBlog).</t>
        </is>
      </c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tedmg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Published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Published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Published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  <row r="141">
      <c r="A141" s="123" t="n">
        <v>136</v>
      </c>
      <c r="B141" s="123" t="inlineStr">
        <is>
          <t>Character story</t>
        </is>
      </c>
      <c r="C141" s="123" t="inlineStr">
        <is>
          <t>Arthur &amp; the Critic: one criticism beats ten compliments (negativity bias)</t>
        </is>
      </c>
      <c r="D141" s="123" t="inlineStr">
        <is>
          <t>Arthur got ten compliments today. And one criticism.</t>
        </is>
      </c>
      <c r="E141" s="123" t="inlineStr">
        <is>
          <t>Negativity bias: bad is stronger than good (Baumeister et al. 2001; Rozin &amp; Royzman 2001); the Critic is an old alarm</t>
        </is>
      </c>
      <c r="F141" s="123" t="n"/>
      <c r="G141" s="123" t="n"/>
      <c r="H141" s="123" t="inlineStr">
        <is>
          <t>Published</t>
        </is>
      </c>
      <c r="I141" s="124" t="n">
        <v>0</v>
      </c>
      <c r="J141" s="124" t="n"/>
      <c r="K141" s="124" t="inlineStr">
        <is>
          <t>arthur-the-critic</t>
        </is>
      </c>
      <c r="L141" s="125" t="n">
        <v>46321</v>
      </c>
      <c r="M141" s="123">
        <f>IF(L141="","",TEXT(L141,"ddd"))</f>
        <v/>
      </c>
      <c r="N141" s="124" t="n"/>
      <c r="O141" s="124" t="n">
        <v>30</v>
      </c>
      <c r="P141" s="124" t="inlineStr">
        <is>
          <t>Why One Insult Beats Ten Compliments #shorts</t>
        </is>
      </c>
      <c r="Q141" s="124" t="inlineStr">
        <is>
          <t>Baumeister, Bratslavsky, Finkenauer &amp; Vohs 2001 (Rev Gen Psych); Rozin &amp; Royzman 2001 (PSPR)</t>
        </is>
      </c>
      <c r="R141" s="124" t="inlineStr">
        <is>
          <t>buffer:youtube=6adfbc87ca308c8a23248624;instagram=6adfbc883ffda7dd058ff2ba;tiktok=6adfbc883ffda7dd058ff2ef</t>
        </is>
      </c>
      <c r="S141" s="126" t="n"/>
      <c r="T141" s="124" t="n"/>
      <c r="U141" s="127">
        <f>IF(OR(T141="",N(O141)=0),"",T141/O141)</f>
        <v/>
      </c>
      <c r="V141" s="124" t="n"/>
      <c r="W141" s="124" t="n"/>
      <c r="X141" s="124" t="n"/>
      <c r="Y141" s="126" t="n"/>
      <c r="Z141" s="124" t="n"/>
      <c r="AA141" s="126" t="n"/>
      <c r="AB141" s="124" t="n"/>
      <c r="AC141" s="128">
        <f>IF(COUNT(S141,Y141,AA141)=0,"",SUM(S141,Y141,AA141))</f>
        <v/>
      </c>
      <c r="AD141" s="127">
        <f>IF(N(AC141)=0,"",SUM(V141,W141,X141,Z141,AB141)/AC141)</f>
        <v/>
      </c>
      <c r="AE141" s="126" t="n"/>
      <c r="AF141" s="126" t="n"/>
      <c r="AG141" s="126" t="n"/>
      <c r="AH141" s="128">
        <f>IF(COUNT(AE141,AF141,AG141)=0,"",SUM(AE141,AF141,AG141))</f>
        <v/>
      </c>
      <c r="AI141" s="126" t="n"/>
      <c r="AJ141" s="126" t="n"/>
      <c r="AK141" s="126" t="n"/>
      <c r="AL141" s="128">
        <f>IF(COUNT(AI141,AJ141,AK141)=0,"",SUM(AI141,AJ141,AK141))</f>
        <v/>
      </c>
      <c r="AM141" s="123">
        <f>IF(N(AC141)=0,"",IF(COUNT($AC$6:$AC$105)&lt;5,"Too early",IF(AC141&gt;=1.5*MEDIAN($AC$6:$AC$105),"Top",IF(AC141&lt;=0.5*MEDIAN($AC$6:$AC$105),"Low","Average"))))</f>
        <v/>
      </c>
      <c r="AN141" s="124" t="n"/>
      <c r="AO141" s="124" t="inlineStr">
        <is>
          <t>retro</t>
        </is>
      </c>
      <c r="AP141" s="129" t="n"/>
      <c r="AQ141" s="129" t="n"/>
      <c r="AR141" s="129" t="n"/>
      <c r="AS141" s="129" t="n"/>
      <c r="AT141" s="129" t="n"/>
      <c r="AU141" s="129" t="n"/>
      <c r="AV141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1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1" showDropDown="0" showInputMessage="0" showErrorMessage="0" allowBlank="1" type="list" errorStyle="stop" operator="between">
      <formula1>"Strong,Weak"</formula1>
      <formula2>0</formula2>
    </dataValidation>
    <dataValidation sqref="AO6:AO141" showDropDown="0" showInputMessage="0" showErrorMessage="0" allowBlank="1" type="list" errorStyle="stop" operator="between">
      <formula1>Looks!$A$5:$A$21</formula1>
      <formula2>0</formula2>
    </dataValidation>
    <dataValidation sqref="AP6:AP141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2026-10-31T15:14:03Z</dcterms:modified>
  <cp:revision>0</cp:revision>
</cp:coreProperties>
</file>