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orts idea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9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FF30303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N105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Idea</t>
        </is>
      </c>
      <c r="I7" s="10" t="n">
        <v>11</v>
      </c>
      <c r="J7" s="10" t="inlineStr">
        <is>
          <t>Strong</t>
        </is>
      </c>
      <c r="K7" s="10" t="n"/>
      <c r="L7" s="11" t="n"/>
      <c r="M7" s="5">
        <f>IF(L7="","",TEXT(L7,"ddd"))</f>
        <v/>
      </c>
      <c r="N7" s="10" t="n"/>
      <c r="O7" s="10" t="n"/>
      <c r="P7" s="10" t="n"/>
      <c r="Q7" s="10" t="n"/>
      <c r="R7" s="10" t="n"/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n"/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Idea</t>
        </is>
      </c>
      <c r="I8" s="10" t="n">
        <v>21</v>
      </c>
      <c r="J8" s="10" t="inlineStr">
        <is>
          <t>Strong</t>
        </is>
      </c>
      <c r="K8" s="10" t="n"/>
      <c r="L8" s="11" t="n"/>
      <c r="M8" s="5">
        <f>IF(L8="","",TEXT(L8,"ddd"))</f>
        <v/>
      </c>
      <c r="N8" s="10" t="n"/>
      <c r="O8" s="10" t="n"/>
      <c r="P8" s="10" t="n"/>
      <c r="Q8" s="10" t="n"/>
      <c r="R8" s="10" t="n"/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Idea</t>
        </is>
      </c>
      <c r="I9" s="10" t="n">
        <v>30</v>
      </c>
      <c r="J9" s="10" t="inlineStr">
        <is>
          <t>Strong</t>
        </is>
      </c>
      <c r="K9" s="10" t="n"/>
      <c r="L9" s="11" t="n"/>
      <c r="M9" s="5">
        <f>IF(L9="","",TEXT(L9,"ddd"))</f>
        <v/>
      </c>
      <c r="N9" s="10" t="n"/>
      <c r="O9" s="10" t="n"/>
      <c r="P9" s="10" t="n"/>
      <c r="Q9" s="10" t="n"/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Idea</t>
        </is>
      </c>
      <c r="I10" s="10" t="n">
        <v>38</v>
      </c>
      <c r="J10" s="10" t="inlineStr">
        <is>
          <t>Strong</t>
        </is>
      </c>
      <c r="K10" s="10" t="n"/>
      <c r="L10" s="11" t="n"/>
      <c r="M10" s="5">
        <f>IF(L10="","",TEXT(L10,"ddd"))</f>
        <v/>
      </c>
      <c r="N10" s="10" t="n"/>
      <c r="O10" s="10" t="n"/>
      <c r="P10" s="10" t="n"/>
      <c r="Q10" s="10" t="n"/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Idea</t>
        </is>
      </c>
      <c r="I17" s="10" t="n">
        <v>12</v>
      </c>
      <c r="J17" s="10" t="inlineStr">
        <is>
          <t>Strong</t>
        </is>
      </c>
      <c r="K17" s="10" t="n"/>
      <c r="L17" s="11" t="n"/>
      <c r="M17" s="5">
        <f>IF(L17="","",TEXT(L17,"ddd"))</f>
        <v/>
      </c>
      <c r="N17" s="10" t="n"/>
      <c r="O17" s="10" t="n"/>
      <c r="P17" s="10" t="n"/>
      <c r="Q17" s="10" t="n"/>
      <c r="R17" s="10" t="n"/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n"/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Idea</t>
        </is>
      </c>
      <c r="I18" s="10" t="n">
        <v>22</v>
      </c>
      <c r="J18" s="10" t="inlineStr">
        <is>
          <t>Strong</t>
        </is>
      </c>
      <c r="K18" s="10" t="n"/>
      <c r="L18" s="11" t="n"/>
      <c r="M18" s="5">
        <f>IF(L18="","",TEXT(L18,"ddd"))</f>
        <v/>
      </c>
      <c r="N18" s="10" t="n"/>
      <c r="O18" s="10" t="n"/>
      <c r="P18" s="10" t="n"/>
      <c r="Q18" s="10" t="n"/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Idea</t>
        </is>
      </c>
      <c r="I19" s="10" t="n">
        <v>31</v>
      </c>
      <c r="J19" s="10" t="inlineStr">
        <is>
          <t>Strong</t>
        </is>
      </c>
      <c r="K19" s="10" t="n"/>
      <c r="L19" s="11" t="n"/>
      <c r="M19" s="5">
        <f>IF(L19="","",TEXT(L19,"ddd"))</f>
        <v/>
      </c>
      <c r="N19" s="10" t="n"/>
      <c r="O19" s="10" t="n"/>
      <c r="P19" s="10" t="n"/>
      <c r="Q19" s="10" t="n"/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Idea</t>
        </is>
      </c>
      <c r="I20" s="10" t="n">
        <v>39</v>
      </c>
      <c r="J20" s="10" t="inlineStr">
        <is>
          <t>Strong</t>
        </is>
      </c>
      <c r="K20" s="10" t="n"/>
      <c r="L20" s="11" t="n"/>
      <c r="M20" s="5">
        <f>IF(L20="","",TEXT(L20,"ddd"))</f>
        <v/>
      </c>
      <c r="N20" s="10" t="n"/>
      <c r="O20" s="10" t="n"/>
      <c r="P20" s="10" t="n"/>
      <c r="Q20" s="10" t="n"/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Idea</t>
        </is>
      </c>
      <c r="I26" s="10" t="n">
        <v>72</v>
      </c>
      <c r="J26" s="10" t="inlineStr">
        <is>
          <t>Weak</t>
        </is>
      </c>
      <c r="K26" s="10" t="n"/>
      <c r="L26" s="11" t="n"/>
      <c r="M26" s="5">
        <f>IF(L26="","",TEXT(L26,"ddd"))</f>
        <v/>
      </c>
      <c r="N26" s="10" t="n"/>
      <c r="O26" s="10" t="n"/>
      <c r="P26" s="10" t="n"/>
      <c r="Q26" s="10" t="n"/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n"/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Idea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/>
      <c r="M27" s="5">
        <f>IF(L27="","",TEXT(L27,"ddd"))</f>
        <v/>
      </c>
      <c r="N27" s="10" t="n"/>
      <c r="O27" s="10" t="n"/>
      <c r="P27" s="10" t="n"/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n"/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inlineStr">
        <is>
          <t>2026-10-12: script.json written and verified; build blocked (run could not execute repo build scripts), not scheduled. Status left at Idea so the next run builds it.</t>
        </is>
      </c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Idea</t>
        </is>
      </c>
      <c r="I29" s="10" t="n">
        <v>13</v>
      </c>
      <c r="J29" s="10" t="inlineStr">
        <is>
          <t>Strong</t>
        </is>
      </c>
      <c r="K29" s="10" t="n"/>
      <c r="L29" s="11" t="n"/>
      <c r="M29" s="5">
        <f>IF(L29="","",TEXT(L29,"ddd"))</f>
        <v/>
      </c>
      <c r="N29" s="10" t="n"/>
      <c r="O29" s="10" t="n"/>
      <c r="P29" s="10" t="n"/>
      <c r="Q29" s="10" t="n"/>
      <c r="R29" s="10" t="n"/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n"/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Idea</t>
        </is>
      </c>
      <c r="I30" s="10" t="n">
        <v>23</v>
      </c>
      <c r="J30" s="10" t="inlineStr">
        <is>
          <t>Strong</t>
        </is>
      </c>
      <c r="K30" s="10" t="n"/>
      <c r="L30" s="11" t="n"/>
      <c r="M30" s="5">
        <f>IF(L30="","",TEXT(L30,"ddd"))</f>
        <v/>
      </c>
      <c r="N30" s="10" t="n"/>
      <c r="O30" s="10" t="n"/>
      <c r="P30" s="10" t="n"/>
      <c r="Q30" s="10" t="n"/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Idea</t>
        </is>
      </c>
      <c r="I37" s="10" t="n">
        <v>4</v>
      </c>
      <c r="J37" s="10" t="inlineStr">
        <is>
          <t>Strong</t>
        </is>
      </c>
      <c r="K37" s="10" t="n"/>
      <c r="L37" s="11" t="n"/>
      <c r="M37" s="5">
        <f>IF(L37="","",TEXT(L37,"ddd"))</f>
        <v/>
      </c>
      <c r="N37" s="10" t="n"/>
      <c r="O37" s="10" t="n"/>
      <c r="P37" s="10" t="n"/>
      <c r="Q37" s="10" t="n"/>
      <c r="R37" s="10" t="n"/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Idea</t>
        </is>
      </c>
      <c r="I40" s="10" t="n">
        <v>14</v>
      </c>
      <c r="J40" s="10" t="inlineStr">
        <is>
          <t>Strong</t>
        </is>
      </c>
      <c r="K40" s="10" t="n"/>
      <c r="L40" s="11" t="n"/>
      <c r="M40" s="5">
        <f>IF(L40="","",TEXT(L40,"ddd"))</f>
        <v/>
      </c>
      <c r="N40" s="10" t="n"/>
      <c r="O40" s="10" t="n"/>
      <c r="P40" s="10" t="n"/>
      <c r="Q40" s="10" t="n"/>
      <c r="R40" s="10" t="n"/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Idea</t>
        </is>
      </c>
      <c r="I41" s="10" t="n">
        <v>24</v>
      </c>
      <c r="J41" s="10" t="inlineStr">
        <is>
          <t>Strong</t>
        </is>
      </c>
      <c r="K41" s="10" t="n"/>
      <c r="L41" s="11" t="n"/>
      <c r="M41" s="5">
        <f>IF(L41="","",TEXT(L41,"ddd"))</f>
        <v/>
      </c>
      <c r="N41" s="10" t="n"/>
      <c r="O41" s="10" t="n"/>
      <c r="P41" s="10" t="n"/>
      <c r="Q41" s="10" t="n"/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Idea</t>
        </is>
      </c>
      <c r="I42" s="10" t="n">
        <v>33</v>
      </c>
      <c r="J42" s="10" t="inlineStr">
        <is>
          <t>Strong</t>
        </is>
      </c>
      <c r="K42" s="10" t="n"/>
      <c r="L42" s="11" t="n"/>
      <c r="M42" s="5">
        <f>IF(L42="","",TEXT(L42,"ddd"))</f>
        <v/>
      </c>
      <c r="N42" s="10" t="n"/>
      <c r="O42" s="10" t="n"/>
      <c r="P42" s="10" t="n"/>
      <c r="Q42" s="10" t="n"/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Idea</t>
        </is>
      </c>
      <c r="I47" s="10" t="n">
        <v>5</v>
      </c>
      <c r="J47" s="10" t="inlineStr">
        <is>
          <t>Strong</t>
        </is>
      </c>
      <c r="K47" s="10" t="n"/>
      <c r="L47" s="11" t="n"/>
      <c r="M47" s="5">
        <f>IF(L47="","",TEXT(L47,"ddd"))</f>
        <v/>
      </c>
      <c r="N47" s="10" t="n"/>
      <c r="O47" s="10" t="n"/>
      <c r="P47" s="10" t="n"/>
      <c r="Q47" s="10" t="n"/>
      <c r="R47" s="10" t="n"/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Idea</t>
        </is>
      </c>
      <c r="I48" s="10" t="n">
        <v>15</v>
      </c>
      <c r="J48" s="10" t="inlineStr">
        <is>
          <t>Strong</t>
        </is>
      </c>
      <c r="K48" s="10" t="n"/>
      <c r="L48" s="11" t="n"/>
      <c r="M48" s="5">
        <f>IF(L48="","",TEXT(L48,"ddd"))</f>
        <v/>
      </c>
      <c r="N48" s="10" t="n"/>
      <c r="O48" s="10" t="n"/>
      <c r="P48" s="10" t="n"/>
      <c r="Q48" s="10" t="n"/>
      <c r="R48" s="10" t="n"/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Idea</t>
        </is>
      </c>
      <c r="I52" s="10" t="n">
        <v>25</v>
      </c>
      <c r="J52" s="10" t="inlineStr">
        <is>
          <t>Strong</t>
        </is>
      </c>
      <c r="K52" s="10" t="n"/>
      <c r="L52" s="11" t="n"/>
      <c r="M52" s="5">
        <f>IF(L52="","",TEXT(L52,"ddd"))</f>
        <v/>
      </c>
      <c r="N52" s="10" t="n"/>
      <c r="O52" s="10" t="n"/>
      <c r="P52" s="10" t="n"/>
      <c r="Q52" s="10" t="n"/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Idea</t>
        </is>
      </c>
      <c r="I63" s="10" t="n">
        <v>6</v>
      </c>
      <c r="J63" s="10" t="inlineStr">
        <is>
          <t>Strong</t>
        </is>
      </c>
      <c r="K63" s="10" t="n"/>
      <c r="L63" s="11" t="n"/>
      <c r="M63" s="5">
        <f>IF(L63="","",TEXT(L63,"ddd"))</f>
        <v/>
      </c>
      <c r="N63" s="10" t="n"/>
      <c r="O63" s="10" t="n"/>
      <c r="P63" s="10" t="n"/>
      <c r="Q63" s="10" t="n"/>
      <c r="R63" s="10" t="n"/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Idea</t>
        </is>
      </c>
      <c r="I64" s="10" t="n">
        <v>16</v>
      </c>
      <c r="J64" s="10" t="inlineStr">
        <is>
          <t>Strong</t>
        </is>
      </c>
      <c r="K64" s="10" t="n"/>
      <c r="L64" s="11" t="n"/>
      <c r="M64" s="5">
        <f>IF(L64="","",TEXT(L64,"ddd"))</f>
        <v/>
      </c>
      <c r="N64" s="10" t="n"/>
      <c r="O64" s="10" t="n"/>
      <c r="P64" s="10" t="n"/>
      <c r="Q64" s="10" t="n"/>
      <c r="R64" s="10" t="n"/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Idea</t>
        </is>
      </c>
      <c r="I66" s="10" t="n">
        <v>7</v>
      </c>
      <c r="J66" s="10" t="inlineStr">
        <is>
          <t>Strong</t>
        </is>
      </c>
      <c r="K66" s="10" t="n"/>
      <c r="L66" s="11" t="n"/>
      <c r="M66" s="5">
        <f>IF(L66="","",TEXT(L66,"ddd"))</f>
        <v/>
      </c>
      <c r="N66" s="10" t="n"/>
      <c r="O66" s="10" t="n"/>
      <c r="P66" s="10" t="n"/>
      <c r="Q66" s="10" t="n"/>
      <c r="R66" s="10" t="n"/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Idea</t>
        </is>
      </c>
      <c r="I67" s="10" t="n">
        <v>17</v>
      </c>
      <c r="J67" s="10" t="inlineStr">
        <is>
          <t>Strong</t>
        </is>
      </c>
      <c r="K67" s="10" t="n"/>
      <c r="L67" s="11" t="n"/>
      <c r="M67" s="5">
        <f>IF(L67="","",TEXT(L67,"ddd"))</f>
        <v/>
      </c>
      <c r="N67" s="10" t="n"/>
      <c r="O67" s="10" t="n"/>
      <c r="P67" s="10" t="n"/>
      <c r="Q67" s="10" t="n"/>
      <c r="R67" s="10" t="n"/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Idea</t>
        </is>
      </c>
      <c r="I68" s="10" t="n">
        <v>26</v>
      </c>
      <c r="J68" s="10" t="inlineStr">
        <is>
          <t>Strong</t>
        </is>
      </c>
      <c r="K68" s="10" t="n"/>
      <c r="L68" s="11" t="n"/>
      <c r="M68" s="5">
        <f>IF(L68="","",TEXT(L68,"ddd"))</f>
        <v/>
      </c>
      <c r="N68" s="10" t="n"/>
      <c r="O68" s="10" t="n"/>
      <c r="P68" s="10" t="n"/>
      <c r="Q68" s="10" t="n"/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Idea</t>
        </is>
      </c>
      <c r="I69" s="10" t="n">
        <v>34</v>
      </c>
      <c r="J69" s="10" t="inlineStr">
        <is>
          <t>Strong</t>
        </is>
      </c>
      <c r="K69" s="10" t="n"/>
      <c r="L69" s="11" t="n"/>
      <c r="M69" s="5">
        <f>IF(L69="","",TEXT(L69,"ddd"))</f>
        <v/>
      </c>
      <c r="N69" s="10" t="n"/>
      <c r="O69" s="10" t="n"/>
      <c r="P69" s="10" t="n"/>
      <c r="Q69" s="10" t="n"/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Idea</t>
        </is>
      </c>
      <c r="I70" s="10" t="n">
        <v>41</v>
      </c>
      <c r="J70" s="10" t="inlineStr">
        <is>
          <t>Strong</t>
        </is>
      </c>
      <c r="K70" s="10" t="n"/>
      <c r="L70" s="11" t="n"/>
      <c r="M70" s="5">
        <f>IF(L70="","",TEXT(L70,"ddd"))</f>
        <v/>
      </c>
      <c r="N70" s="10" t="n"/>
      <c r="O70" s="10" t="n"/>
      <c r="P70" s="10" t="n"/>
      <c r="Q70" s="10" t="n"/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Idea</t>
        </is>
      </c>
      <c r="I76" s="10" t="n">
        <v>8</v>
      </c>
      <c r="J76" s="10" t="inlineStr">
        <is>
          <t>Strong</t>
        </is>
      </c>
      <c r="K76" s="10" t="n"/>
      <c r="L76" s="11" t="n"/>
      <c r="M76" s="5">
        <f>IF(L76="","",TEXT(L76,"ddd"))</f>
        <v/>
      </c>
      <c r="N76" s="10" t="n"/>
      <c r="O76" s="10" t="n"/>
      <c r="P76" s="10" t="n"/>
      <c r="Q76" s="10" t="n"/>
      <c r="R76" s="10" t="n"/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Idea</t>
        </is>
      </c>
      <c r="I77" s="10" t="n">
        <v>18</v>
      </c>
      <c r="J77" s="10" t="inlineStr">
        <is>
          <t>Strong</t>
        </is>
      </c>
      <c r="K77" s="10" t="n"/>
      <c r="L77" s="11" t="n"/>
      <c r="M77" s="5">
        <f>IF(L77="","",TEXT(L77,"ddd"))</f>
        <v/>
      </c>
      <c r="N77" s="10" t="n"/>
      <c r="O77" s="10" t="n"/>
      <c r="P77" s="10" t="n"/>
      <c r="Q77" s="10" t="n"/>
      <c r="R77" s="10" t="n"/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Idea</t>
        </is>
      </c>
      <c r="I78" s="10" t="n">
        <v>27</v>
      </c>
      <c r="J78" s="10" t="inlineStr">
        <is>
          <t>Strong</t>
        </is>
      </c>
      <c r="K78" s="10" t="n"/>
      <c r="L78" s="11" t="n"/>
      <c r="M78" s="5">
        <f>IF(L78="","",TEXT(L78,"ddd"))</f>
        <v/>
      </c>
      <c r="N78" s="10" t="n"/>
      <c r="O78" s="10" t="n"/>
      <c r="P78" s="10" t="n"/>
      <c r="Q78" s="10" t="n"/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Idea</t>
        </is>
      </c>
      <c r="I87" s="10" t="n">
        <v>9</v>
      </c>
      <c r="J87" s="10" t="inlineStr">
        <is>
          <t>Strong</t>
        </is>
      </c>
      <c r="K87" s="10" t="n"/>
      <c r="L87" s="11" t="n"/>
      <c r="M87" s="5">
        <f>IF(L87="","",TEXT(L87,"ddd"))</f>
        <v/>
      </c>
      <c r="N87" s="10" t="n"/>
      <c r="O87" s="10" t="n"/>
      <c r="P87" s="10" t="n"/>
      <c r="Q87" s="10" t="n"/>
      <c r="R87" s="10" t="n"/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Idea</t>
        </is>
      </c>
      <c r="I88" s="10" t="n">
        <v>19</v>
      </c>
      <c r="J88" s="10" t="inlineStr">
        <is>
          <t>Strong</t>
        </is>
      </c>
      <c r="K88" s="10" t="n"/>
      <c r="L88" s="11" t="n"/>
      <c r="M88" s="5">
        <f>IF(L88="","",TEXT(L88,"ddd"))</f>
        <v/>
      </c>
      <c r="N88" s="10" t="n"/>
      <c r="O88" s="10" t="n"/>
      <c r="P88" s="10" t="n"/>
      <c r="Q88" s="10" t="n"/>
      <c r="R88" s="10" t="n"/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Idea</t>
        </is>
      </c>
      <c r="I89" s="10" t="n">
        <v>28</v>
      </c>
      <c r="J89" s="10" t="inlineStr">
        <is>
          <t>Strong</t>
        </is>
      </c>
      <c r="K89" s="10" t="n"/>
      <c r="L89" s="11" t="n"/>
      <c r="M89" s="5">
        <f>IF(L89="","",TEXT(L89,"ddd"))</f>
        <v/>
      </c>
      <c r="N89" s="10" t="n"/>
      <c r="O89" s="10" t="n"/>
      <c r="P89" s="10" t="n"/>
      <c r="Q89" s="10" t="n"/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Idea</t>
        </is>
      </c>
      <c r="I90" s="10" t="n">
        <v>36</v>
      </c>
      <c r="J90" s="10" t="inlineStr">
        <is>
          <t>Strong</t>
        </is>
      </c>
      <c r="K90" s="10" t="n"/>
      <c r="L90" s="11" t="n"/>
      <c r="M90" s="5">
        <f>IF(L90="","",TEXT(L90,"ddd"))</f>
        <v/>
      </c>
      <c r="N90" s="10" t="n"/>
      <c r="O90" s="10" t="n"/>
      <c r="P90" s="10" t="n"/>
      <c r="Q90" s="10" t="n"/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Idea</t>
        </is>
      </c>
      <c r="I91" s="10" t="n">
        <v>43</v>
      </c>
      <c r="J91" s="10" t="inlineStr">
        <is>
          <t>Strong</t>
        </is>
      </c>
      <c r="K91" s="10" t="n"/>
      <c r="L91" s="11" t="n"/>
      <c r="M91" s="5">
        <f>IF(L91="","",TEXT(L91,"ddd"))</f>
        <v/>
      </c>
      <c r="N91" s="10" t="n"/>
      <c r="O91" s="10" t="n"/>
      <c r="P91" s="10" t="n"/>
      <c r="Q91" s="10" t="n"/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Idea</t>
        </is>
      </c>
      <c r="I96" s="10" t="n">
        <v>10</v>
      </c>
      <c r="J96" s="10" t="inlineStr">
        <is>
          <t>Strong</t>
        </is>
      </c>
      <c r="K96" s="10" t="n"/>
      <c r="L96" s="11" t="n"/>
      <c r="M96" s="5">
        <f>IF(L96="","",TEXT(L96,"ddd"))</f>
        <v/>
      </c>
      <c r="N96" s="10" t="n"/>
      <c r="O96" s="10" t="n"/>
      <c r="P96" s="10" t="n"/>
      <c r="Q96" s="10" t="n"/>
      <c r="R96" s="10" t="n"/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n"/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Idea</t>
        </is>
      </c>
      <c r="I97" s="10" t="n">
        <v>20</v>
      </c>
      <c r="J97" s="10" t="inlineStr">
        <is>
          <t>Strong</t>
        </is>
      </c>
      <c r="K97" s="10" t="n"/>
      <c r="L97" s="11" t="n"/>
      <c r="M97" s="5">
        <f>IF(L97="","",TEXT(L97,"ddd"))</f>
        <v/>
      </c>
      <c r="N97" s="10" t="n"/>
      <c r="O97" s="10" t="n"/>
      <c r="P97" s="10" t="n"/>
      <c r="Q97" s="10" t="n"/>
      <c r="R97" s="10" t="n"/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Idea</t>
        </is>
      </c>
      <c r="I98" s="10" t="n">
        <v>29</v>
      </c>
      <c r="J98" s="10" t="inlineStr">
        <is>
          <t>Strong</t>
        </is>
      </c>
      <c r="K98" s="10" t="n"/>
      <c r="L98" s="11" t="n"/>
      <c r="M98" s="5">
        <f>IF(L98="","",TEXT(L98,"ddd"))</f>
        <v/>
      </c>
      <c r="N98" s="10" t="n"/>
      <c r="O98" s="10" t="n"/>
      <c r="P98" s="10" t="n"/>
      <c r="Q98" s="10" t="n"/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Idea</t>
        </is>
      </c>
      <c r="I99" s="10" t="n">
        <v>37</v>
      </c>
      <c r="J99" s="10" t="inlineStr">
        <is>
          <t>Strong</t>
        </is>
      </c>
      <c r="K99" s="10" t="n"/>
      <c r="L99" s="11" t="n"/>
      <c r="M99" s="5">
        <f>IF(L99="","",TEXT(L99,"ddd"))</f>
        <v/>
      </c>
      <c r="N99" s="10" t="n"/>
      <c r="O99" s="10" t="n"/>
      <c r="P99" s="10" t="n"/>
      <c r="Q99" s="10" t="n"/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2">
    <dataValidation sqref="H6:H105" showDropDown="0" showInputMessage="0" showErrorMessage="0" allowBlank="1" type="list">
      <formula1>"Idea,Researching,Scripted,Scheduled,Published,Vetoed,Failed,Filming,Editing"</formula1>
    </dataValidation>
    <dataValidation sqref="J6:J105" showDropDown="0" showInputMessage="0" showErrorMessage="0" allowBlank="1" type="list">
      <formula1>"Strong,Weak"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ideas'!$B$6:$B$105,$A5,'Shorts ideas'!$H$6:$H$105,"Published")</f>
        <v/>
      </c>
      <c r="C5" s="17">
        <f>IFERROR(AVERAGEIFS('Shorts ideas'!$AC$6:$AC$105,'Shorts ideas'!$B$6:$B$105,$A5,'Shorts ideas'!$AC$6:$AC$105,"&gt;0"),"")</f>
        <v/>
      </c>
      <c r="D5" s="18">
        <f>IFERROR(AVERAGEIFS('Shorts ideas'!$U$6:$U$105,'Shorts ideas'!$B$6:$B$105,$A5,'Shorts ideas'!$U$6:$U$105,"&gt;0"),"")</f>
        <v/>
      </c>
      <c r="E5" s="18">
        <f>IFERROR(AVERAGEIFS('Shorts ideas'!$AD$6:$AD$105,'Shorts ideas'!$B$6:$B$105,$A5,'Shorts ideas'!$AD$6:$AD$105,"&gt;0"),"")</f>
        <v/>
      </c>
      <c r="F5" s="17">
        <f>IFERROR(AVERAGEIFS('Shorts ideas'!$AL$6:$AL$105,'Shorts ideas'!$B$6:$B$105,$A5,'Shorts ideas'!$AL$6:$AL$105,"&gt;0"),"")</f>
        <v/>
      </c>
    </row>
    <row r="6">
      <c r="A6" s="16" t="inlineStr">
        <is>
          <t>Memory and learning</t>
        </is>
      </c>
      <c r="B6" s="16">
        <f>COUNTIFS('Shorts ideas'!$B$6:$B$105,$A6,'Shorts ideas'!$H$6:$H$105,"Published")</f>
        <v/>
      </c>
      <c r="C6" s="17">
        <f>IFERROR(AVERAGEIFS('Shorts ideas'!$AC$6:$AC$105,'Shorts ideas'!$B$6:$B$105,$A6,'Shorts ideas'!$AC$6:$AC$105,"&gt;0"),"")</f>
        <v/>
      </c>
      <c r="D6" s="18">
        <f>IFERROR(AVERAGEIFS('Shorts ideas'!$U$6:$U$105,'Shorts ideas'!$B$6:$B$105,$A6,'Shorts ideas'!$U$6:$U$105,"&gt;0"),"")</f>
        <v/>
      </c>
      <c r="E6" s="18">
        <f>IFERROR(AVERAGEIFS('Shorts ideas'!$AD$6:$AD$105,'Shorts ideas'!$B$6:$B$105,$A6,'Shorts ideas'!$AD$6:$AD$105,"&gt;0"),"")</f>
        <v/>
      </c>
      <c r="F6" s="17">
        <f>IFERROR(AVERAGEIFS('Shorts ideas'!$AL$6:$AL$105,'Shorts ideas'!$B$6:$B$105,$A6,'Shorts ideas'!$AL$6:$AL$105,"&gt;0"),"")</f>
        <v/>
      </c>
    </row>
    <row r="7">
      <c r="A7" s="16" t="inlineStr">
        <is>
          <t>Attention and perception</t>
        </is>
      </c>
      <c r="B7" s="16">
        <f>COUNTIFS('Shorts ideas'!$B$6:$B$105,$A7,'Shorts ideas'!$H$6:$H$105,"Published")</f>
        <v/>
      </c>
      <c r="C7" s="17">
        <f>IFERROR(AVERAGEIFS('Shorts ideas'!$AC$6:$AC$105,'Shorts ideas'!$B$6:$B$105,$A7,'Shorts ideas'!$AC$6:$AC$105,"&gt;0"),"")</f>
        <v/>
      </c>
      <c r="D7" s="18">
        <f>IFERROR(AVERAGEIFS('Shorts ideas'!$U$6:$U$105,'Shorts ideas'!$B$6:$B$105,$A7,'Shorts ideas'!$U$6:$U$105,"&gt;0"),"")</f>
        <v/>
      </c>
      <c r="E7" s="18">
        <f>IFERROR(AVERAGEIFS('Shorts ideas'!$AD$6:$AD$105,'Shorts ideas'!$B$6:$B$105,$A7,'Shorts ideas'!$AD$6:$AD$105,"&gt;0"),"")</f>
        <v/>
      </c>
      <c r="F7" s="17">
        <f>IFERROR(AVERAGEIFS('Shorts ideas'!$AL$6:$AL$105,'Shorts ideas'!$B$6:$B$105,$A7,'Shorts ideas'!$AL$6:$AL$105,"&gt;0"),"")</f>
        <v/>
      </c>
    </row>
    <row r="8">
      <c r="A8" s="16" t="inlineStr">
        <is>
          <t>Habits and motivation</t>
        </is>
      </c>
      <c r="B8" s="16">
        <f>COUNTIFS('Shorts ideas'!$B$6:$B$105,$A8,'Shorts ideas'!$H$6:$H$105,"Published")</f>
        <v/>
      </c>
      <c r="C8" s="17">
        <f>IFERROR(AVERAGEIFS('Shorts ideas'!$AC$6:$AC$105,'Shorts ideas'!$B$6:$B$105,$A8,'Shorts ideas'!$AC$6:$AC$105,"&gt;0"),"")</f>
        <v/>
      </c>
      <c r="D8" s="18">
        <f>IFERROR(AVERAGEIFS('Shorts ideas'!$U$6:$U$105,'Shorts ideas'!$B$6:$B$105,$A8,'Shorts ideas'!$U$6:$U$105,"&gt;0"),"")</f>
        <v/>
      </c>
      <c r="E8" s="18">
        <f>IFERROR(AVERAGEIFS('Shorts ideas'!$AD$6:$AD$105,'Shorts ideas'!$B$6:$B$105,$A8,'Shorts ideas'!$AD$6:$AD$105,"&gt;0"),"")</f>
        <v/>
      </c>
      <c r="F8" s="17">
        <f>IFERROR(AVERAGEIFS('Shorts ideas'!$AL$6:$AL$105,'Shorts ideas'!$B$6:$B$105,$A8,'Shorts ideas'!$AL$6:$AL$105,"&gt;0"),"")</f>
        <v/>
      </c>
    </row>
    <row r="9">
      <c r="A9" s="16" t="inlineStr">
        <is>
          <t>Emotions and self-awareness</t>
        </is>
      </c>
      <c r="B9" s="16">
        <f>COUNTIFS('Shorts ideas'!$B$6:$B$105,$A9,'Shorts ideas'!$H$6:$H$105,"Published")</f>
        <v/>
      </c>
      <c r="C9" s="17">
        <f>IFERROR(AVERAGEIFS('Shorts ideas'!$AC$6:$AC$105,'Shorts ideas'!$B$6:$B$105,$A9,'Shorts ideas'!$AC$6:$AC$105,"&gt;0"),"")</f>
        <v/>
      </c>
      <c r="D9" s="18">
        <f>IFERROR(AVERAGEIFS('Shorts ideas'!$U$6:$U$105,'Shorts ideas'!$B$6:$B$105,$A9,'Shorts ideas'!$U$6:$U$105,"&gt;0"),"")</f>
        <v/>
      </c>
      <c r="E9" s="18">
        <f>IFERROR(AVERAGEIFS('Shorts ideas'!$AD$6:$AD$105,'Shorts ideas'!$B$6:$B$105,$A9,'Shorts ideas'!$AD$6:$AD$105,"&gt;0"),"")</f>
        <v/>
      </c>
      <c r="F9" s="17">
        <f>IFERROR(AVERAGEIFS('Shorts ideas'!$AL$6:$AL$105,'Shorts ideas'!$B$6:$B$105,$A9,'Shorts ideas'!$AL$6:$AL$105,"&gt;0"),"")</f>
        <v/>
      </c>
    </row>
    <row r="10">
      <c r="A10" s="16" t="inlineStr">
        <is>
          <t>Relationships and communication</t>
        </is>
      </c>
      <c r="B10" s="16">
        <f>COUNTIFS('Shorts ideas'!$B$6:$B$105,$A10,'Shorts ideas'!$H$6:$H$105,"Published")</f>
        <v/>
      </c>
      <c r="C10" s="17">
        <f>IFERROR(AVERAGEIFS('Shorts ideas'!$AC$6:$AC$105,'Shorts ideas'!$B$6:$B$105,$A10,'Shorts ideas'!$AC$6:$AC$105,"&gt;0"),"")</f>
        <v/>
      </c>
      <c r="D10" s="18">
        <f>IFERROR(AVERAGEIFS('Shorts ideas'!$U$6:$U$105,'Shorts ideas'!$B$6:$B$105,$A10,'Shorts ideas'!$U$6:$U$105,"&gt;0"),"")</f>
        <v/>
      </c>
      <c r="E10" s="18">
        <f>IFERROR(AVERAGEIFS('Shorts ideas'!$AD$6:$AD$105,'Shorts ideas'!$B$6:$B$105,$A10,'Shorts ideas'!$AD$6:$AD$105,"&gt;0"),"")</f>
        <v/>
      </c>
      <c r="F10" s="17">
        <f>IFERROR(AVERAGEIFS('Shorts ideas'!$AL$6:$AL$105,'Shorts ideas'!$B$6:$B$105,$A10,'Shorts ideas'!$AL$6:$AL$105,"&gt;0"),"")</f>
        <v/>
      </c>
    </row>
    <row r="11">
      <c r="A11" s="16" t="inlineStr">
        <is>
          <t>Social psychology</t>
        </is>
      </c>
      <c r="B11" s="16">
        <f>COUNTIFS('Shorts ideas'!$B$6:$B$105,$A11,'Shorts ideas'!$H$6:$H$105,"Published")</f>
        <v/>
      </c>
      <c r="C11" s="17">
        <f>IFERROR(AVERAGEIFS('Shorts ideas'!$AC$6:$AC$105,'Shorts ideas'!$B$6:$B$105,$A11,'Shorts ideas'!$AC$6:$AC$105,"&gt;0"),"")</f>
        <v/>
      </c>
      <c r="D11" s="18">
        <f>IFERROR(AVERAGEIFS('Shorts ideas'!$U$6:$U$105,'Shorts ideas'!$B$6:$B$105,$A11,'Shorts ideas'!$U$6:$U$105,"&gt;0"),"")</f>
        <v/>
      </c>
      <c r="E11" s="18">
        <f>IFERROR(AVERAGEIFS('Shorts ideas'!$AD$6:$AD$105,'Shorts ideas'!$B$6:$B$105,$A11,'Shorts ideas'!$AD$6:$AD$105,"&gt;0"),"")</f>
        <v/>
      </c>
      <c r="F11" s="17">
        <f>IFERROR(AVERAGEIFS('Shorts ideas'!$AL$6:$AL$105,'Shorts ideas'!$B$6:$B$105,$A11,'Shorts ideas'!$AL$6:$AL$105,"&gt;0"),"")</f>
        <v/>
      </c>
    </row>
    <row r="12">
      <c r="A12" s="16" t="inlineStr">
        <is>
          <t>Self-image and confidence</t>
        </is>
      </c>
      <c r="B12" s="16">
        <f>COUNTIFS('Shorts ideas'!$B$6:$B$105,$A12,'Shorts ideas'!$H$6:$H$105,"Published")</f>
        <v/>
      </c>
      <c r="C12" s="17">
        <f>IFERROR(AVERAGEIFS('Shorts ideas'!$AC$6:$AC$105,'Shorts ideas'!$B$6:$B$105,$A12,'Shorts ideas'!$AC$6:$AC$105,"&gt;0"),"")</f>
        <v/>
      </c>
      <c r="D12" s="18">
        <f>IFERROR(AVERAGEIFS('Shorts ideas'!$U$6:$U$105,'Shorts ideas'!$B$6:$B$105,$A12,'Shorts ideas'!$U$6:$U$105,"&gt;0"),"")</f>
        <v/>
      </c>
      <c r="E12" s="18">
        <f>IFERROR(AVERAGEIFS('Shorts ideas'!$AD$6:$AD$105,'Shorts ideas'!$B$6:$B$105,$A12,'Shorts ideas'!$AD$6:$AD$105,"&gt;0"),"")</f>
        <v/>
      </c>
      <c r="F12" s="17">
        <f>IFERROR(AVERAGEIFS('Shorts ideas'!$AL$6:$AL$105,'Shorts ideas'!$B$6:$B$105,$A12,'Shorts ideas'!$AL$6:$AL$105,"&gt;0"),"")</f>
        <v/>
      </c>
    </row>
    <row r="13">
      <c r="A13" s="16" t="inlineStr">
        <is>
          <t>Digital life and consumer behavior</t>
        </is>
      </c>
      <c r="B13" s="16">
        <f>COUNTIFS('Shorts ideas'!$B$6:$B$105,$A13,'Shorts ideas'!$H$6:$H$105,"Published")</f>
        <v/>
      </c>
      <c r="C13" s="17">
        <f>IFERROR(AVERAGEIFS('Shorts ideas'!$AC$6:$AC$105,'Shorts ideas'!$B$6:$B$105,$A13,'Shorts ideas'!$AC$6:$AC$105,"&gt;0"),"")</f>
        <v/>
      </c>
      <c r="D13" s="18">
        <f>IFERROR(AVERAGEIFS('Shorts ideas'!$U$6:$U$105,'Shorts ideas'!$B$6:$B$105,$A13,'Shorts ideas'!$U$6:$U$105,"&gt;0"),"")</f>
        <v/>
      </c>
      <c r="E13" s="18">
        <f>IFERROR(AVERAGEIFS('Shorts ideas'!$AD$6:$AD$105,'Shorts ideas'!$B$6:$B$105,$A13,'Shorts ideas'!$AD$6:$AD$105,"&gt;0"),"")</f>
        <v/>
      </c>
      <c r="F13" s="17">
        <f>IFERROR(AVERAGEIFS('Shorts ideas'!$AL$6:$AL$105,'Shorts ideas'!$B$6:$B$105,$A13,'Shorts ideas'!$AL$6:$AL$105,"&gt;0"),"")</f>
        <v/>
      </c>
    </row>
    <row r="14">
      <c r="A14" s="16" t="inlineStr">
        <is>
          <t>Psychology myths and interactive demos</t>
        </is>
      </c>
      <c r="B14" s="16">
        <f>COUNTIFS('Shorts ideas'!$B$6:$B$105,$A14,'Shorts ideas'!$H$6:$H$105,"Published")</f>
        <v/>
      </c>
      <c r="C14" s="17">
        <f>IFERROR(AVERAGEIFS('Shorts ideas'!$AC$6:$AC$105,'Shorts ideas'!$B$6:$B$105,$A14,'Shorts ideas'!$AC$6:$AC$105,"&gt;0"),"")</f>
        <v/>
      </c>
      <c r="D14" s="18">
        <f>IFERROR(AVERAGEIFS('Shorts ideas'!$U$6:$U$105,'Shorts ideas'!$B$6:$B$105,$A14,'Shorts ideas'!$U$6:$U$105,"&gt;0"),"")</f>
        <v/>
      </c>
      <c r="E14" s="18">
        <f>IFERROR(AVERAGEIFS('Shorts ideas'!$AD$6:$AD$105,'Shorts ideas'!$B$6:$B$105,$A14,'Shorts ideas'!$AD$6:$AD$105,"&gt;0"),"")</f>
        <v/>
      </c>
      <c r="F14" s="17">
        <f>IFERROR(AVERAGEIFS('Shorts ideas'!$AL$6:$AL$105,'Shorts ideas'!$B$6:$B$105,$A14,'Shorts ideas'!$AL$6:$AL$105,"&gt;0"),"")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ideas'!$N$6:$N$105,$A17,'Shorts ideas'!$H$6:$H$105,"Published")</f>
        <v/>
      </c>
      <c r="C17" s="17">
        <f>IFERROR(AVERAGEIFS('Shorts ideas'!$AC$6:$AC$105,'Shorts ideas'!$N$6:$N$105,$A17,'Shorts ideas'!$AC$6:$AC$105,"&gt;0"),"")</f>
        <v/>
      </c>
      <c r="D17" s="18">
        <f>IFERROR(AVERAGEIFS('Shorts ideas'!$U$6:$U$105,'Shorts ideas'!$N$6:$N$105,$A17,'Shorts ideas'!$U$6:$U$105,"&gt;0"),"")</f>
        <v/>
      </c>
      <c r="E17" s="18">
        <f>IFERROR(AVERAGEIFS('Shorts ideas'!$AD$6:$AD$105,'Shorts ideas'!$N$6:$N$105,$A17,'Shorts ideas'!$AD$6:$AD$105,"&gt;0"),"")</f>
        <v/>
      </c>
      <c r="F17" s="17">
        <f>IFERROR(AVERAGEIFS('Shorts ideas'!$AL$6:$AL$105,'Shorts ideas'!$N$6:$N$105,$A17,'Shorts ideas'!$AL$6:$AL$105,"&gt;0"),"")</f>
        <v/>
      </c>
    </row>
    <row r="18">
      <c r="A18" s="16" t="inlineStr">
        <is>
          <t>thoughts</t>
        </is>
      </c>
      <c r="B18" s="16">
        <f>COUNTIFS('Shorts ideas'!$N$6:$N$105,$A18,'Shorts ideas'!$H$6:$H$105,"Published")</f>
        <v/>
      </c>
      <c r="C18" s="17">
        <f>IFERROR(AVERAGEIFS('Shorts ideas'!$AC$6:$AC$105,'Shorts ideas'!$N$6:$N$105,$A18,'Shorts ideas'!$AC$6:$AC$105,"&gt;0"),"")</f>
        <v/>
      </c>
      <c r="D18" s="18">
        <f>IFERROR(AVERAGEIFS('Shorts ideas'!$U$6:$U$105,'Shorts ideas'!$N$6:$N$105,$A18,'Shorts ideas'!$U$6:$U$105,"&gt;0"),"")</f>
        <v/>
      </c>
      <c r="E18" s="18">
        <f>IFERROR(AVERAGEIFS('Shorts ideas'!$AD$6:$AD$105,'Shorts ideas'!$N$6:$N$105,$A18,'Shorts ideas'!$AD$6:$AD$105,"&gt;0"),"")</f>
        <v/>
      </c>
      <c r="F18" s="17">
        <f>IFERROR(AVERAGEIFS('Shorts ideas'!$AL$6:$AL$105,'Shorts ideas'!$N$6:$N$105,$A18,'Shorts ideas'!$AL$6:$AL$105,"&gt;0"),"")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ideas'!$M$6:$M$105,$A21,'Shorts ideas'!$H$6:$H$105,"Published")</f>
        <v/>
      </c>
      <c r="C21" s="17">
        <f>IFERROR(AVERAGEIFS('Shorts ideas'!$AC$6:$AC$105,'Shorts ideas'!$M$6:$M$105,$A21,'Shorts ideas'!$AC$6:$AC$105,"&gt;0"),"")</f>
        <v/>
      </c>
      <c r="D21" s="18">
        <f>IFERROR(AVERAGEIFS('Shorts ideas'!$U$6:$U$105,'Shorts ideas'!$M$6:$M$105,$A21,'Shorts ideas'!$U$6:$U$105,"&gt;0"),"")</f>
        <v/>
      </c>
      <c r="E21" s="18">
        <f>IFERROR(AVERAGEIFS('Shorts ideas'!$AD$6:$AD$105,'Shorts ideas'!$M$6:$M$105,$A21,'Shorts ideas'!$AD$6:$AD$105,"&gt;0"),"")</f>
        <v/>
      </c>
      <c r="F21" s="17">
        <f>IFERROR(AVERAGEIFS('Shorts ideas'!$AL$6:$AL$105,'Shorts ideas'!$M$6:$M$105,$A21,'Shorts ideas'!$AL$6:$AL$105,"&gt;0"),"")</f>
        <v/>
      </c>
    </row>
    <row r="22">
      <c r="A22" s="16" t="inlineStr">
        <is>
          <t>Tue</t>
        </is>
      </c>
      <c r="B22" s="16">
        <f>COUNTIFS('Shorts ideas'!$M$6:$M$105,$A22,'Shorts ideas'!$H$6:$H$105,"Published")</f>
        <v/>
      </c>
      <c r="C22" s="17">
        <f>IFERROR(AVERAGEIFS('Shorts ideas'!$AC$6:$AC$105,'Shorts ideas'!$M$6:$M$105,$A22,'Shorts ideas'!$AC$6:$AC$105,"&gt;0"),"")</f>
        <v/>
      </c>
      <c r="D22" s="18">
        <f>IFERROR(AVERAGEIFS('Shorts ideas'!$U$6:$U$105,'Shorts ideas'!$M$6:$M$105,$A22,'Shorts ideas'!$U$6:$U$105,"&gt;0"),"")</f>
        <v/>
      </c>
      <c r="E22" s="18">
        <f>IFERROR(AVERAGEIFS('Shorts ideas'!$AD$6:$AD$105,'Shorts ideas'!$M$6:$M$105,$A22,'Shorts ideas'!$AD$6:$AD$105,"&gt;0"),"")</f>
        <v/>
      </c>
      <c r="F22" s="17">
        <f>IFERROR(AVERAGEIFS('Shorts ideas'!$AL$6:$AL$105,'Shorts ideas'!$M$6:$M$105,$A22,'Shorts ideas'!$AL$6:$AL$105,"&gt;0"),"")</f>
        <v/>
      </c>
    </row>
    <row r="23">
      <c r="A23" s="16" t="inlineStr">
        <is>
          <t>Wed</t>
        </is>
      </c>
      <c r="B23" s="16">
        <f>COUNTIFS('Shorts ideas'!$M$6:$M$105,$A23,'Shorts ideas'!$H$6:$H$105,"Published")</f>
        <v/>
      </c>
      <c r="C23" s="17">
        <f>IFERROR(AVERAGEIFS('Shorts ideas'!$AC$6:$AC$105,'Shorts ideas'!$M$6:$M$105,$A23,'Shorts ideas'!$AC$6:$AC$105,"&gt;0"),"")</f>
        <v/>
      </c>
      <c r="D23" s="18">
        <f>IFERROR(AVERAGEIFS('Shorts ideas'!$U$6:$U$105,'Shorts ideas'!$M$6:$M$105,$A23,'Shorts ideas'!$U$6:$U$105,"&gt;0"),"")</f>
        <v/>
      </c>
      <c r="E23" s="18">
        <f>IFERROR(AVERAGEIFS('Shorts ideas'!$AD$6:$AD$105,'Shorts ideas'!$M$6:$M$105,$A23,'Shorts ideas'!$AD$6:$AD$105,"&gt;0"),"")</f>
        <v/>
      </c>
      <c r="F23" s="17">
        <f>IFERROR(AVERAGEIFS('Shorts ideas'!$AL$6:$AL$105,'Shorts ideas'!$M$6:$M$105,$A23,'Shorts ideas'!$AL$6:$AL$105,"&gt;0"),"")</f>
        <v/>
      </c>
    </row>
    <row r="24">
      <c r="A24" s="16" t="inlineStr">
        <is>
          <t>Thu</t>
        </is>
      </c>
      <c r="B24" s="16">
        <f>COUNTIFS('Shorts ideas'!$M$6:$M$105,$A24,'Shorts ideas'!$H$6:$H$105,"Published")</f>
        <v/>
      </c>
      <c r="C24" s="17">
        <f>IFERROR(AVERAGEIFS('Shorts ideas'!$AC$6:$AC$105,'Shorts ideas'!$M$6:$M$105,$A24,'Shorts ideas'!$AC$6:$AC$105,"&gt;0"),"")</f>
        <v/>
      </c>
      <c r="D24" s="18">
        <f>IFERROR(AVERAGEIFS('Shorts ideas'!$U$6:$U$105,'Shorts ideas'!$M$6:$M$105,$A24,'Shorts ideas'!$U$6:$U$105,"&gt;0"),"")</f>
        <v/>
      </c>
      <c r="E24" s="18">
        <f>IFERROR(AVERAGEIFS('Shorts ideas'!$AD$6:$AD$105,'Shorts ideas'!$M$6:$M$105,$A24,'Shorts ideas'!$AD$6:$AD$105,"&gt;0"),"")</f>
        <v/>
      </c>
      <c r="F24" s="17">
        <f>IFERROR(AVERAGEIFS('Shorts ideas'!$AL$6:$AL$105,'Shorts ideas'!$M$6:$M$105,$A24,'Shorts ideas'!$AL$6:$AL$105,"&gt;0"),"")</f>
        <v/>
      </c>
    </row>
    <row r="25">
      <c r="A25" s="16" t="inlineStr">
        <is>
          <t>Fri</t>
        </is>
      </c>
      <c r="B25" s="16">
        <f>COUNTIFS('Shorts ideas'!$M$6:$M$105,$A25,'Shorts ideas'!$H$6:$H$105,"Published")</f>
        <v/>
      </c>
      <c r="C25" s="17">
        <f>IFERROR(AVERAGEIFS('Shorts ideas'!$AC$6:$AC$105,'Shorts ideas'!$M$6:$M$105,$A25,'Shorts ideas'!$AC$6:$AC$105,"&gt;0"),"")</f>
        <v/>
      </c>
      <c r="D25" s="18">
        <f>IFERROR(AVERAGEIFS('Shorts ideas'!$U$6:$U$105,'Shorts ideas'!$M$6:$M$105,$A25,'Shorts ideas'!$U$6:$U$105,"&gt;0"),"")</f>
        <v/>
      </c>
      <c r="E25" s="18">
        <f>IFERROR(AVERAGEIFS('Shorts ideas'!$AD$6:$AD$105,'Shorts ideas'!$M$6:$M$105,$A25,'Shorts ideas'!$AD$6:$AD$105,"&gt;0"),"")</f>
        <v/>
      </c>
      <c r="F25" s="17">
        <f>IFERROR(AVERAGEIFS('Shorts ideas'!$AL$6:$AL$105,'Shorts ideas'!$M$6:$M$105,$A25,'Shorts ideas'!$AL$6:$AL$105,"&gt;0"),"")</f>
        <v/>
      </c>
    </row>
    <row r="26">
      <c r="A26" s="16" t="inlineStr">
        <is>
          <t>Sat</t>
        </is>
      </c>
      <c r="B26" s="16">
        <f>COUNTIFS('Shorts ideas'!$M$6:$M$105,$A26,'Shorts ideas'!$H$6:$H$105,"Published")</f>
        <v/>
      </c>
      <c r="C26" s="17">
        <f>IFERROR(AVERAGEIFS('Shorts ideas'!$AC$6:$AC$105,'Shorts ideas'!$M$6:$M$105,$A26,'Shorts ideas'!$AC$6:$AC$105,"&gt;0"),"")</f>
        <v/>
      </c>
      <c r="D26" s="18">
        <f>IFERROR(AVERAGEIFS('Shorts ideas'!$U$6:$U$105,'Shorts ideas'!$M$6:$M$105,$A26,'Shorts ideas'!$U$6:$U$105,"&gt;0"),"")</f>
        <v/>
      </c>
      <c r="E26" s="18">
        <f>IFERROR(AVERAGEIFS('Shorts ideas'!$AD$6:$AD$105,'Shorts ideas'!$M$6:$M$105,$A26,'Shorts ideas'!$AD$6:$AD$105,"&gt;0"),"")</f>
        <v/>
      </c>
      <c r="F26" s="17">
        <f>IFERROR(AVERAGEIFS('Shorts ideas'!$AL$6:$AL$105,'Shorts ideas'!$M$6:$M$105,$A26,'Shorts ideas'!$AL$6:$AL$105,"&gt;0"),"")</f>
        <v/>
      </c>
    </row>
    <row r="27">
      <c r="A27" s="16" t="inlineStr">
        <is>
          <t>Sun</t>
        </is>
      </c>
      <c r="B27" s="16">
        <f>COUNTIFS('Shorts ideas'!$M$6:$M$105,$A27,'Shorts ideas'!$H$6:$H$105,"Published")</f>
        <v/>
      </c>
      <c r="C27" s="17">
        <f>IFERROR(AVERAGEIFS('Shorts ideas'!$AC$6:$AC$105,'Shorts ideas'!$M$6:$M$105,$A27,'Shorts ideas'!$AC$6:$AC$105,"&gt;0"),"")</f>
        <v/>
      </c>
      <c r="D27" s="18">
        <f>IFERROR(AVERAGEIFS('Shorts ideas'!$U$6:$U$105,'Shorts ideas'!$M$6:$M$105,$A27,'Shorts ideas'!$U$6:$U$105,"&gt;0"),"")</f>
        <v/>
      </c>
      <c r="E27" s="18">
        <f>IFERROR(AVERAGEIFS('Shorts ideas'!$AD$6:$AD$105,'Shorts ideas'!$M$6:$M$105,$A27,'Shorts ideas'!$AD$6:$AD$105,"&gt;0"),"")</f>
        <v/>
      </c>
      <c r="F27" s="17">
        <f>IFERROR(AVERAGEIFS('Shorts ideas'!$AL$6:$AL$105,'Shorts ideas'!$M$6:$M$105,$A27,'Shorts ideas'!$AL$6:$AL$105,"&gt;0"),"")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ideas'!$J$6:$J$105,$A30,'Shorts ideas'!$H$6:$H$105,"Published")</f>
        <v/>
      </c>
      <c r="C30" s="17">
        <f>IFERROR(AVERAGEIFS('Shorts ideas'!$AC$6:$AC$105,'Shorts ideas'!$J$6:$J$105,$A30,'Shorts ideas'!$AC$6:$AC$105,"&gt;0"),"")</f>
        <v/>
      </c>
      <c r="D30" s="18">
        <f>IFERROR(AVERAGEIFS('Shorts ideas'!$U$6:$U$105,'Shorts ideas'!$J$6:$J$105,$A30,'Shorts ideas'!$U$6:$U$105,"&gt;0"),"")</f>
        <v/>
      </c>
      <c r="E30" s="18">
        <f>IFERROR(AVERAGEIFS('Shorts ideas'!$AD$6:$AD$105,'Shorts ideas'!$J$6:$J$105,$A30,'Shorts ideas'!$AD$6:$AD$105,"&gt;0"),"")</f>
        <v/>
      </c>
      <c r="F30" s="17">
        <f>IFERROR(AVERAGEIFS('Shorts ideas'!$AL$6:$AL$105,'Shorts ideas'!$J$6:$J$105,$A30,'Shorts ideas'!$AL$6:$AL$105,"&gt;0"),"")</f>
        <v/>
      </c>
    </row>
    <row r="31">
      <c r="A31" s="16" t="inlineStr">
        <is>
          <t>Weak</t>
        </is>
      </c>
      <c r="B31" s="16">
        <f>COUNTIFS('Shorts ideas'!$J$6:$J$105,$A31,'Shorts ideas'!$H$6:$H$105,"Published")</f>
        <v/>
      </c>
      <c r="C31" s="17">
        <f>IFERROR(AVERAGEIFS('Shorts ideas'!$AC$6:$AC$105,'Shorts ideas'!$J$6:$J$105,$A31,'Shorts ideas'!$AC$6:$AC$105,"&gt;0"),"")</f>
        <v/>
      </c>
      <c r="D31" s="18">
        <f>IFERROR(AVERAGEIFS('Shorts ideas'!$U$6:$U$105,'Shorts ideas'!$J$6:$J$105,$A31,'Shorts ideas'!$U$6:$U$105,"&gt;0"),"")</f>
        <v/>
      </c>
      <c r="E31" s="18">
        <f>IFERROR(AVERAGEIFS('Shorts ideas'!$AD$6:$AD$105,'Shorts ideas'!$J$6:$J$105,$A31,'Shorts ideas'!$AD$6:$AD$105,"&gt;0"),"")</f>
        <v/>
      </c>
      <c r="F31" s="17">
        <f>IFERROR(AVERAGEIFS('Shorts ideas'!$AL$6:$AL$105,'Shorts ideas'!$J$6:$J$105,$A31,'Shorts ideas'!$AL$6:$AL$105,"&gt;0"),"")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2026-10-12T16:55:53Z</dcterms:modified>
</cp:coreProperties>
</file>