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orts ideas" sheetId="1" state="visible" r:id="rId3"/>
    <sheet name="3-Act Scripts" sheetId="2" state="visible" r:id="rId4"/>
    <sheet name="Long form" sheetId="3" state="visible" r:id="rId5"/>
    <sheet name="Looks" sheetId="4" state="visible" r:id="rId6"/>
    <sheet name="Summary" sheetId="5" state="visible" r:id="rId7"/>
  </sheets>
  <definedNames>
    <definedName function="false" hidden="true" localSheetId="1" name="_xlnm._FilterDatabase" vbProcedure="false">'3-Act Scripts'!$A$4:$J$718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Blue = filled in by the daily pipeline (you can edit too). Black = formulas. Priority: lowest number with Status 'Idea' is made next — renumber to reorder.</t>
        </r>
      </text>
    </comment>
    <comment ref="AO5" authorId="0">
      <text>
        <r>
          <rPr>
            <sz val="10"/>
            <rFont val="Arial"/>
            <family val="2"/>
          </rPr>
          <t xml:space="preserve">The look this Short is built in (see the Looks sheet). Change it before the idea is made to switch styles; the daily pipeline copies it into the script.</t>
        </r>
      </text>
    </comment>
    <comment ref="AP5" authorId="0">
      <text>
        <r>
          <rPr>
            <sz val="10"/>
            <rFont val="Arial"/>
            <family val="2"/>
          </rPr>
          <t xml:space="preserve">ted2 (default when empty) or story. 'story' makes a fully art-directed Short from the columns to the right: Claude writes the narration, the scene-by-scene animation and the sound cues from them.</t>
        </r>
      </text>
    </comment>
    <comment ref="AQ5" authorId="0">
      <text>
        <r>
          <rPr>
            <sz val="10"/>
            <rFont val="Arial"/>
            <family val="2"/>
          </rPr>
          <t xml:space="preserve">How it should look and move, e.g. 'flat neon editorial like One More Never Enough: one curly-haired character, bold outlines, camera push-ins, card-swipe transitions'.</t>
        </r>
      </text>
    </comment>
    <comment ref="AR5" authorId="0">
      <text>
        <r>
          <rPr>
            <sz val="10"/>
            <rFont val="Arial"/>
            <family val="2"/>
          </rPr>
          <t xml:space="preserve"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  </r>
      </text>
    </comment>
    <comment ref="AS5" authorId="0">
      <text>
        <r>
          <rPr>
            <sz val="10"/>
            <rFont val="Arial"/>
            <family val="2"/>
          </rPr>
          <t xml:space="preserve">Optional colours (hex or words) and fonts (any Google Font), e.g. 'white page, ink #210B3D, violet #7624CE, neon green highlight; Barlow Condensed headlines'.</t>
        </r>
      </text>
    </comment>
    <comment ref="AT5" authorId="0">
      <text>
        <r>
          <rPr>
            <sz val="10"/>
            <rFont val="Arial"/>
            <family val="2"/>
          </rPr>
          <t xml:space="preserve">Optional: who appears, e.g. 'the One More protagonist (curly hair, violet jacket)', or 'none — objects only'.</t>
        </r>
      </text>
    </comment>
    <comment ref="AU5" authorId="0">
      <text>
        <r>
          <rPr>
            <sz val="10"/>
            <rFont val="Arial"/>
            <family val="2"/>
          </rPr>
          <t xml:space="preserve"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  </r>
      </text>
    </comment>
  </commentList>
</comments>
</file>

<file path=xl/sharedStrings.xml><?xml version="1.0" encoding="utf-8"?>
<sst xmlns="http://schemas.openxmlformats.org/spreadsheetml/2006/main" count="7223" uniqueCount="2355">
  <si>
    <t xml:space="preserve">100 Psychology YouTube Shorts Ideas</t>
  </si>
  <si>
    <t xml:space="preserve">Original concept prompts. Research and verify claims before scripting. Durations are suggested seconds.  Columns I→AN are filled by the daily Shorts pipeline; Priority sets the order.</t>
  </si>
  <si>
    <t xml:space="preserve">PRODUCTION</t>
  </si>
  <si>
    <t xml:space="preserve">DAY 7</t>
  </si>
  <si>
    <t xml:space="preserve">DAY 14</t>
  </si>
  <si>
    <t xml:space="preserve">DAY 30</t>
  </si>
  <si>
    <t xml:space="preserve">LEARNING</t>
  </si>
  <si>
    <t xml:space="preserve">STYLE</t>
  </si>
  <si>
    <t xml:space="preserve">STORY</t>
  </si>
  <si>
    <t xml:space="preserve">3-ACT</t>
  </si>
  <si>
    <t xml:space="preserve">No.</t>
  </si>
  <si>
    <t xml:space="preserve">Theme</t>
  </si>
  <si>
    <t xml:space="preserve">Video idea</t>
  </si>
  <si>
    <t xml:space="preserve">Opening hook</t>
  </si>
  <si>
    <t xml:space="preserve">Content outline</t>
  </si>
  <si>
    <t xml:space="preserve">Visual / filming idea</t>
  </si>
  <si>
    <t xml:space="preserve">Seconds</t>
  </si>
  <si>
    <t xml:space="preserve">Status</t>
  </si>
  <si>
    <t xml:space="preserve">Priority</t>
  </si>
  <si>
    <t xml:space="preserve">Template fit</t>
  </si>
  <si>
    <t xml:space="preserve">Slug</t>
  </si>
  <si>
    <t xml:space="preserve">Post date</t>
  </si>
  <si>
    <t xml:space="preserve">Weekday</t>
  </si>
  <si>
    <t xml:space="preserve">Hook style</t>
  </si>
  <si>
    <t xml:space="preserve">Length (s)</t>
  </si>
  <si>
    <t xml:space="preserve">Title used</t>
  </si>
  <si>
    <t xml:space="preserve">Source checked</t>
  </si>
  <si>
    <t xml:space="preserve">Metricool ID</t>
  </si>
  <si>
    <t xml:space="preserve">YT views d7</t>
  </si>
  <si>
    <t xml:space="preserve">YT avg view (s) d7</t>
  </si>
  <si>
    <t xml:space="preserve">YT retention d7</t>
  </si>
  <si>
    <t xml:space="preserve">YT likes d7</t>
  </si>
  <si>
    <t xml:space="preserve">YT comments d7</t>
  </si>
  <si>
    <t xml:space="preserve">YT shares d7</t>
  </si>
  <si>
    <t xml:space="preserve">IG views d7</t>
  </si>
  <si>
    <t xml:space="preserve">IG likes d7</t>
  </si>
  <si>
    <t xml:space="preserve">TT views d7</t>
  </si>
  <si>
    <t xml:space="preserve">TT likes d7</t>
  </si>
  <si>
    <t xml:space="preserve">Total views d7</t>
  </si>
  <si>
    <t xml:space="preserve">Engagement d7</t>
  </si>
  <si>
    <t xml:space="preserve">YT views d14</t>
  </si>
  <si>
    <t xml:space="preserve">IG views d14</t>
  </si>
  <si>
    <t xml:space="preserve">TT views d14</t>
  </si>
  <si>
    <t xml:space="preserve">Total views d14</t>
  </si>
  <si>
    <t xml:space="preserve">YT views d30</t>
  </si>
  <si>
    <t xml:space="preserve">IG views d30</t>
  </si>
  <si>
    <t xml:space="preserve">TT views d30</t>
  </si>
  <si>
    <t xml:space="preserve">Total views d30</t>
  </si>
  <si>
    <t xml:space="preserve">Verdict d7</t>
  </si>
  <si>
    <t xml:space="preserve">Lesson / notes</t>
  </si>
  <si>
    <t xml:space="preserve">Visual style</t>
  </si>
  <si>
    <t xml:space="preserve">Format</t>
  </si>
  <si>
    <t xml:space="preserve">Animation style</t>
  </si>
  <si>
    <t xml:space="preserve">Storyboard</t>
  </si>
  <si>
    <t xml:space="preserve">Palette &amp; type</t>
  </si>
  <si>
    <t xml:space="preserve">Characters</t>
  </si>
  <si>
    <t xml:space="preserve">Sound cues</t>
  </si>
  <si>
    <t xml:space="preserve">Hook formula (3-act)</t>
  </si>
  <si>
    <t xml:space="preserve">Cognitive biases</t>
  </si>
  <si>
    <t xml:space="preserve">The spotlight effect</t>
  </si>
  <si>
    <t xml:space="preserve">Think everyone noticed your awkward moment?</t>
  </si>
  <si>
    <t xml:space="preserve">Contrast what you noticed with what others were focused on.</t>
  </si>
  <si>
    <t xml:space="preserve">Crowded room with one imagined spotlight</t>
  </si>
  <si>
    <t xml:space="preserve">Published</t>
  </si>
  <si>
    <t xml:space="preserve">Strong</t>
  </si>
  <si>
    <t xml:space="preserve">spotlight-effect</t>
  </si>
  <si>
    <t xml:space="preserve">eyes</t>
  </si>
  <si>
    <t xml:space="preserve">Why It Feels Like Everyone's Watching You | The Spotlight Effect</t>
  </si>
  <si>
    <t xml:space="preserve">Gilovich, Medvec &amp; Savitsky (2000), JPSP 78(2)</t>
  </si>
  <si>
    <t xml:space="preserve">393438157</t>
  </si>
  <si>
    <t xml:space="preserve">Pilot: 16:9 horizontal, YouTube only — not comparable with the vertical Shorts. 2026-10-18 review: d7 stats not available (Metricool per-video YouTube data empty).</t>
  </si>
  <si>
    <t xml:space="preserve">pixel-lab</t>
  </si>
  <si>
    <t xml:space="preserve">You-callout</t>
  </si>
  <si>
    <t xml:space="preserve">Confirmation bias</t>
  </si>
  <si>
    <t xml:space="preserve">Could your feed be proving you right on purpose?</t>
  </si>
  <si>
    <t xml:space="preserve">Show two people interpreting the same headline differently.</t>
  </si>
  <si>
    <t xml:space="preserve">Split-screen headline reactions</t>
  </si>
  <si>
    <t xml:space="preserve">Vetoed</t>
  </si>
  <si>
    <t xml:space="preserve">confirmation-bias</t>
  </si>
  <si>
    <t xml:space="preserve">thoughts</t>
  </si>
  <si>
    <t xml:space="preserve">Why Everything Seems to Prove You Right #shorts</t>
  </si>
  <si>
    <t xml:space="preserve">Lord, Ross &amp; Lepper 1979, JPSP 37(11):2098-2109; n=48; biased assimilation and attitude polarization</t>
  </si>
  <si>
    <t xml:space="preserve">buffer:youtube=6acfed2f102b7fd4a48ef5db;instagram=6acfed30384901ac08409c3c;tiktok=6acfed30384901ac08409c67</t>
  </si>
  <si>
    <t xml:space="preserve">Cancelled in Buffer 2026-10-15 before posting: Shivam retired the 8-bit avatar format (Ted type 2 only)</t>
  </si>
  <si>
    <t xml:space="preserve">keynote</t>
  </si>
  <si>
    <t xml:space="preserve">Pattern interrupt</t>
  </si>
  <si>
    <t xml:space="preserve">The anchoring effect</t>
  </si>
  <si>
    <t xml:space="preserve">Why does the first price stick in your head?</t>
  </si>
  <si>
    <t xml:space="preserve">Compare a price presented alone with one beside a higher price.</t>
  </si>
  <si>
    <t xml:space="preserve">Two price cards</t>
  </si>
  <si>
    <t xml:space="preserve">Scheduled</t>
  </si>
  <si>
    <t xml:space="preserve">anchoring</t>
  </si>
  <si>
    <t xml:space="preserve">Why the First Price You See Sticks in Your Head #shorts</t>
  </si>
  <si>
    <t xml:space="preserve">Tversky &amp; Kahneman 1974, Science 185(4157):1124-1131; wheel 10 vs 65 -&gt; median 25% vs 45% African UN members</t>
  </si>
  <si>
    <t xml:space="preserve">buffer:youtube=6ad14adb2b2233d4661582ae;tiktok=6ad14adc5533140b41cadc37;instagram=6ad5279e769b457934da2d97</t>
  </si>
  <si>
    <t xml:space="preserve">ted2</t>
  </si>
  <si>
    <t xml:space="preserve">Study reveal</t>
  </si>
  <si>
    <t xml:space="preserve">The availability heuristic</t>
  </si>
  <si>
    <t xml:space="preserve">Why can a scary headline feel like a common event?</t>
  </si>
  <si>
    <t xml:space="preserve">Explain how memorable examples can distort frequency judgments.</t>
  </si>
  <si>
    <t xml:space="preserve">News clip illustration and frequency chart</t>
  </si>
  <si>
    <t xml:space="preserve">availability-heuristic</t>
  </si>
  <si>
    <t xml:space="preserve">Why Scary Headlines Feel More Common Than They Are #shorts</t>
  </si>
  <si>
    <t xml:space="preserve">Lichtenstein, Slovic et al. 1978, JEP:HLM 4(6):551-578; 41 causes of death, dramatic over-, common underestimated; Tversky &amp; Kahneman 1973</t>
  </si>
  <si>
    <t xml:space="preserve">buffer:youtube=6ad514440a208cb32379c365;tiktok=6ad51445938409f1d0e23e43;instagram=6ad5279dae173d6e0017d665</t>
  </si>
  <si>
    <t xml:space="preserve">Curiosity gap</t>
  </si>
  <si>
    <t xml:space="preserve">The sunk-cost trap</t>
  </si>
  <si>
    <t xml:space="preserve">Would you keep watching a terrible movie just because you paid?</t>
  </si>
  <si>
    <t xml:space="preserve">Separate past spending from the next decision.</t>
  </si>
  <si>
    <t xml:space="preserve">Movie ticket and exit door</t>
  </si>
  <si>
    <t xml:space="preserve">Scripted</t>
  </si>
  <si>
    <t xml:space="preserve">sunk-cost</t>
  </si>
  <si>
    <t xml:space="preserve">Arkes &amp; Blumer 1985, OBHDP 35(1):124-140; ski trip 00 Michigan vs 0 Wisconsin, 54% (33/61) chose Michigan</t>
  </si>
  <si>
    <t xml:space="preserve">Forced choice</t>
  </si>
  <si>
    <t xml:space="preserve">The halo effect</t>
  </si>
  <si>
    <t xml:space="preserve">Can one good trait change your whole impression?</t>
  </si>
  <si>
    <t xml:space="preserve">Show how polished appearance can influence unrelated judgments.</t>
  </si>
  <si>
    <t xml:space="preserve">Same résumé with different presentation</t>
  </si>
  <si>
    <t xml:space="preserve">halo-warm</t>
  </si>
  <si>
    <t xml:space="preserve">question</t>
  </si>
  <si>
    <t xml:space="preserve"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</si>
  <si>
    <t xml:space="preserve">Story Short (2026-10-17). Held from posting until 2026-11-01.</t>
  </si>
  <si>
    <t xml:space="preserve">riso</t>
  </si>
  <si>
    <t xml:space="preserve">story</t>
  </si>
  <si>
    <t xml:space="preserve">Soft glow editorial: dusk gradient, a literal halo ring that tints everything it touches; slow push-ins.</t>
  </si>
  <si>
    <t xml:space="preserve"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</si>
  <si>
    <t xml:space="preserve">Dusk violet #2D1B69, peach #FFB38A, gold halo #FFD66B, cream text; Playfair Display headlines, Barlow captions</t>
  </si>
  <si>
    <t xml:space="preserve">A lecturer (the One More protagonist with glasses), seen twice: warm and cold</t>
  </si>
  <si>
    <t xml:space="preserve">A chime when the halo appears, a flip between the warm and cold versions, a rising tone on the stat</t>
  </si>
  <si>
    <t xml:space="preserve">Hindsight bias</t>
  </si>
  <si>
    <t xml:space="preserve">Why does everything seem obvious afterward?</t>
  </si>
  <si>
    <t xml:space="preserve">Reveal a prediction before and after an outcome.</t>
  </si>
  <si>
    <t xml:space="preserve">Sealed prediction envelope</t>
  </si>
  <si>
    <t xml:space="preserve">Idea</t>
  </si>
  <si>
    <t xml:space="preserve">spy-noir</t>
  </si>
  <si>
    <t xml:space="preserve">Framing effects</t>
  </si>
  <si>
    <t xml:space="preserve">Would you choose differently if the wording changed?</t>
  </si>
  <si>
    <t xml:space="preserve">Present equivalent outcomes as gains and losses.</t>
  </si>
  <si>
    <t xml:space="preserve">Matching percentage cards</t>
  </si>
  <si>
    <t xml:space="preserve">swiss</t>
  </si>
  <si>
    <t xml:space="preserve">The default effect</t>
  </si>
  <si>
    <t xml:space="preserve">Did you choose it, or was it already selected?</t>
  </si>
  <si>
    <t xml:space="preserve">Compare an opt-in form with a preselected option.</t>
  </si>
  <si>
    <t xml:space="preserve">Mock settings screen</t>
  </si>
  <si>
    <t xml:space="preserve">Minimal Swiss: white grid, black type, one red accent, a giant checkbox, crisp sliding panels and bar charts.</t>
  </si>
  <si>
    <t xml:space="preserve"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</si>
  <si>
    <t xml:space="preserve">White, black #111111, red #E30613; Inter Tight headlines, Inter captions</t>
  </si>
  <si>
    <t xml:space="preserve">None - objects only (forms, checkboxes, a pen)</t>
  </si>
  <si>
    <t xml:space="preserve">Toggle click on the checkbox, pen tick, card slides, a settle when the bars stop</t>
  </si>
  <si>
    <t xml:space="preserve">The fundamental attribution error</t>
  </si>
  <si>
    <t xml:space="preserve">Why is their mistake a personality flaw, but yours has a reason?</t>
  </si>
  <si>
    <t xml:space="preserve">Compare explanations for your lateness and someone else's.</t>
  </si>
  <si>
    <t xml:space="preserve">Two late arrivals</t>
  </si>
  <si>
    <t xml:space="preserve">dossier</t>
  </si>
  <si>
    <t xml:space="preserve">Memory and learning</t>
  </si>
  <si>
    <t xml:space="preserve">Recognition versus recall</t>
  </si>
  <si>
    <t xml:space="preserve">Recognizing the answer isn't the same as knowing it.</t>
  </si>
  <si>
    <t xml:space="preserve">Compare multiple choice with explaining from a blank page.</t>
  </si>
  <si>
    <t xml:space="preserve">Quiz cards</t>
  </si>
  <si>
    <t xml:space="preserve">recognition-vs-recall</t>
  </si>
  <si>
    <t xml:space="preserve">Why You Recognize Answers You Can't Remember #shorts</t>
  </si>
  <si>
    <t xml:space="preserve">Bahrick, Bahrick &amp; Wittlinger 1975, J Exp Psych: General 104(1):54-75 (ERIC EJ113581); 90% recognition over ~15 yrs and steady free-recall decline per Conway, Cohen &amp; Stanhope 1991 review + Simply Psychology. Recall % left out (secondary sources disagree).</t>
  </si>
  <si>
    <t xml:space="preserve">3390233992092010605</t>
  </si>
  <si>
    <t xml:space="preserve">Metricool confirms published 2026-10-12 on YouTube, Instagram and TikTok (Status still Scheduled; left for the workflow/Shivam). Per-video stats not in Metricool yet.</t>
  </si>
  <si>
    <t xml:space="preserve">Contrarian</t>
  </si>
  <si>
    <t xml:space="preserve">The testing effect</t>
  </si>
  <si>
    <t xml:space="preserve">Can a mini quiz help more than another reread?</t>
  </si>
  <si>
    <t xml:space="preserve">Show a study session with retrieval and later checking.</t>
  </si>
  <si>
    <t xml:space="preserve">Notebook closed then reopened</t>
  </si>
  <si>
    <t xml:space="preserve">testing-effect</t>
  </si>
  <si>
    <t xml:space="preserve">Stop Rereading. Do This Instead. #shorts</t>
  </si>
  <si>
    <t xml:space="preserve">Roediger &amp; Karpicke 2006, Psychological Science 17(3):249-255, Exp 2: 61% (STTT) vs 40% (SSSS) after one week (WashU news)</t>
  </si>
  <si>
    <t xml:space="preserve">buffer:youtube=6acfed31102b7fd4a48ef6cc;instagram=6acfed31ad454aea56cdfb2b;tiktok=6acfed3268efdf6f76c436db</t>
  </si>
  <si>
    <t xml:space="preserve">whiteboard</t>
  </si>
  <si>
    <t xml:space="preserve">Spacing your practice</t>
  </si>
  <si>
    <t xml:space="preserve">What happens when studying is spread across the week?</t>
  </si>
  <si>
    <t xml:space="preserve">Compare spaced sessions with one long cram session.</t>
  </si>
  <si>
    <t xml:space="preserve">Two study calendars</t>
  </si>
  <si>
    <t xml:space="preserve">spacing-effect</t>
  </si>
  <si>
    <t xml:space="preserve">Why Cramming Loses to This Simple Schedule #shorts</t>
  </si>
  <si>
    <t xml:space="preserve">Cepeda et al. 2006, Psychological Bulletin 132(3):354-380; 317 experiments/184 articles, spaced &gt; massed recall</t>
  </si>
  <si>
    <t xml:space="preserve">buffer:youtube=6ad27dfc346e510ac44f4f11;tiktok=6ad27dfd5720e82b418e1add</t>
  </si>
  <si>
    <t xml:space="preserve">Interleaving practice</t>
  </si>
  <si>
    <t xml:space="preserve">Why mix problem types while studying?</t>
  </si>
  <si>
    <t xml:space="preserve">Show choosing a method rather than repeating one method.</t>
  </si>
  <si>
    <t xml:space="preserve">Shuffled problem cards</t>
  </si>
  <si>
    <t xml:space="preserve">interleaving</t>
  </si>
  <si>
    <t xml:space="preserve">Rohrer &amp; Taylor 2007, Instructional Science 35:481-498; practice 89% blocked vs 60% mixed; test 1 wk later 63% mixed vs 20% blocked</t>
  </si>
  <si>
    <t xml:space="preserve">Memory is reconstructive</t>
  </si>
  <si>
    <t xml:space="preserve">Can two honest people remember the same event differently?</t>
  </si>
  <si>
    <t xml:space="preserve">Show how recall can rebuild details rather than replay video.</t>
  </si>
  <si>
    <t xml:space="preserve">Two drawings of one scene</t>
  </si>
  <si>
    <t xml:space="preserve">memory-rebuilds</t>
  </si>
  <si>
    <t xml:space="preserve">Loftus &amp; Palmer 1974, JVLVB 13(5):585-589; smashed 40.5 mph vs hit 34.0; broken glass 32% vs 14%</t>
  </si>
  <si>
    <t xml:space="preserve">The misinformation effect</t>
  </si>
  <si>
    <t xml:space="preserve">Can a question change what someone remembers?</t>
  </si>
  <si>
    <t xml:space="preserve">Compare neutral wording with a question suggesting a detail.</t>
  </si>
  <si>
    <t xml:space="preserve">Two interview captions</t>
  </si>
  <si>
    <t xml:space="preserve">Skipped by script writer 2026-10-17: storyboard is the same Loftus &amp; Palmer (1974) study as memory-rebuilds (No. 15, already Scripted) - near-duplicate. Needs a different angle (e.g. Loftus, Miller &amp; Burns 1978 stop/yield sign) or a later slot.</t>
  </si>
  <si>
    <t xml:space="preserve">Noir detective sketch: charcoal lines on cream paper, one red spot colour, slow pans across a crime board; the remembered scene redraws itself as the question changes.</t>
  </si>
  <si>
    <t xml:space="preserve"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</si>
  <si>
    <t xml:space="preserve">Cream paper #F3EBDD, charcoal ink #1E1B18, crime red #C8322B; Bebas Neue headlines, Courier Prime captions</t>
  </si>
  <si>
    <t xml:space="preserve">The witness (the One More protagonist redrawn in charcoal) and a faceless detective silhouette</t>
  </si>
  <si>
    <t xml:space="preserve">Soft car bump, pen scratches on the board, a glass tinkle when the broken glass appears, a page turn at the end</t>
  </si>
  <si>
    <t xml:space="preserve">Tip-of-the-tongue moments</t>
  </si>
  <si>
    <t xml:space="preserve">You know the word, so why won't it come out?</t>
  </si>
  <si>
    <t xml:space="preserve">Explore partial access to a word and its related clues.</t>
  </si>
  <si>
    <t xml:space="preserve">Missing-word bubble</t>
  </si>
  <si>
    <t xml:space="preserve">crayon</t>
  </si>
  <si>
    <t xml:space="preserve">The serial-position effect</t>
  </si>
  <si>
    <t xml:space="preserve">Which items from this list will you remember?</t>
  </si>
  <si>
    <t xml:space="preserve">Run a short list demo and discuss beginning and end advantages.</t>
  </si>
  <si>
    <t xml:space="preserve">Ten words flashed onscreen</t>
  </si>
  <si>
    <t xml:space="preserve">serial-position</t>
  </si>
  <si>
    <t xml:space="preserve">challenge</t>
  </si>
  <si>
    <t xml:space="preserve">Murdock, B. B., Jr. (1962). The serial position effect of free recall. J Exp Psychol 64(5):482-488 (free recall of 10-40 word lists; U-shaped curve with primacy and recency); rehearsal/short-term memory account per Rundus (1971), Glanzer &amp; Cunitz (1966)</t>
  </si>
  <si>
    <t xml:space="preserve">Story Short (2026-10-17). Headline font Baloo 2 instead of Fredoka (Fredoka has no 800 weight, which the build requests). Held from posting until 2026-11-01.</t>
  </si>
  <si>
    <t xml:space="preserve">data-story</t>
  </si>
  <si>
    <t xml:space="preserve">Game-show flat: a list of words on flip cards, then a U-shaped curve drawn live like a scoreboard; bouncy pops.</t>
  </si>
  <si>
    <t xml:space="preserve"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</si>
  <si>
    <t xml:space="preserve">Violet stage #4B2AA5, gold #FFD23F, white cards, pink #FF4FA3; Fredoka headlines, Nunito captions</t>
  </si>
  <si>
    <t xml:space="preserve">A quiz host (the One More protagonist in a bow tie)</t>
  </si>
  <si>
    <t xml:space="preserve">A card flip and tick per word, a rising tone as the curve draws, chime-bright on the takeaway</t>
  </si>
  <si>
    <t xml:space="preserve">Context and recall</t>
  </si>
  <si>
    <t xml:space="preserve">Why can returning to a room remind you of something?</t>
  </si>
  <si>
    <t xml:space="preserve">Explore how environmental cues can support recall.</t>
  </si>
  <si>
    <t xml:space="preserve">Doorway and reminder prop</t>
  </si>
  <si>
    <t xml:space="preserve">The illusion of understanding</t>
  </si>
  <si>
    <t xml:space="preserve">Can you explain how a zipper actually works?</t>
  </si>
  <si>
    <t xml:space="preserve">Ask for an explanation before showing the mechanism.</t>
  </si>
  <si>
    <t xml:space="preserve">Zipper close-up</t>
  </si>
  <si>
    <t xml:space="preserve">blueprint</t>
  </si>
  <si>
    <t xml:space="preserve">Attention and perception</t>
  </si>
  <si>
    <t xml:space="preserve">The Stroop challenge</t>
  </si>
  <si>
    <t xml:space="preserve">Say the ink color, not the word.</t>
  </si>
  <si>
    <t xml:space="preserve">Run a brief demo of competing automatic responses.</t>
  </si>
  <si>
    <t xml:space="preserve">Colored color words</t>
  </si>
  <si>
    <t xml:space="preserve">Weak</t>
  </si>
  <si>
    <t xml:space="preserve">stroop-ink</t>
  </si>
  <si>
    <t xml:space="preserve">Stroop, J. R. (1935). Studies of interference in serial verbal reactions. J Exp Psychol 18:643-662 (Exp. 2, 100 students: ~110 s vs ~63 s per sheet, +74%); MacLeod (1991) review</t>
  </si>
  <si>
    <t xml:space="preserve">Story format demo (2026-10-16). Held from posting until 2026-11-01.</t>
  </si>
  <si>
    <t xml:space="preserve">game-show</t>
  </si>
  <si>
    <t xml:space="preserve">Flat neon editorial like One More Never Enough: the same curly-haired protagonist, bold ink outlines, white page, rounded stage, pop-in shapes, swipe transitions; colour words that shake when ink and meaning clash.</t>
  </si>
  <si>
    <t xml:space="preserve"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</si>
  <si>
    <t xml:space="preserve">White page, ink #210B3D, violet #7624CE, hot pink, cyan, neon green highlight; Barlow Condensed headlines, Barlow captions</t>
  </si>
  <si>
    <t xml:space="preserve">the One More protagonist (curly hair, violet jacket)</t>
  </si>
  <si>
    <t xml:space="preserve">pop as each word appears, ticks while trying, a lightning zap when ink and word clash, chime-bright on +74%, three wooden taps at the end</t>
  </si>
  <si>
    <t xml:space="preserve">Inattentional blindness</t>
  </si>
  <si>
    <t xml:space="preserve">Can you miss something obvious while concentrating?</t>
  </si>
  <si>
    <t xml:space="preserve">Give a counting task with an unexpected background change.</t>
  </si>
  <si>
    <t xml:space="preserve">Original ball-counting animation</t>
  </si>
  <si>
    <t xml:space="preserve">inattentional-blindness</t>
  </si>
  <si>
    <t xml:space="preserve">Why You Can Miss a Gorilla Right in Front of You #shorts</t>
  </si>
  <si>
    <t xml:space="preserve">Simons &amp; Chabris 1999, Perception 28(9):1059-1074, doi:10.1068/p281059; gorilla condition 56% missed / 44% noticed (overall 46% missed, incl. umbrella woman).</t>
  </si>
  <si>
    <t xml:space="preserve">-7020071267758420690</t>
  </si>
  <si>
    <t xml:space="preserve">Metricool: published 2026-10-13 on YouTube + TikTok; Instagram ERROR (Unknown). Status still Scheduled. Per-video stats not in Metricool yet.</t>
  </si>
  <si>
    <t xml:space="preserve">Change blindness</t>
  </si>
  <si>
    <t xml:space="preserve">What changed between these two scenes?</t>
  </si>
  <si>
    <t xml:space="preserve">Reveal a changed object and explain limits of attention.</t>
  </si>
  <si>
    <t xml:space="preserve">Alternating room illustrations</t>
  </si>
  <si>
    <t xml:space="preserve">Bright flat cartoon street, playful and fast; spot-the-difference flicker panels; a big door slides through the frame and hides a swap.</t>
  </si>
  <si>
    <t xml:space="preserve"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</si>
  <si>
    <t xml:space="preserve">Sky #8FD3FF, sunny yellow #FFD447, coral #FF6B5B, ink #1D1D2C; Fredoka headlines, Nunito captions</t>
  </si>
  <si>
    <t xml:space="preserve">Two different strangers (one in a cap, one in glasses), a tourist with a map, two door carriers</t>
  </si>
  <si>
    <t xml:space="preserve">Camera-shutter flicker, footsteps, a whoosh as the door passes, a bright chime on the reveal</t>
  </si>
  <si>
    <t xml:space="preserve">The multitasking myth</t>
  </si>
  <si>
    <t xml:space="preserve">Try reading while counting backward.</t>
  </si>
  <si>
    <t xml:space="preserve">Demonstrate task switching and discuss its costs.</t>
  </si>
  <si>
    <t xml:space="preserve">Two competing tasks</t>
  </si>
  <si>
    <t xml:space="preserve">multitasking-myth</t>
  </si>
  <si>
    <t xml:space="preserve">Your Brain Can't Actually Multitask #shorts</t>
  </si>
  <si>
    <t xml:space="preserve">Strayer &amp; Johnston 2001, Psychological Science 12(6):462-466, Exp 1: miss rate more than doubled on phone; handheld = hands-free; radio n.s.</t>
  </si>
  <si>
    <t xml:space="preserve">buffer:youtube=6acfed33d7ed7764890a8f2b;instagram=6acfed33ad454aea56cdfbf1;tiktok=6acfed34d7ed7764890a8f69</t>
  </si>
  <si>
    <t xml:space="preserve">terminal</t>
  </si>
  <si>
    <t xml:space="preserve">Selective attention</t>
  </si>
  <si>
    <t xml:space="preserve">How do you hear your name in a noisy room?</t>
  </si>
  <si>
    <t xml:space="preserve">Explore attention to personally relevant signals.</t>
  </si>
  <si>
    <t xml:space="preserve">Party scene with name bubble</t>
  </si>
  <si>
    <t xml:space="preserve">cocktail-party</t>
  </si>
  <si>
    <t xml:space="preserve">Why You Hear Your Name in a Noisy Room #shorts</t>
  </si>
  <si>
    <t xml:space="preserve">Moray 1959, QJEP 11(1):56-60; words repeated 35x in rejected ear not recalled, ~1/3 noticed own name (cf. Wood &amp; Cowan 1995)</t>
  </si>
  <si>
    <t xml:space="preserve">buffer:youtube=6ad27dfe5720e82b418e1b51;tiktok=6ad27dfe346e510ac44f4f9b</t>
  </si>
  <si>
    <t xml:space="preserve">Expectation shapes perception</t>
  </si>
  <si>
    <t xml:space="preserve">What do you see before I give you a clue?</t>
  </si>
  <si>
    <t xml:space="preserve">Use an ambiguous image and then provide context.</t>
  </si>
  <si>
    <t xml:space="preserve">Original ambiguous drawing</t>
  </si>
  <si>
    <t xml:space="preserve">one-line</t>
  </si>
  <si>
    <t xml:space="preserve">Top-down processing</t>
  </si>
  <si>
    <t xml:space="preserve">Can you read a sentence with missing letters?</t>
  </si>
  <si>
    <t xml:space="preserve">Show how context helps interpret incomplete information.</t>
  </si>
  <si>
    <t xml:space="preserve">Incomplete sentence reveal</t>
  </si>
  <si>
    <t xml:space="preserve">The frequency illusion</t>
  </si>
  <si>
    <t xml:space="preserve">Why does a new word suddenly appear everywhere?</t>
  </si>
  <si>
    <t xml:space="preserve">Distinguish noticing more from a real increase.</t>
  </si>
  <si>
    <t xml:space="preserve">Word highlighted in everyday scenes</t>
  </si>
  <si>
    <t xml:space="preserve">Time perception</t>
  </si>
  <si>
    <t xml:space="preserve">Why can waiting feel longer than doing something?</t>
  </si>
  <si>
    <t xml:space="preserve">Compare attention to the clock with absorbing activity.</t>
  </si>
  <si>
    <t xml:space="preserve">Queue versus game animation</t>
  </si>
  <si>
    <t xml:space="preserve">cartoon-50s</t>
  </si>
  <si>
    <t xml:space="preserve">Notification interruptions</t>
  </si>
  <si>
    <t xml:space="preserve">How many times did your attention restart?</t>
  </si>
  <si>
    <t xml:space="preserve">Track interruptions during a short task.</t>
  </si>
  <si>
    <t xml:space="preserve">Notification counter</t>
  </si>
  <si>
    <t xml:space="preserve">Habits and motivation</t>
  </si>
  <si>
    <t xml:space="preserve">The habit cue</t>
  </si>
  <si>
    <t xml:space="preserve">What happens right before you reach for your phone?</t>
  </si>
  <si>
    <t xml:space="preserve">Map an everyday cue, action, and immediate consequence.</t>
  </si>
  <si>
    <t xml:space="preserve">Bedside phone sequence</t>
  </si>
  <si>
    <t xml:space="preserve">If-then plans</t>
  </si>
  <si>
    <t xml:space="preserve">What will you do when your usual excuse appears?</t>
  </si>
  <si>
    <t xml:space="preserve">Write a specific situation-action plan for one small task.</t>
  </si>
  <si>
    <t xml:space="preserve">If-then sticky note</t>
  </si>
  <si>
    <t xml:space="preserve">if-then-plans</t>
  </si>
  <si>
    <t xml:space="preserve">The Simple Plan That Beats Procrastination #shorts</t>
  </si>
  <si>
    <t xml:space="preserve">Gollwitzer &amp; Brandstätter 1997, JPSP 73(1):186-199, Study 2: 71% (12/17) vs 32% (6/19) wrote report within 2 days</t>
  </si>
  <si>
    <t xml:space="preserve">buffer:youtube=6ace86df1bdf729a2aa960ff;instagram=6ace86df4a3bafcd13007dde;tiktok=6ace86dfeaea728d3cae7f6c</t>
  </si>
  <si>
    <t xml:space="preserve">List</t>
  </si>
  <si>
    <t xml:space="preserve">Reducing friction</t>
  </si>
  <si>
    <t xml:space="preserve">Can moving one object change your routine?</t>
  </si>
  <si>
    <t xml:space="preserve">Compare accessible running shoes with shoes buried in a closet.</t>
  </si>
  <si>
    <t xml:space="preserve">Before-and-after shelf</t>
  </si>
  <si>
    <t xml:space="preserve">pixel-quest</t>
  </si>
  <si>
    <t xml:space="preserve">Increasing friction</t>
  </si>
  <si>
    <t xml:space="preserve">Make the distraction take one extra step.</t>
  </si>
  <si>
    <t xml:space="preserve">Show logging out or moving an app as a personal experiment.</t>
  </si>
  <si>
    <t xml:space="preserve">Mock phone home screen</t>
  </si>
  <si>
    <t xml:space="preserve">Present bias</t>
  </si>
  <si>
    <t xml:space="preserve">Why does tomorrow-you get all the hard work?</t>
  </si>
  <si>
    <t xml:space="preserve">Compare an immediate reward with a delayed benefit.</t>
  </si>
  <si>
    <t xml:space="preserve">Today and tomorrow characters</t>
  </si>
  <si>
    <t xml:space="preserve">present-bias</t>
  </si>
  <si>
    <t xml:space="preserve">Why You Always Choose Now Over Later #shorts</t>
  </si>
  <si>
    <t xml:space="preserve">Read &amp; van Leeuwen (1998), Organizational Behavior and Human Decision Processes 76(2)</t>
  </si>
  <si>
    <t xml:space="preserve">buffer:youtube=6ad131005063ce0336b55163;tiktok=6ad13101b4510d553d75dea0</t>
  </si>
  <si>
    <t xml:space="preserve">Procrastination and feelings</t>
  </si>
  <si>
    <t xml:space="preserve">What feeling are you avoiding when you postpone a task?</t>
  </si>
  <si>
    <t xml:space="preserve">Explore discomfort as one possible driver of delay.</t>
  </si>
  <si>
    <t xml:space="preserve">Task and emotion bubbles</t>
  </si>
  <si>
    <t xml:space="preserve">procrastination-feelings</t>
  </si>
  <si>
    <t xml:space="preserve">The Hidden Feeling Behind Your Procrastination #shorts</t>
  </si>
  <si>
    <t xml:space="preserve">Tice &amp; Baumeister 1997, Psychological Science 8(6):454-458; less stress early, more stress/illness late, lower grades; Sirois &amp; Pychyl 2013 mood repair</t>
  </si>
  <si>
    <t xml:space="preserve">buffer:youtube=6ad27e00346e510ac44f4fd1;tiktok=6ad27e005720e82b418e1bb9</t>
  </si>
  <si>
    <t xml:space="preserve">Reward timing</t>
  </si>
  <si>
    <t xml:space="preserve">Why might a small immediate reward matter?</t>
  </si>
  <si>
    <t xml:space="preserve">Design a modest reward after completing a study block.</t>
  </si>
  <si>
    <t xml:space="preserve">Timer and tea mug</t>
  </si>
  <si>
    <t xml:space="preserve">immediate-rewards</t>
  </si>
  <si>
    <t xml:space="preserve">Woolley &amp; Fishbach 2018, JPSP 114(6):877-890; immediate vs delayed rewards increase interest/persistence after reward ends</t>
  </si>
  <si>
    <t xml:space="preserve">Goal specificity</t>
  </si>
  <si>
    <t xml:space="preserve">Can you act on 'be more productive'?</t>
  </si>
  <si>
    <t xml:space="preserve">Turn a vague goal into a clearly defined next action.</t>
  </si>
  <si>
    <t xml:space="preserve">Goal rewritten onscreen</t>
  </si>
  <si>
    <t xml:space="preserve">Motivation versus routines</t>
  </si>
  <si>
    <t xml:space="preserve">What carries the task on a low-motivation day?</t>
  </si>
  <si>
    <t xml:space="preserve">Show how a simple routine can reduce repeated decisions.</t>
  </si>
  <si>
    <t xml:space="preserve">Calendar and repeatable setup</t>
  </si>
  <si>
    <t xml:space="preserve">Tracking progress</t>
  </si>
  <si>
    <t xml:space="preserve">Are you noticing the steps you already completed?</t>
  </si>
  <si>
    <t xml:space="preserve">Use a visible progress log without promising universal results.</t>
  </si>
  <si>
    <t xml:space="preserve">Checklist filling up</t>
  </si>
  <si>
    <t xml:space="preserve">Emotions and self-awareness</t>
  </si>
  <si>
    <t xml:space="preserve">Naming an emotion</t>
  </si>
  <si>
    <t xml:space="preserve">Is it anger, disappointment, or embarrassment?</t>
  </si>
  <si>
    <t xml:space="preserve">Show how a more precise label changes the conversation.</t>
  </si>
  <si>
    <t xml:space="preserve">Emotion word cards</t>
  </si>
  <si>
    <t xml:space="preserve">Feelings versus conclusions</t>
  </si>
  <si>
    <t xml:space="preserve">Does feeling rejected prove you were rejected?</t>
  </si>
  <si>
    <t xml:space="preserve">Separate an emotional response from an interpretation.</t>
  </si>
  <si>
    <t xml:space="preserve">Text message with two interpretations</t>
  </si>
  <si>
    <t xml:space="preserve">emotional-reasoning</t>
  </si>
  <si>
    <t xml:space="preserve">Your Feelings Aren't Always Facts #shorts</t>
  </si>
  <si>
    <t xml:space="preserve">Arntz, Rauner &amp; van den Hout 1995, Behaviour Research and Therapy 33(8):917-925, n=186; anxiety patients used anxiety-response info, controls only objective danger</t>
  </si>
  <si>
    <t xml:space="preserve">buffer:youtube=6ace86e1eaea728d3cae7fdc;instagram=6ace86e11bdf729a2aa961ae;tiktok=6ace86e29abb1755a4728c48</t>
  </si>
  <si>
    <t xml:space="preserve">Reappraisal</t>
  </si>
  <si>
    <t xml:space="preserve">Can the same setback have two meanings?</t>
  </si>
  <si>
    <t xml:space="preserve">Compare a fixed negative interpretation with another plausible one.</t>
  </si>
  <si>
    <t xml:space="preserve">Missed bus scenario</t>
  </si>
  <si>
    <t xml:space="preserve">reappraisal</t>
  </si>
  <si>
    <t xml:space="preserve">Say These 3 Words Before Anything Scary #shorts</t>
  </si>
  <si>
    <t xml:space="preserve">Brooks (2014), Journal of Experimental Psychology: General 143(3)</t>
  </si>
  <si>
    <t xml:space="preserve">buffer:youtube=6ad04e620d0df6a75bc21aba;instagram=6ad04e6278f377d888aeff2b;tiktok=6ad04e63e09e6bdb27e11075</t>
  </si>
  <si>
    <t xml:space="preserve">ted1</t>
  </si>
  <si>
    <t xml:space="preserve">Mixed emotions</t>
  </si>
  <si>
    <t xml:space="preserve">Can you feel excited and sad at the same time?</t>
  </si>
  <si>
    <t xml:space="preserve">Use graduation or moving away to show emotional coexistence.</t>
  </si>
  <si>
    <t xml:space="preserve">Packing boxes and graduation cap</t>
  </si>
  <si>
    <t xml:space="preserve">Rumination versus reflection</t>
  </si>
  <si>
    <t xml:space="preserve">Are you solving the problem or replaying it?</t>
  </si>
  <si>
    <t xml:space="preserve">Compare repetitive questions with a concrete next step.</t>
  </si>
  <si>
    <t xml:space="preserve">Loop animation versus action note</t>
  </si>
  <si>
    <t xml:space="preserve">Emotional granularity</t>
  </si>
  <si>
    <t xml:space="preserve">What does 'I feel bad' leave out?</t>
  </si>
  <si>
    <t xml:space="preserve">Offer several specific emotion words for one scenario.</t>
  </si>
  <si>
    <t xml:space="preserve">Emotion wheel illustration</t>
  </si>
  <si>
    <t xml:space="preserve">Suppression versus expression</t>
  </si>
  <si>
    <t xml:space="preserve">What happens when someone hides every reaction?</t>
  </si>
  <si>
    <t xml:space="preserve">Explore context-dependent tradeoffs without declaring one approach best.</t>
  </si>
  <si>
    <t xml:space="preserve">Neutral face and thought bubbles</t>
  </si>
  <si>
    <t xml:space="preserve">suppression</t>
  </si>
  <si>
    <t xml:space="preserve">What Hiding Your Feelings Does to the Other Person #shorts</t>
  </si>
  <si>
    <t xml:space="preserve">Butler et al. 2003, Emotion 3(1):48-67; suppression raised partners' blood pressure, lowered rapport/affiliation</t>
  </si>
  <si>
    <t xml:space="preserve">buffer:youtube=6ad3c111e272c4918f997f66;tiktok=6ad3c1120b0d72757aedb6ef</t>
  </si>
  <si>
    <t xml:space="preserve">Self-compassion after mistakes</t>
  </si>
  <si>
    <t xml:space="preserve">What would you say if your friend made this mistake?</t>
  </si>
  <si>
    <t xml:space="preserve">Compare harsh self-talk with a fair, constructive response.</t>
  </si>
  <si>
    <t xml:space="preserve">Two inner-dialogue captions</t>
  </si>
  <si>
    <t xml:space="preserve">Anticipation and enjoyment</t>
  </si>
  <si>
    <t xml:space="preserve">Can looking forward to something be part of the pleasure?</t>
  </si>
  <si>
    <t xml:space="preserve">Show planning a simple enjoyable event and noticing anticipation.</t>
  </si>
  <si>
    <t xml:space="preserve">Weekend calendar</t>
  </si>
  <si>
    <t xml:space="preserve">Emotions as information</t>
  </si>
  <si>
    <t xml:space="preserve">What might this emotion be drawing your attention to?</t>
  </si>
  <si>
    <t xml:space="preserve">Explore a feeling as a clue to needs rather than a command.</t>
  </si>
  <si>
    <t xml:space="preserve">Emotion-to-question cards</t>
  </si>
  <si>
    <t xml:space="preserve">Relationships and communication</t>
  </si>
  <si>
    <t xml:space="preserve">Active listening</t>
  </si>
  <si>
    <t xml:space="preserve">Can you repeat their point before replying?</t>
  </si>
  <si>
    <t xml:space="preserve">Demonstrate paraphrasing and checking understanding.</t>
  </si>
  <si>
    <t xml:space="preserve">Two-person conversation</t>
  </si>
  <si>
    <t xml:space="preserve">Validation without agreement</t>
  </si>
  <si>
    <t xml:space="preserve">Can you understand a feeling while disagreeing with a claim?</t>
  </si>
  <si>
    <t xml:space="preserve">Show a respectful response to a frustrated friend.</t>
  </si>
  <si>
    <t xml:space="preserve">Dialogue caption comparison</t>
  </si>
  <si>
    <t xml:space="preserve">Mind-reading assumptions</t>
  </si>
  <si>
    <t xml:space="preserve">How do you know what that short reply meant?</t>
  </si>
  <si>
    <t xml:space="preserve">Generate multiple explanations for an ambiguous message.</t>
  </si>
  <si>
    <t xml:space="preserve">Okay text bubble</t>
  </si>
  <si>
    <t xml:space="preserve">Clear requests</t>
  </si>
  <si>
    <t xml:space="preserve">Would they know what 'help more' actually means?</t>
  </si>
  <si>
    <t xml:space="preserve">Turn a vague complaint into a specific request.</t>
  </si>
  <si>
    <t xml:space="preserve">Kitchen cleanup scene</t>
  </si>
  <si>
    <t xml:space="preserve">Boundaries in plain language</t>
  </si>
  <si>
    <t xml:space="preserve">What does a clear boundary sound like?</t>
  </si>
  <si>
    <t xml:space="preserve">Use a calm limit paired with an action you control.</t>
  </si>
  <si>
    <t xml:space="preserve">Call timing example</t>
  </si>
  <si>
    <t xml:space="preserve">Repairing a misunderstanding</t>
  </si>
  <si>
    <t xml:space="preserve">What can you say after a conversation goes sideways?</t>
  </si>
  <si>
    <t xml:space="preserve">Model acknowledging impact, clarifying, and inviting a response.</t>
  </si>
  <si>
    <t xml:space="preserve">Conversation rewind</t>
  </si>
  <si>
    <t xml:space="preserve">Attribution in conflict</t>
  </si>
  <si>
    <t xml:space="preserve">Are you arguing about the event or their whole character?</t>
  </si>
  <si>
    <t xml:space="preserve">Replace a global label with the observed behavior.</t>
  </si>
  <si>
    <t xml:space="preserve">Always statement rewritten</t>
  </si>
  <si>
    <t xml:space="preserve">Reciprocity</t>
  </si>
  <si>
    <t xml:space="preserve">Why can a small favor create a sense of obligation?</t>
  </si>
  <si>
    <t xml:space="preserve">Explain reciprocal expectations and their context.</t>
  </si>
  <si>
    <t xml:space="preserve">Coffee favor exchange</t>
  </si>
  <si>
    <t xml:space="preserve">reciprocity</t>
  </si>
  <si>
    <t xml:space="preserve">Why a Free Gift Makes You Feel Like You Owe #shorts</t>
  </si>
  <si>
    <t xml:space="preserve">Regan 1971, Journal of Experimental Social Psychology 7:627-639; favor (Coke) roughly doubled raffle tickets bought; liking predicted buying only without favor (Wikipedia, Cialdini summaries)</t>
  </si>
  <si>
    <t xml:space="preserve">buffer:youtube=6ace86e34a3bafcd13007ef2;instagram=6ace86e49abb1755a4728ccf;tiktok=6ace86e4cb3665561f6351fe</t>
  </si>
  <si>
    <t xml:space="preserve">The mere-exposure effect</t>
  </si>
  <si>
    <t xml:space="preserve">Can familiarity influence liking?</t>
  </si>
  <si>
    <t xml:space="preserve">Explore repeated exposure without claiming it creates attraction.</t>
  </si>
  <si>
    <t xml:space="preserve">Repeated face illustrations</t>
  </si>
  <si>
    <t xml:space="preserve">mere-exposure</t>
  </si>
  <si>
    <t xml:space="preserve">Why People Like You More Without Knowing Why #shorts</t>
  </si>
  <si>
    <t xml:space="preserve">Moreland &amp; Beach 1992, J Exp Social Psych 28(3):255-276; women attended 0/5/10/15 lectures, rated more attractive/likeable with more exposure</t>
  </si>
  <si>
    <t xml:space="preserve">buffer:youtube=6ad131032aec0f0a6da4b49c;tiktok=6ad131044fd04e4eb3ab0df1</t>
  </si>
  <si>
    <t xml:space="preserve">Attachment labels online</t>
  </si>
  <si>
    <t xml:space="preserve">Can one unanswered text reveal your attachment style?</t>
  </si>
  <si>
    <t xml:space="preserve">Use the question to challenge simplistic relationship labeling.</t>
  </si>
  <si>
    <t xml:space="preserve">Label stamp crossed out</t>
  </si>
  <si>
    <t xml:space="preserve">Social psychology</t>
  </si>
  <si>
    <t xml:space="preserve">Conformity</t>
  </si>
  <si>
    <t xml:space="preserve">Would you change your answer if everyone else disagreed?</t>
  </si>
  <si>
    <t xml:space="preserve">Stage a group judgment scenario and discuss social pressure.</t>
  </si>
  <si>
    <t xml:space="preserve">Line-length cards</t>
  </si>
  <si>
    <t xml:space="preserve">conformity</t>
  </si>
  <si>
    <t xml:space="preserve">Would You Give a Wrong Answer to Fit In? #shorts</t>
  </si>
  <si>
    <t xml:space="preserve">Asch 1951 (1956 monograph): controls &lt;1% errors; ~74-75% conformed at least once; ~1/3 of critical responses (Wikipedia; textbook summaries)</t>
  </si>
  <si>
    <t xml:space="preserve">buffer:youtube=6acff9681cf1b660315c437a;instagram=6acff968fd7b73f9b827be52;tiktok=6acff96968bd56434b7c64ce</t>
  </si>
  <si>
    <t xml:space="preserve">Informational social influence</t>
  </si>
  <si>
    <t xml:space="preserve">When do we copy others because we're uncertain?</t>
  </si>
  <si>
    <t xml:space="preserve">Show a newcomer following the crowd in an unfamiliar setting.</t>
  </si>
  <si>
    <t xml:space="preserve">Station crowd animation</t>
  </si>
  <si>
    <t xml:space="preserve">informational-influence</t>
  </si>
  <si>
    <t xml:space="preserve">Why You Copy Others When You're Unsure #shorts</t>
  </si>
  <si>
    <t xml:space="preserve">Sherif 1935, Archives of Psychology 27(187); autokinetic effect, group estimates converge and persist when tested alone</t>
  </si>
  <si>
    <t xml:space="preserve">buffer:youtube=6ad1310584453eae6f32ec7f;tiktok=6ad131064fd04e4eb3ab0eb3</t>
  </si>
  <si>
    <t xml:space="preserve">Normative social influence</t>
  </si>
  <si>
    <t xml:space="preserve">Would you say you agree just to fit in?</t>
  </si>
  <si>
    <t xml:space="preserve">Contrast private opinion with public response.</t>
  </si>
  <si>
    <t xml:space="preserve">Thought bubble versus spoken answer</t>
  </si>
  <si>
    <t xml:space="preserve">normative-influence</t>
  </si>
  <si>
    <t xml:space="preserve">Why People Agree Out Loud but Not on Paper #shorts</t>
  </si>
  <si>
    <t xml:space="preserve">Asch 1956, Psychological Monographs 70(9); written private answers cut conformity sharply (cf. Deutsch &amp; Gerard 1955)</t>
  </si>
  <si>
    <t xml:space="preserve">buffer:youtube=6ad3c114ae173d6e00cc5d2c;tiktok=6ad3c114938409f1d09b2e54</t>
  </si>
  <si>
    <t xml:space="preserve">Social proof</t>
  </si>
  <si>
    <t xml:space="preserve">Does a long line prove the food is better?</t>
  </si>
  <si>
    <t xml:space="preserve">Explore popularity as a cue that can be imperfect.</t>
  </si>
  <si>
    <t xml:space="preserve">Two restaurant queues</t>
  </si>
  <si>
    <t xml:space="preserve">social-proof</t>
  </si>
  <si>
    <t xml:space="preserve">Goldstein, Cialdini &amp; Griskevicius 2008, J Consumer Research 35(3):472-482; towel reuse 35% standard, 44% descriptive norm, 49% same-room norm</t>
  </si>
  <si>
    <t xml:space="preserve">The bystander effect</t>
  </si>
  <si>
    <t xml:space="preserve">What changes when everyone thinks someone else will act?</t>
  </si>
  <si>
    <t xml:space="preserve">Explain diffusion of responsibility and a specific request for help.</t>
  </si>
  <si>
    <t xml:space="preserve">Group with one named helper</t>
  </si>
  <si>
    <t xml:space="preserve">bystander-effect</t>
  </si>
  <si>
    <t xml:space="preserve">Darley &amp; Latane 1968, JPSP 8(4):377-383; alone 85% helped before seizure ended vs 31% with four others</t>
  </si>
  <si>
    <t xml:space="preserve">Social loafing</t>
  </si>
  <si>
    <t xml:space="preserve">Who does the work when nobody's contribution is visible?</t>
  </si>
  <si>
    <t xml:space="preserve">Compare anonymous group effort with clear individual roles.</t>
  </si>
  <si>
    <t xml:space="preserve">Group project checklist</t>
  </si>
  <si>
    <t xml:space="preserve">social-loafing</t>
  </si>
  <si>
    <t xml:space="preserve"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</si>
  <si>
    <t xml:space="preserve">Warm risograph print: grainy blue and fluorescent pink overprint, slightly misregistered; a tug-of-war rope and bouncy little figures.</t>
  </si>
  <si>
    <t xml:space="preserve"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</si>
  <si>
    <t xml:space="preserve">Riso blue #0078BF, fluorescent pink #FF48B0, paper #F4EEE2; Rubik headlines and captions</t>
  </si>
  <si>
    <t xml:space="preserve">A crowd of small figures; the One More protagonist as the one who notices</t>
  </si>
  <si>
    <t xml:space="preserve">A whoosh per person who joins, airy fades as effort drops, three wooden taps at the end</t>
  </si>
  <si>
    <t xml:space="preserve">In-group favoritism</t>
  </si>
  <si>
    <t xml:space="preserve">Can a random team label change your judgment?</t>
  </si>
  <si>
    <t xml:space="preserve">Use arbitrary team colors to explore group preference.</t>
  </si>
  <si>
    <t xml:space="preserve">Red and green team badges</t>
  </si>
  <si>
    <t xml:space="preserve">Pluralistic ignorance</t>
  </si>
  <si>
    <t xml:space="preserve">What if everyone is confused but nobody asks?</t>
  </si>
  <si>
    <t xml:space="preserve">Show a class mistaking others' silence for understanding.</t>
  </si>
  <si>
    <t xml:space="preserve">Silent classroom thought bubbles</t>
  </si>
  <si>
    <t xml:space="preserve">Social facilitation</t>
  </si>
  <si>
    <t xml:space="preserve">Does an audience change how you perform?</t>
  </si>
  <si>
    <t xml:space="preserve">Compare a familiar task with a difficult new task under observation.</t>
  </si>
  <si>
    <t xml:space="preserve">Juggling demo illustration</t>
  </si>
  <si>
    <t xml:space="preserve">Group polarization</t>
  </si>
  <si>
    <t xml:space="preserve">Can a discussion push a group toward a stronger view?</t>
  </si>
  <si>
    <t xml:space="preserve">Show initially similar opinions becoming more extreme in discussion.</t>
  </si>
  <si>
    <t xml:space="preserve">Opinion scale animation</t>
  </si>
  <si>
    <t xml:space="preserve">Self-image and confidence</t>
  </si>
  <si>
    <t xml:space="preserve">Social comparison</t>
  </si>
  <si>
    <t xml:space="preserve">Who are you using as your measuring stick?</t>
  </si>
  <si>
    <t xml:space="preserve">Compare upward and downward comparisons in one everyday scenario.</t>
  </si>
  <si>
    <t xml:space="preserve">Two comparison ladders</t>
  </si>
  <si>
    <t xml:space="preserve">social-comparison</t>
  </si>
  <si>
    <t xml:space="preserve">Why You Feel Worse Next to Certain People #shorts</t>
  </si>
  <si>
    <t xml:space="preserve">Morse &amp; Gergen 1970, JPSP 16(1):148-156 ('Mr. Clean/Mr. Dirty'); self-esteem lower with competent rival, higher with sloppy (Stangor, Principles of Social Psychology 4.3)</t>
  </si>
  <si>
    <t xml:space="preserve">buffer:youtube=6acff96a38b78c67c8fec2aa;instagram=6acff96b68bd56434b7c651d;tiktok=6acff96b90e61174bee1ea47</t>
  </si>
  <si>
    <t xml:space="preserve">The better-than-average effect</t>
  </si>
  <si>
    <t xml:space="preserve">Can almost everyone be above average?</t>
  </si>
  <si>
    <t xml:space="preserve">Invite a skill rating and explain the statistical tension.</t>
  </si>
  <si>
    <t xml:space="preserve">Distribution sketch</t>
  </si>
  <si>
    <t xml:space="preserve">better-than-average</t>
  </si>
  <si>
    <t xml:space="preserve">93% Rated Their Driving Above Average. You? #shorts</t>
  </si>
  <si>
    <t xml:space="preserve">Svenson 1981, Acta Psychologica 47(2):143-148; 93% US / 69% Swedish students rated driving skill above median</t>
  </si>
  <si>
    <t xml:space="preserve">buffer:youtube=6ad131084fd04e4eb3ab0f47;tiktok=6ad13108b4510d553d75e196</t>
  </si>
  <si>
    <t xml:space="preserve">Impostor feelings</t>
  </si>
  <si>
    <t xml:space="preserve">Why can success still feel undeserved?</t>
  </si>
  <si>
    <t xml:space="preserve">Explore self-doubt without presenting it as a diagnosis.</t>
  </si>
  <si>
    <t xml:space="preserve">Award and doubtful thought bubble</t>
  </si>
  <si>
    <t xml:space="preserve">impostor-feelings</t>
  </si>
  <si>
    <t xml:space="preserve">Why Success Can Still Feel Like You're Faking It #shorts</t>
  </si>
  <si>
    <t xml:space="preserve">Clance &amp; Imes 1978, Psychotherapy 15(3):241-247 (150+ high-achieving women); Bravata et al. 2020 JGIM review, 62 studies, 9-82%</t>
  </si>
  <si>
    <t xml:space="preserve">buffer:youtube=6ad3c116938409f1d09b2eb1;tiktok=6ad3c117ae173d6e00cc5da0</t>
  </si>
  <si>
    <t xml:space="preserve">Perfectionism and starting</t>
  </si>
  <si>
    <t xml:space="preserve">What happens when the first draft must be flawless?</t>
  </si>
  <si>
    <t xml:space="preserve">Compare an untouched page with a rough workable draft.</t>
  </si>
  <si>
    <t xml:space="preserve">Blank versus messy page</t>
  </si>
  <si>
    <t xml:space="preserve">Contingent self-worth</t>
  </si>
  <si>
    <t xml:space="preserve">What happens when one grade decides your whole value?</t>
  </si>
  <si>
    <t xml:space="preserve">Separate a performance result from a global self-judgment.</t>
  </si>
  <si>
    <t xml:space="preserve">Grade card and identity cards</t>
  </si>
  <si>
    <t xml:space="preserve">Self-serving explanations</t>
  </si>
  <si>
    <t xml:space="preserve">Who gets the credit, and who gets the blame?</t>
  </si>
  <si>
    <t xml:space="preserve">Compare explanations for success and failure.</t>
  </si>
  <si>
    <t xml:space="preserve">Win and loss interview</t>
  </si>
  <si>
    <t xml:space="preserve">Confidence versus accuracy</t>
  </si>
  <si>
    <t xml:space="preserve">Does sounding certain make someone correct?</t>
  </si>
  <si>
    <t xml:space="preserve">Show two confident predictions and check their results.</t>
  </si>
  <si>
    <t xml:space="preserve">Prediction scoreboard</t>
  </si>
  <si>
    <t xml:space="preserve">Values versus approval</t>
  </si>
  <si>
    <t xml:space="preserve">Would you still choose it if nobody could see it?</t>
  </si>
  <si>
    <t xml:space="preserve">Use a private-choice prompt to explore personal priorities.</t>
  </si>
  <si>
    <t xml:space="preserve">Camera-on versus camera-off choice</t>
  </si>
  <si>
    <t xml:space="preserve">Identity and behavior</t>
  </si>
  <si>
    <t xml:space="preserve">What evidence supports the person you're trying to become?</t>
  </si>
  <si>
    <t xml:space="preserve">Connect an identity statement with a small observable action.</t>
  </si>
  <si>
    <t xml:space="preserve">Identity note and action clip</t>
  </si>
  <si>
    <t xml:space="preserve">The illusion of transparency</t>
  </si>
  <si>
    <t xml:space="preserve">Can others tell exactly how nervous you are?</t>
  </si>
  <si>
    <t xml:space="preserve">Compare an internal nervousness rating with an observer's impression.</t>
  </si>
  <si>
    <t xml:space="preserve">Inside versus outside view</t>
  </si>
  <si>
    <t xml:space="preserve">Digital life and consumer behavior</t>
  </si>
  <si>
    <t xml:space="preserve">Infinite scroll</t>
  </si>
  <si>
    <t xml:space="preserve">Where is the natural stopping point?</t>
  </si>
  <si>
    <t xml:space="preserve">Compare a page ending with a continuously refreshing feed.</t>
  </si>
  <si>
    <t xml:space="preserve">Original scrolling mockup</t>
  </si>
  <si>
    <t xml:space="preserve">Variable rewards online</t>
  </si>
  <si>
    <t xml:space="preserve">Why might the next swipe feel tempting?</t>
  </si>
  <si>
    <t xml:space="preserve">Discuss uncertain outcomes as one possible engagement mechanism.</t>
  </si>
  <si>
    <t xml:space="preserve">Swipe and changing content cards</t>
  </si>
  <si>
    <t xml:space="preserve">reward-learning</t>
  </si>
  <si>
    <t xml:space="preserve">Why Likes Make You Want to Post Again #shorts</t>
  </si>
  <si>
    <t xml:space="preserve">Lindström et al. 2021, Nature Communications 12:1311; &gt;1M posts, &gt;4,000 users; posting rate tracked like rate; experiment n=176 (UvA/Neuroscience News)</t>
  </si>
  <si>
    <t xml:space="preserve">buffer:youtube=6acfed2bd7ed7764890a8cb7;instagram=6acfed2b384901ac08409b26;tiktok=6acfed2cd7ed7764890a8d15</t>
  </si>
  <si>
    <t xml:space="preserve">Likes and feedback</t>
  </si>
  <si>
    <t xml:space="preserve">Would you post it if likes were hidden?</t>
  </si>
  <si>
    <t xml:space="preserve">Explore social feedback without reducing behavior to one brain chemical.</t>
  </si>
  <si>
    <t xml:space="preserve">Visible versus hidden like counts</t>
  </si>
  <si>
    <t xml:space="preserve">likes-feedback</t>
  </si>
  <si>
    <t xml:space="preserve">Would You Still Post It If Likes Were Hidden? #shorts</t>
  </si>
  <si>
    <t xml:space="preserve">Sherman et al. 2016, Psychological Science 27(7):1027-1035; n=32 teens 13-18, many-like photos liked more, NAcc activity for own photos with many likes</t>
  </si>
  <si>
    <t xml:space="preserve">buffer:youtube=6ad1310ab4510d553d75e22a;tiktok=6ad1310b84453eae6f32edcf</t>
  </si>
  <si>
    <t xml:space="preserve">Curated-feed comparisons</t>
  </si>
  <si>
    <t xml:space="preserve">Are you comparing a whole day with someone's highlight?</t>
  </si>
  <si>
    <t xml:space="preserve">Show what a polished post leaves outside the frame.</t>
  </si>
  <si>
    <t xml:space="preserve">Photo frame and backstage scene</t>
  </si>
  <si>
    <t xml:space="preserve">highlight-reel</t>
  </si>
  <si>
    <t xml:space="preserve">Why Everyone Else's Life Looks Better Online #shorts</t>
  </si>
  <si>
    <t xml:space="preserve">Jordan et al. 2011, PSPB 37(1):120-135; peers' negative emotions underestimated, positive overestimated; linked to loneliness, lower life satisfaction</t>
  </si>
  <si>
    <t xml:space="preserve">buffer:youtube=6ad51440769b457934d63ba1;tiktok=6ad51440938409f1d0e23dff;instagram=6ad5279cae173d6e0017d609</t>
  </si>
  <si>
    <t xml:space="preserve">Fear of missing out</t>
  </si>
  <si>
    <t xml:space="preserve">What do you imagine happening while you're offline?</t>
  </si>
  <si>
    <t xml:space="preserve">Explore imagined exclusion and tradeoffs in attention.</t>
  </si>
  <si>
    <t xml:space="preserve">Phone beside real-life activity</t>
  </si>
  <si>
    <t xml:space="preserve">fomo</t>
  </si>
  <si>
    <t xml:space="preserve">Przybylski et al. 2013, Computers in Human Behavior 29(4):1841-1848; FOMO correlates w/ lower mood &amp; life satisfaction, social media in lectures/driving</t>
  </si>
  <si>
    <t xml:space="preserve">Loss-aversion marketing</t>
  </si>
  <si>
    <t xml:space="preserve">Why does 'don't miss out' feel different from 'you could gain'?</t>
  </si>
  <si>
    <t xml:space="preserve">Compare loss and gain language without claiming everyone responds alike.</t>
  </si>
  <si>
    <t xml:space="preserve">Two promotional cards</t>
  </si>
  <si>
    <t xml:space="preserve">loss-framing</t>
  </si>
  <si>
    <t xml:space="preserve">Tversky &amp; Kahneman 1981, Science 211(4481):453-458; 200 saved 72% vs 400 die 22%</t>
  </si>
  <si>
    <t xml:space="preserve">Scarcity cues</t>
  </si>
  <si>
    <t xml:space="preserve">Would you want it as much without 'only two left'?</t>
  </si>
  <si>
    <t xml:space="preserve">Examine urgency cues and distinguish real from manufactured scarcity.</t>
  </si>
  <si>
    <t xml:space="preserve">Mock stock counter</t>
  </si>
  <si>
    <t xml:space="preserve">The decoy effect</t>
  </si>
  <si>
    <t xml:space="preserve">Can a third option change which deal looks best?</t>
  </si>
  <si>
    <t xml:space="preserve">Present two subscription choices and then add a decoy.</t>
  </si>
  <si>
    <t xml:space="preserve">Three pricing cards</t>
  </si>
  <si>
    <t xml:space="preserve">Mental accounting</t>
  </si>
  <si>
    <t xml:space="preserve">Why does a gift card feel different from cash?</t>
  </si>
  <si>
    <t xml:space="preserve">Compare decisions involving money labeled for different purposes.</t>
  </si>
  <si>
    <t xml:space="preserve">Two budget envelopes</t>
  </si>
  <si>
    <t xml:space="preserve">The endowment effect</t>
  </si>
  <si>
    <t xml:space="preserve">Why might your used mug feel worth more to you?</t>
  </si>
  <si>
    <t xml:space="preserve">Compare owner and buyer valuations in a hypothetical exchange.</t>
  </si>
  <si>
    <t xml:space="preserve">Mug with two price tags</t>
  </si>
  <si>
    <t xml:space="preserve">Psychology myths and interactive demos</t>
  </si>
  <si>
    <t xml:space="preserve">Learning-style labels</t>
  </si>
  <si>
    <t xml:space="preserve">Does preferring videos mean you learn only visually?</t>
  </si>
  <si>
    <t xml:space="preserve">Separate learning preferences from claims about matching instruction.</t>
  </si>
  <si>
    <t xml:space="preserve">Video, text, and practice cards</t>
  </si>
  <si>
    <t xml:space="preserve">learning-styles-myth</t>
  </si>
  <si>
    <t xml:space="preserve">The Learning Styles Myth Most Teachers Believe #shorts</t>
  </si>
  <si>
    <t xml:space="preserve">Dekker et al. 2012, Frontiers in Psychology 3:429, Table 1: 93% UK / 96% NL; Pashler et al. 2008, PSPI 9(3)</t>
  </si>
  <si>
    <t xml:space="preserve">buffer:youtube=6acfed2d68efdf6f76c4354c;instagram=6acfed2ed7ed7764890a8dc5;tiktok=6acfed2e68efdf6f76c43581</t>
  </si>
  <si>
    <t xml:space="preserve">Left-brain versus right-brain personalities</t>
  </si>
  <si>
    <t xml:space="preserve">Can a quiz really divide people into two brain types?</t>
  </si>
  <si>
    <t xml:space="preserve">Challenge the simplistic personality split.</t>
  </si>
  <si>
    <t xml:space="preserve">Brain with exaggerated labels removed</t>
  </si>
  <si>
    <t xml:space="preserve">left-right-brain-myth</t>
  </si>
  <si>
    <t xml:space="preserve">Left-Brained or Right-Brained? 1,000 Brain Scans Say #shorts</t>
  </si>
  <si>
    <t xml:space="preserve">Nielsen et al. 2013, PLOS ONE 8(8):e71275; 1,011 people aged 7-29, no whole-brain left/right dominance</t>
  </si>
  <si>
    <t xml:space="preserve">buffer:youtube=6ad14ad97998c185a61ca9af;tiktok=6ad14ada5533140b41cadc08</t>
  </si>
  <si>
    <t xml:space="preserve">The ten-percent brain myth</t>
  </si>
  <si>
    <t xml:space="preserve">Do we really leave most of the brain unused?</t>
  </si>
  <si>
    <t xml:space="preserve">Explain why the popular claim is misleading.</t>
  </si>
  <si>
    <t xml:space="preserve">Brain activity illustration</t>
  </si>
  <si>
    <t xml:space="preserve">ten-percent-myth</t>
  </si>
  <si>
    <t xml:space="preserve">Do You Really Use Only 10% of Your Brain? #shorts</t>
  </si>
  <si>
    <t xml:space="preserve">Beyerstein 1999, in Mind Myths (Della Sala ed.); imaging shows activity across all regions; brain ~2% body weight, ~20% energy</t>
  </si>
  <si>
    <t xml:space="preserve">buffer:youtube=6ad51441769b457934d63c00;tiktok=6ad514430a208cb32379c33b;instagram=6ad5279c938409f1d0e61830</t>
  </si>
  <si>
    <t xml:space="preserve">Body-language certainty</t>
  </si>
  <si>
    <t xml:space="preserve">Can crossed arms prove someone is lying?</t>
  </si>
  <si>
    <t xml:space="preserve">Show several ordinary explanations for one gesture.</t>
  </si>
  <si>
    <t xml:space="preserve">Cold room and crossed arms</t>
  </si>
  <si>
    <t xml:space="preserve">body-language-lies</t>
  </si>
  <si>
    <t xml:space="preserve">Bond &amp; DePaulo 2006, PSPR 10(3):214-234; 206 studies, ~24,000 judges, 54% accuracy</t>
  </si>
  <si>
    <t xml:space="preserve">Personality quizzes</t>
  </si>
  <si>
    <t xml:space="preserve">Why can a vague description feel uniquely accurate?</t>
  </si>
  <si>
    <t xml:space="preserve">Use a generic statement to introduce the Barnum effect.</t>
  </si>
  <si>
    <t xml:space="preserve">Same profile handed to several people</t>
  </si>
  <si>
    <t xml:space="preserve">Memory confidence</t>
  </si>
  <si>
    <t xml:space="preserve">Can you be confident and still remember incorrectly?</t>
  </si>
  <si>
    <t xml:space="preserve">Compare confidence with checked details of a staged event.</t>
  </si>
  <si>
    <t xml:space="preserve">Confidence meter and fact check</t>
  </si>
  <si>
    <t xml:space="preserve">Correlation versus causation</t>
  </si>
  <si>
    <t xml:space="preserve">Do ice cream sales cause swimming accidents?</t>
  </si>
  <si>
    <t xml:space="preserve">Introduce a third variable through a simple example.</t>
  </si>
  <si>
    <t xml:space="preserve">Summer temperature illustration</t>
  </si>
  <si>
    <t xml:space="preserve">Small samples</t>
  </si>
  <si>
    <t xml:space="preserve">Would five people be enough to speak for everyone?</t>
  </si>
  <si>
    <t xml:space="preserve">Compare a tiny poll with a larger varied sample.</t>
  </si>
  <si>
    <t xml:space="preserve">Five dots versus many dots</t>
  </si>
  <si>
    <t xml:space="preserve">Replication</t>
  </si>
  <si>
    <t xml:space="preserve">What happens when another team repeats the study?</t>
  </si>
  <si>
    <t xml:space="preserve">Explain why repeated testing helps assess findings.</t>
  </si>
  <si>
    <t xml:space="preserve">Two teams and matching procedures</t>
  </si>
  <si>
    <t xml:space="preserve">Psychology claim checklist</t>
  </si>
  <si>
    <t xml:space="preserve">Before sharing a psychology fact, ask these three questions.</t>
  </si>
  <si>
    <t xml:space="preserve">Ask about evidence, population, and limits of the conclusion.</t>
  </si>
  <si>
    <t xml:space="preserve">Three-question checklist</t>
  </si>
  <si>
    <t xml:space="preserve">Open loops (Zeigarnik effect)</t>
  </si>
  <si>
    <t xml:space="preserve">Nova, my brain won't let me sleep.</t>
  </si>
  <si>
    <t xml:space="preserve">Unfinished tasks stay active in memory (Zeigarnik 1927); writing the next step quiets them (Masicampo &amp; Baumeister 2011).</t>
  </si>
  <si>
    <t xml:space="preserve">Nova dialogue: Ash and robot Nova in a low-poly night room</t>
  </si>
  <si>
    <t xml:space="preserve">open-loops</t>
  </si>
  <si>
    <t xml:space="preserve">Why Your Brain Replays Your To-Do List at Night #shorts</t>
  </si>
  <si>
    <t xml:space="preserve">Zeigarnik 1927, Psychologische Forschung 9:1-85; Masicampo &amp; Baumeister 2011, JPSP 101(4):667-683</t>
  </si>
  <si>
    <t xml:space="preserve">buffer:youtube=6ad0715a8b6f374826e2018a;instagram=6ad0715b8886414c963c3815;tiktok=6ad0715b0ad4869c077e294a</t>
  </si>
  <si>
    <t xml:space="preserve">nova</t>
  </si>
  <si>
    <t xml:space="preserve">Why one more never feels like enough (dopamine and checking)</t>
  </si>
  <si>
    <t xml:space="preserve">You opened your phone for a minute.</t>
  </si>
  <si>
    <t xml:space="preserve">Dopamine helps the brain learn what to pursue; uncertain rewards keep you checking; small steps to make room for what matters.</t>
  </si>
  <si>
    <t xml:space="preserve">Claude Design editorial animation (One More Never Enough)</t>
  </si>
  <si>
    <t xml:space="preserve">one-more</t>
  </si>
  <si>
    <t xml:space="preserve">Why One More Scroll Never Feels Like Enough #shorts</t>
  </si>
  <si>
    <t xml:space="preserve">buffer:youtube=6ad1a654a82f34dbe1464882;tiktok=6ad1a654fb64fffcf1b41af2</t>
  </si>
  <si>
    <t xml:space="preserve">editorial</t>
  </si>
  <si>
    <t xml:space="preserve">3-Act Scripts — hook → escalation → payoff, one row per beat</t>
  </si>
  <si>
    <t xml:space="preserve">Each Short = 7 beats (~65–110 spoken words, 25–40 s). VO = what the narrator says; On-screen = caption / visual. Studies and numbers are written from memory: the script writer must still verify each "Claim to verify" with a web search before production.</t>
  </si>
  <si>
    <t xml:space="preserve">Hook formula</t>
  </si>
  <si>
    <t xml:space="preserve">Act</t>
  </si>
  <si>
    <t xml:space="preserve">Beat</t>
  </si>
  <si>
    <t xml:space="preserve">Time</t>
  </si>
  <si>
    <t xml:space="preserve">VO line</t>
  </si>
  <si>
    <t xml:space="preserve">On-screen text / visual</t>
  </si>
  <si>
    <t xml:space="preserve">Claim to verify</t>
  </si>
  <si>
    <t xml:space="preserve">I · Setup</t>
  </si>
  <si>
    <t xml:space="preserve">Hook</t>
  </si>
  <si>
    <t xml:space="preserve">0–3s</t>
  </si>
  <si>
    <t xml:space="preserve">That awkward thing you did yesterday? Almost nobody noticed.</t>
  </si>
  <si>
    <t xml:space="preserve">NOBODY NOTICED. | spotlight hits one person in a crowd</t>
  </si>
  <si>
    <t xml:space="preserve">Gilovich, Medvec &amp; Savitsky 2000: T-shirt wearers guessed ~50% noticed; ~25% did</t>
  </si>
  <si>
    <t xml:space="preserve">Setup</t>
  </si>
  <si>
    <t xml:space="preserve">3–8s</t>
  </si>
  <si>
    <t xml:space="preserve">You walk in, trip on the doorstep, and feel every eye on you.</t>
  </si>
  <si>
    <t xml:space="preserve">you trip → every head turns (imagined)</t>
  </si>
  <si>
    <t xml:space="preserve">II · Confrontation</t>
  </si>
  <si>
    <t xml:space="preserve">Evidence</t>
  </si>
  <si>
    <t xml:space="preserve">8–15s</t>
  </si>
  <si>
    <t xml:space="preserve">In 2000, Thomas Gilovich made students wear an embarrassing T-shirt into a full room.</t>
  </si>
  <si>
    <t xml:space="preserve">GILOVICH, 2000 | student in loud T-shirt</t>
  </si>
  <si>
    <t xml:space="preserve">Escalation</t>
  </si>
  <si>
    <t xml:space="preserve">15–22s</t>
  </si>
  <si>
    <t xml:space="preserve">The wearers guessed half the room noticed it. Only about a quarter did.</t>
  </si>
  <si>
    <t xml:space="preserve">GUESSED 50% → ACTUAL ~25% | bar chart</t>
  </si>
  <si>
    <t xml:space="preserve">Turn</t>
  </si>
  <si>
    <t xml:space="preserve">22–26s</t>
  </si>
  <si>
    <t xml:space="preserve">But here's why: everyone else is busy starring in their own spotlight.</t>
  </si>
  <si>
    <t xml:space="preserve">every person under their own spotlight</t>
  </si>
  <si>
    <t xml:space="preserve">III · Resolution</t>
  </si>
  <si>
    <t xml:space="preserve">Payoff</t>
  </si>
  <si>
    <t xml:space="preserve">26–32s</t>
  </si>
  <si>
    <t xml:space="preserve">It's called the spotlight effect. You're the main character only in your head.</t>
  </si>
  <si>
    <t xml:space="preserve">THE SPOTLIGHT EFFECT</t>
  </si>
  <si>
    <t xml:space="preserve">Outro</t>
  </si>
  <si>
    <t xml:space="preserve">32–36s</t>
  </si>
  <si>
    <t xml:space="preserve">Next time you cringe, remember they're replaying their own moment, not yours. Follow for tomorrow's trick on embarrassment.</t>
  </si>
  <si>
    <t xml:space="preserve">THEY'RE NOT WATCHING YOU | cut back to frame 1</t>
  </si>
  <si>
    <t xml:space="preserve">Your feed isn't showing you the news. It's showing you yourself.</t>
  </si>
  <si>
    <t xml:space="preserve">YOUR FEED = A MIRROR | phone reflecting a face</t>
  </si>
  <si>
    <t xml:space="preserve">Lord, Ross &amp; Lepper 1979: same mixed evidence, both sides grew more confident</t>
  </si>
  <si>
    <t xml:space="preserve">Two people read the same headline and walk away more sure they were right.</t>
  </si>
  <si>
    <t xml:space="preserve">one headline → two smug faces</t>
  </si>
  <si>
    <t xml:space="preserve">In 1979, Stanford researchers gave both sides of a debate the exact same mixed studies.</t>
  </si>
  <si>
    <t xml:space="preserve">STANFORD, 1979 | identical study packets</t>
  </si>
  <si>
    <t xml:space="preserve">Each side praised the study that agreed with them and picked apart the other.</t>
  </si>
  <si>
    <t xml:space="preserve">✓ agrees = 'great study' | ✗ disagrees = 'flawed'</t>
  </si>
  <si>
    <t xml:space="preserve">But the twist: after reading both, each side got more extreme, not less.</t>
  </si>
  <si>
    <t xml:space="preserve">BOTH SIDES GOT MORE EXTREME | opinion sliders split</t>
  </si>
  <si>
    <t xml:space="preserve">That's confirmation bias. We search for proof, not for truth.</t>
  </si>
  <si>
    <t xml:space="preserve">CONFIRMATION BIAS</t>
  </si>
  <si>
    <t xml:space="preserve">Try this: before you share something, look for the best argument against it. Save this for your next argument.</t>
  </si>
  <si>
    <t xml:space="preserve">FIND THE BEST COUNTER-ARGUMENT | checklist tick</t>
  </si>
  <si>
    <t xml:space="preserve">A random wheel spin changed how people answered a geography question.</t>
  </si>
  <si>
    <t xml:space="preserve">RANDOM WHEEL → YOUR ANSWER? | spinning wheel</t>
  </si>
  <si>
    <t xml:space="preserve">Tversky &amp; Kahneman 1974: wheel 10 → median 25%, wheel 65 → median 45%</t>
  </si>
  <si>
    <t xml:space="preserve">Researchers spun a wheel that landed on 10 or 65, then asked a totally unrelated question.</t>
  </si>
  <si>
    <t xml:space="preserve">wheel lands on 10 | wheel lands on 65</t>
  </si>
  <si>
    <t xml:space="preserve">What percent of UN countries are African? That's what Tversky and Kahneman asked in 1974.</t>
  </si>
  <si>
    <t xml:space="preserve">TVERSKY &amp; KAHNEMAN, 1974 | UN flags</t>
  </si>
  <si>
    <t xml:space="preserve">People who saw 10 guessed about 25 percent. People who saw 65 guessed about 45.</t>
  </si>
  <si>
    <t xml:space="preserve">SAW 10 → 25% | SAW 65 → 45%</t>
  </si>
  <si>
    <t xml:space="preserve">But the wheel was meaningless, and they knew it. The number still stuck.</t>
  </si>
  <si>
    <t xml:space="preserve">THEY KNEW IT WAS RANDOM</t>
  </si>
  <si>
    <t xml:space="preserve">It's the anchoring effect. The first number you see becomes the ruler for everything after.</t>
  </si>
  <si>
    <t xml:space="preserve">THE ANCHORING EFFECT | $200 crossed out → $89</t>
  </si>
  <si>
    <t xml:space="preserve">Before any negotiation, say your number first. Follow, because tomorrow's trick works on prices too.</t>
  </si>
  <si>
    <t xml:space="preserve">SAY YOUR NUMBER FIRST</t>
  </si>
  <si>
    <t xml:space="preserve">Which kills more people: sharks, or falling coconuts? Your brain just guessed wrong for a reason.</t>
  </si>
  <si>
    <t xml:space="preserve">SHARK vs ? | dramatic shark fin</t>
  </si>
  <si>
    <t xml:space="preserve">Lichtenstein et al. 1978: dramatic causes of death overestimated, common ones underestimated</t>
  </si>
  <si>
    <t xml:space="preserve">You see one plane crash on the news, and suddenly flying feels dangerous.</t>
  </si>
  <si>
    <t xml:space="preserve">news screen: PLANE CRASH | nervous traveler</t>
  </si>
  <si>
    <t xml:space="preserve">Tversky and Kahneman found we judge how common something is by how easily examples come to mind.</t>
  </si>
  <si>
    <t xml:space="preserve">TVERSKY &amp; KAHNEMAN, 1973 | memory folder</t>
  </si>
  <si>
    <t xml:space="preserve">In 1978, people overestimated dramatic deaths like tornadoes and underestimated quiet ones like stroke.</t>
  </si>
  <si>
    <t xml:space="preserve">TORNADO ↑ overestimated | STROKE ↓ underestimated</t>
  </si>
  <si>
    <t xml:space="preserve">But here's the catch: the scariest stories are the ones the news repeats most.</t>
  </si>
  <si>
    <t xml:space="preserve">SCARY = REPEATED = 'COMMON'</t>
  </si>
  <si>
    <t xml:space="preserve">That's the availability heuristic. Memorable feels frequent, even when it isn't.</t>
  </si>
  <si>
    <t xml:space="preserve">THE AVAILABILITY HEURISTIC</t>
  </si>
  <si>
    <t xml:space="preserve">When something feels common, ask: is it frequent, or just loud? Save this for the next scary headline.</t>
  </si>
  <si>
    <t xml:space="preserve">FREQUENT, OR JUST LOUD?</t>
  </si>
  <si>
    <t xml:space="preserve">You paid for a terrible movie. Do you stay, or walk out?</t>
  </si>
  <si>
    <t xml:space="preserve">STAY OR LEAVE? | movie ticket + exit sign</t>
  </si>
  <si>
    <t xml:space="preserve">Arkes &amp; Blumer 1985 ski-trip scenario: many picked the $100 trip they'd enjoy less</t>
  </si>
  <si>
    <t xml:space="preserve">Most people stay. After all, they already paid for it.</t>
  </si>
  <si>
    <t xml:space="preserve">'I already paid...' | bored person in cinema</t>
  </si>
  <si>
    <t xml:space="preserve">In 1985, Hal Arkes and Catherine Blumer told people they'd double-booked two ski trips.</t>
  </si>
  <si>
    <t xml:space="preserve">ARKES &amp; BLUMER, 1985 | two ski tickets</t>
  </si>
  <si>
    <t xml:space="preserve">A $100 trip, or a $50 trip they'd enjoy more. Many still chose the expensive one.</t>
  </si>
  <si>
    <t xml:space="preserve">$100 (less fun) vs $50 (more fun) → many chose $100</t>
  </si>
  <si>
    <t xml:space="preserve">But the money is gone either way. Staying only adds lost time to lost money.</t>
  </si>
  <si>
    <t xml:space="preserve">MONEY GONE EITHER WAY | + lost time</t>
  </si>
  <si>
    <t xml:space="preserve">That's the sunk-cost trap. Past costs hijacking a future decision.</t>
  </si>
  <si>
    <t xml:space="preserve">THE SUNK-COST TRAP</t>
  </si>
  <si>
    <t xml:space="preserve">Ask one question: if I hadn't paid, would I start this now? Use it on your next bad investment, and follow for more.</t>
  </si>
  <si>
    <t xml:space="preserve">WOULD I START THIS TODAY?</t>
  </si>
  <si>
    <t xml:space="preserve">The same man. Same accent. Same face. Students rated them completely differently.</t>
  </si>
  <si>
    <t xml:space="preserve">SAME MAN, TWO RATINGS | split-screen lecturer</t>
  </si>
  <si>
    <t xml:space="preserve">Nisbett &amp; Wilson 1977: warm vs cold lecturer, same accent judged more appealing</t>
  </si>
  <si>
    <t xml:space="preserve">In 1977, Richard Nisbett and Timothy Wilson showed students a video of a lecturer.</t>
  </si>
  <si>
    <t xml:space="preserve">NISBETT &amp; WILSON, 1977 | video on a screen</t>
  </si>
  <si>
    <t xml:space="preserve">Half saw him acting warm and friendly. Half saw him cold and strict.</t>
  </si>
  <si>
    <t xml:space="preserve">WARM 🙂 | COLD 😠</t>
  </si>
  <si>
    <t xml:space="preserve">Students who saw the warm version even rated his looks and accent as more appealing.</t>
  </si>
  <si>
    <t xml:space="preserve">WARM → looks ↑ accent ↑</t>
  </si>
  <si>
    <t xml:space="preserve">But here's the scary part: they insisted his warmth had nothing to do with it.</t>
  </si>
  <si>
    <t xml:space="preserve">'IT DIDN'T AFFECT ME'</t>
  </si>
  <si>
    <t xml:space="preserve">That's the halo effect. One good trait shines over everything else.</t>
  </si>
  <si>
    <t xml:space="preserve">THE HALO EFFECT | halo over a résumé</t>
  </si>
  <si>
    <t xml:space="preserve">In your next interview, lead with warmth before your skills. Save this, it works on first dates too.</t>
  </si>
  <si>
    <t xml:space="preserve">LEAD WITH WARMTH</t>
  </si>
  <si>
    <t xml:space="preserve">You didn't see it coming. You only think you did.</t>
  </si>
  <si>
    <t xml:space="preserve">YOU DIDN'T SEE IT COMING</t>
  </si>
  <si>
    <t xml:space="preserve">Fischhoff &amp; Beyth 1975: people misremembered predictions as closer to outcomes</t>
  </si>
  <si>
    <t xml:space="preserve">After the game ends, everyone says the result was obvious.</t>
  </si>
  <si>
    <t xml:space="preserve">scoreboard → crowd: 'Obviously!'</t>
  </si>
  <si>
    <t xml:space="preserve">In 1972, Baruch Fischhoff had people predict outcomes of Nixon's trips to China and Russia.</t>
  </si>
  <si>
    <t xml:space="preserve">FISCHHOFF &amp; BEYTH | sealed prediction envelope</t>
  </si>
  <si>
    <t xml:space="preserve">Afterwards, people remembered their predictions as closer to what actually happened.</t>
  </si>
  <si>
    <t xml:space="preserve">envelope opens: memory rewritten ✏️</t>
  </si>
  <si>
    <t xml:space="preserve">But your memory edits itself so smoothly you never feel it happen.</t>
  </si>
  <si>
    <t xml:space="preserve">MEMORY EDITS ITSELF</t>
  </si>
  <si>
    <t xml:space="preserve">It's hindsight bias. The 'I knew it all along' feeling.</t>
  </si>
  <si>
    <t xml:space="preserve">HINDSIGHT BIAS</t>
  </si>
  <si>
    <t xml:space="preserve">Write your predictions down before big events, then check them. You'll be humbled. Follow for more brain glitches.</t>
  </si>
  <si>
    <t xml:space="preserve">WRITE IT DOWN FIRST</t>
  </si>
  <si>
    <t xml:space="preserve">Save 200 people for sure, or take a gamble? Your answer depends on one word.</t>
  </si>
  <si>
    <t xml:space="preserve">SAVE 200 or GAMBLE? | two buttons</t>
  </si>
  <si>
    <t xml:space="preserve">Tversky &amp; Kahneman 1981 disease problem: 72% chose sure option (gain frame), 78% chose risky (loss frame)</t>
  </si>
  <si>
    <t xml:space="preserve">In 1981, Tversky and Kahneman described a disease expected to kill 600 people.</t>
  </si>
  <si>
    <t xml:space="preserve">TVERSKY &amp; KAHNEMAN, 1981 | 600 dots</t>
  </si>
  <si>
    <t xml:space="preserve">Told '200 will be saved', 72 percent picked the safe option.</t>
  </si>
  <si>
    <t xml:space="preserve">'200 SAVED' → 72% play safe</t>
  </si>
  <si>
    <t xml:space="preserve">Told '400 will die', 78 percent picked the gamble instead.</t>
  </si>
  <si>
    <t xml:space="preserve">'400 DIE' → 78% gamble</t>
  </si>
  <si>
    <t xml:space="preserve">But read it again. Both options are the exact same outcome.</t>
  </si>
  <si>
    <t xml:space="preserve">SAME OUTCOME | 200 saved = 400 die</t>
  </si>
  <si>
    <t xml:space="preserve">That's the framing effect. Gains make us careful. Losses make us gamble.</t>
  </si>
  <si>
    <t xml:space="preserve">THE FRAMING EFFECT</t>
  </si>
  <si>
    <t xml:space="preserve">When a choice feels obvious, flip the wording and ask again. Save this before your next big decision.</t>
  </si>
  <si>
    <t xml:space="preserve">FLIP THE WORDING</t>
  </si>
  <si>
    <t xml:space="preserve">Two neighbouring countries. One has almost everyone as an organ donor. The other, about 12 percent.</t>
  </si>
  <si>
    <t xml:space="preserve">99.98% vs 12% | two map shapes</t>
  </si>
  <si>
    <t xml:space="preserve">Johnson &amp; Goldstein 2003: Austria (opt-out) ~99.98% vs Germany (opt-in) ~12% donor consent</t>
  </si>
  <si>
    <t xml:space="preserve">Austria and Germany are similar in culture, wealth and values.</t>
  </si>
  <si>
    <t xml:space="preserve">AUSTRIA 🇦🇹 | GERMANY 🇩🇪</t>
  </si>
  <si>
    <t xml:space="preserve">In 2003, Eric Johnson and Daniel Goldstein found the difference was one checkbox.</t>
  </si>
  <si>
    <t xml:space="preserve">JOHNSON &amp; GOLDSTEIN, 2003 | a single checkbox</t>
  </si>
  <si>
    <t xml:space="preserve">In Austria, you're a donor unless you opt out. In Germany, you have to opt in.</t>
  </si>
  <si>
    <t xml:space="preserve">☑ preselected | ☐ empty</t>
  </si>
  <si>
    <t xml:space="preserve">But nobody was forced. People just kept whatever was already chosen.</t>
  </si>
  <si>
    <t xml:space="preserve">NOBODY WAS FORCED</t>
  </si>
  <si>
    <t xml:space="preserve">That's the default effect. The pre-ticked box makes the decision for you.</t>
  </si>
  <si>
    <t xml:space="preserve">THE DEFAULT EFFECT</t>
  </si>
  <si>
    <t xml:space="preserve">Check your settings, subscriptions and auto-renewals today. Then follow, tomorrow's trick is about free trials.</t>
  </si>
  <si>
    <t xml:space="preserve">CHECK YOUR DEFAULTS</t>
  </si>
  <si>
    <t xml:space="preserve">When you're late, it's traffic. When they're late, they're lazy.</t>
  </si>
  <si>
    <t xml:space="preserve">YOU: traffic 🚗 | THEM: lazy 😴</t>
  </si>
  <si>
    <t xml:space="preserve">Jones &amp; Harris 1967: essay writers judged as believing assigned position</t>
  </si>
  <si>
    <t xml:space="preserve">We explain our own mistakes with reasons, and other people's with character.</t>
  </si>
  <si>
    <t xml:space="preserve">your excuse vs their 'flaw'</t>
  </si>
  <si>
    <t xml:space="preserve">In 1967, Jones and Harris had people read essays praising Fidel Castro.</t>
  </si>
  <si>
    <t xml:space="preserve">JONES &amp; HARRIS, 1967 | essay pages</t>
  </si>
  <si>
    <t xml:space="preserve">Even when told the writer was assigned that side, readers still thought they believed it.</t>
  </si>
  <si>
    <t xml:space="preserve">'ASSIGNED' → 'THEY MEANT IT'</t>
  </si>
  <si>
    <t xml:space="preserve">But we see the situation for ourselves, and only the person for everyone else.</t>
  </si>
  <si>
    <t xml:space="preserve">YOU SEE THE SITUATION | THEY SEE THE PERSON</t>
  </si>
  <si>
    <t xml:space="preserve">It's the fundamental attribution error.</t>
  </si>
  <si>
    <t xml:space="preserve">THE FUNDAMENTAL ATTRIBUTION ERROR</t>
  </si>
  <si>
    <t xml:space="preserve">Next time someone annoys you, invent one situational reason first. Follow, this changes arguments.</t>
  </si>
  <si>
    <t xml:space="preserve">INVENT ONE REASON FIRST</t>
  </si>
  <si>
    <t xml:space="preserve">Rereading your notes makes you feel smart. That's the problem.</t>
  </si>
  <si>
    <t xml:space="preserve">FEELING SMART ≠ KNOWING | highlighted notes</t>
  </si>
  <si>
    <t xml:space="preserve">Recognition easier than recall (well established); Karpicke 2009 students prefer rereading</t>
  </si>
  <si>
    <t xml:space="preserve">You see the answer on a quiz and think, 'Oh yeah, I knew that.'</t>
  </si>
  <si>
    <t xml:space="preserve">multiple choice card: 'I knew that!'</t>
  </si>
  <si>
    <t xml:space="preserve">That's recognition. Your brain only has to match, not produce.</t>
  </si>
  <si>
    <t xml:space="preserve">RECOGNITION = MATCHING</t>
  </si>
  <si>
    <t xml:space="preserve">Recall means pulling it out of a blank page. That's what exams and real life ask for.</t>
  </si>
  <si>
    <t xml:space="preserve">RECALL = BLANK PAGE</t>
  </si>
  <si>
    <t xml:space="preserve">But here's the trap: familiarity feels exactly like understanding.</t>
  </si>
  <si>
    <t xml:space="preserve">FAMILIAR ≠ UNDERSTOOD</t>
  </si>
  <si>
    <t xml:space="preserve">Recognizing an answer isn't the same as knowing it.</t>
  </si>
  <si>
    <t xml:space="preserve">RECOGNITION ≠ RECALL</t>
  </si>
  <si>
    <t xml:space="preserve">Close the book and explain it out loud from memory. Save this for exam week, and follow for more study hacks.</t>
  </si>
  <si>
    <t xml:space="preserve">CLOSE THE BOOK. EXPLAIN IT.</t>
  </si>
  <si>
    <t xml:space="preserve">One study habit beat rereading by about 50 percent a week later.</t>
  </si>
  <si>
    <t xml:space="preserve">+50% a week later | stopwatch</t>
  </si>
  <si>
    <t xml:space="preserve">Roediger &amp; Karpicke 2006: one week later ~61% (tested) vs ~40% (restudied)</t>
  </si>
  <si>
    <t xml:space="preserve">In 2006, Henry Roediger and Jeffrey Karpicke gave students a passage to learn.</t>
  </si>
  <si>
    <t xml:space="preserve">ROEDIGER &amp; KARPICKE, 2006 | passage on desk</t>
  </si>
  <si>
    <t xml:space="preserve">One group reread it. The other group closed it and tested themselves.</t>
  </si>
  <si>
    <t xml:space="preserve">REREAD 📖 | SELF-TEST 📝</t>
  </si>
  <si>
    <t xml:space="preserve">Five minutes later, rereaders won. A week later, testers remembered about 61 percent versus 40.</t>
  </si>
  <si>
    <t xml:space="preserve">1 WEEK: 61% vs 40%</t>
  </si>
  <si>
    <t xml:space="preserve">But the testers felt less confident, even though they learned more.</t>
  </si>
  <si>
    <t xml:space="preserve">LESS CONFIDENT, MORE LEARNED</t>
  </si>
  <si>
    <t xml:space="preserve">That's the testing effect. Pulling memories out makes them stronger.</t>
  </si>
  <si>
    <t xml:space="preserve">THE TESTING EFFECT</t>
  </si>
  <si>
    <t xml:space="preserve">Turn every page into three questions, and quiz yourself tomorrow. Save this, your future grades will thank you.</t>
  </si>
  <si>
    <t xml:space="preserve">3 QUESTIONS PER PAGE</t>
  </si>
  <si>
    <t xml:space="preserve">Five hours of studying in one night, or the same five hours spread over a week?</t>
  </si>
  <si>
    <t xml:space="preserve">1 NIGHT vs 1 WEEK | two calendars</t>
  </si>
  <si>
    <t xml:space="preserve">Cepeda et al. 2006 meta-analysis; Ebbinghaus 1885 forgetting curve</t>
  </si>
  <si>
    <t xml:space="preserve">Cramming feels productive. Everything seems fresh by the end of the night.</t>
  </si>
  <si>
    <t xml:space="preserve">late-night desk, coffee, 'I got this'</t>
  </si>
  <si>
    <t xml:space="preserve">In 1885, Hermann Ebbinghaus mapped how fast we forget, and found spacing slows it.</t>
  </si>
  <si>
    <t xml:space="preserve">EBBINGHAUS, 1885 | forgetting curve</t>
  </si>
  <si>
    <t xml:space="preserve">A 2006 review of over 300 experiments, by Cepeda and colleagues, confirmed it.</t>
  </si>
  <si>
    <t xml:space="preserve">300+ EXPERIMENTS AGREE</t>
  </si>
  <si>
    <t xml:space="preserve">But the forgetting between sessions is the point. Struggling to remember builds the memory.</t>
  </si>
  <si>
    <t xml:space="preserve">FORGETTING = TRAINING</t>
  </si>
  <si>
    <t xml:space="preserve">It's the spacing effect. Same hours, much longer memory.</t>
  </si>
  <si>
    <t xml:space="preserve">THE SPACING EFFECT</t>
  </si>
  <si>
    <t xml:space="preserve">Split your next study session into three short ones across the week. Follow for tomorrow's study trick.</t>
  </si>
  <si>
    <t xml:space="preserve">SPLIT IT INTO 3</t>
  </si>
  <si>
    <t xml:space="preserve">Students who practised the 'messy' way scored three times higher.</t>
  </si>
  <si>
    <t xml:space="preserve">3× HIGHER | shuffled cards</t>
  </si>
  <si>
    <t xml:space="preserve">Rohrer &amp; Taylor 2007: interleaved 63% vs blocked 20% on delayed test</t>
  </si>
  <si>
    <t xml:space="preserve">Most of us practise one type of problem, over and over, until it clicks.</t>
  </si>
  <si>
    <t xml:space="preserve">AAAA BBBB CCCC | neat rows</t>
  </si>
  <si>
    <t xml:space="preserve">In 2007, Doug Rohrer and Kelli Taylor had students mix problem types instead.</t>
  </si>
  <si>
    <t xml:space="preserve">ROHRER &amp; TAYLOR, 2007 | ABCA BCAB</t>
  </si>
  <si>
    <t xml:space="preserve">A week later, the mixed group scored 63 percent. The blocked group, just 20.</t>
  </si>
  <si>
    <t xml:space="preserve">MIXED 63% | BLOCKED 20%</t>
  </si>
  <si>
    <t xml:space="preserve">But during practice, the mixed group did worse and felt confused.</t>
  </si>
  <si>
    <t xml:space="preserve">PRACTICE: messy felt worse</t>
  </si>
  <si>
    <t xml:space="preserve">That's interleaving. You learn to choose the method, not just repeat it.</t>
  </si>
  <si>
    <t xml:space="preserve">INTERLEAVING</t>
  </si>
  <si>
    <t xml:space="preserve">Shuffle your flashcards and mix your problem sets. Save this before your next exam.</t>
  </si>
  <si>
    <t xml:space="preserve">SHUFFLE YOUR PRACTICE</t>
  </si>
  <si>
    <t xml:space="preserve">Your memory isn't a video. It's a remake.</t>
  </si>
  <si>
    <t xml:space="preserve">NOT A VIDEO. A REMAKE. | film reel tearing</t>
  </si>
  <si>
    <t xml:space="preserve">Bartlett 1932 'War of the Ghosts': retellings shifted toward familiar culture</t>
  </si>
  <si>
    <t xml:space="preserve">Two honest friends remember the same night completely differently.</t>
  </si>
  <si>
    <t xml:space="preserve">two drawings of one party, different details</t>
  </si>
  <si>
    <t xml:space="preserve">In 1932, Frederic Bartlett had people read and retell an unfamiliar Native American folk tale.</t>
  </si>
  <si>
    <t xml:space="preserve">BARTLETT, 1932 | old storybook</t>
  </si>
  <si>
    <t xml:space="preserve">With each retelling, they dropped strange details and added familiar ones.</t>
  </si>
  <si>
    <t xml:space="preserve">strange details fade ✂️ | familiar ones appear ✏️</t>
  </si>
  <si>
    <t xml:space="preserve">But nobody was lying. Each time you remember, your brain rebuilds the scene.</t>
  </si>
  <si>
    <t xml:space="preserve">NOBODY WAS LYING</t>
  </si>
  <si>
    <t xml:space="preserve">Memory is reconstructive.</t>
  </si>
  <si>
    <t xml:space="preserve">MEMORY IS RECONSTRUCTIVE</t>
  </si>
  <si>
    <t xml:space="preserve">Before you argue about 'what really happened', check a photo or message first. Follow, tomorrow it gets weirder.</t>
  </si>
  <si>
    <t xml:space="preserve">CHECK THE RECEIPTS</t>
  </si>
  <si>
    <t xml:space="preserve">One word made people remember broken glass that was never there.</t>
  </si>
  <si>
    <t xml:space="preserve">BROKEN GLASS? | glass shatters</t>
  </si>
  <si>
    <t xml:space="preserve">Loftus &amp; Palmer 1974: 'smashed' ~41 mph vs 'hit' ~34 mph; 32% vs 14% recalled broken glass</t>
  </si>
  <si>
    <t xml:space="preserve">In 1974, Elizabeth Loftus and John Palmer showed students a video of a car crash.</t>
  </si>
  <si>
    <t xml:space="preserve">LOFTUS &amp; PALMER, 1974 | two cars</t>
  </si>
  <si>
    <t xml:space="preserve">Some were asked how fast the cars 'hit'. Others, how fast they 'smashed'.</t>
  </si>
  <si>
    <t xml:space="preserve">'HIT' vs 'SMASHED'</t>
  </si>
  <si>
    <t xml:space="preserve">'Smashed' raised speed estimates, from about 34 to 41 miles an hour.</t>
  </si>
  <si>
    <t xml:space="preserve">34 mph → 41 mph</t>
  </si>
  <si>
    <t xml:space="preserve">But a week later, 32 percent of the 'smashed' group remembered broken glass. There was none.</t>
  </si>
  <si>
    <t xml:space="preserve">32% SAW GLASS THAT WASN'T THERE</t>
  </si>
  <si>
    <t xml:space="preserve">That's the misinformation effect. A question can rewrite a memory.</t>
  </si>
  <si>
    <t xml:space="preserve">THE MISINFORMATION EFFECT</t>
  </si>
  <si>
    <t xml:space="preserve">When you ask someone what happened, keep your questions neutral. Save this, it matters in every argument.</t>
  </si>
  <si>
    <t xml:space="preserve">ASK NEUTRAL QUESTIONS</t>
  </si>
  <si>
    <t xml:space="preserve">You know the word. It's right there. Why won't it come out?</t>
  </si>
  <si>
    <t xml:space="preserve">IT'S RIGHT THERE... | empty speech bubble</t>
  </si>
  <si>
    <t xml:space="preserve">Brown &amp; McNeill 1966: people could often recall first letter and syllable count</t>
  </si>
  <si>
    <t xml:space="preserve">You can feel the shape of it, the first letter, maybe how long it is.</t>
  </si>
  <si>
    <t xml:space="preserve">S _ _ _ _ _ _ (3 syllables?)</t>
  </si>
  <si>
    <t xml:space="preserve">In 1966, Roger Brown and David McNeill read people definitions of rare words.</t>
  </si>
  <si>
    <t xml:space="preserve">BROWN &amp; MCNEILL, 1966 | dictionary</t>
  </si>
  <si>
    <t xml:space="preserve">Stuck people could often guess the first letter and number of syllables.</t>
  </si>
  <si>
    <t xml:space="preserve">first letter ✓ | syllables ✓ | word ✗</t>
  </si>
  <si>
    <t xml:space="preserve">But here's the twist: the meaning is stored, the sound link is what's failing.</t>
  </si>
  <si>
    <t xml:space="preserve">MEANING ✓ | SOUND ✗</t>
  </si>
  <si>
    <t xml:space="preserve">It's the tip-of-the-tongue state.</t>
  </si>
  <si>
    <t xml:space="preserve">TIP-OF-THE-TONGUE</t>
  </si>
  <si>
    <t xml:space="preserve">Stop forcing it and think of related words or the first sound; it often pops up. Follow for more memory quirks.</t>
  </si>
  <si>
    <t xml:space="preserve">STOP FORCING IT</t>
  </si>
  <si>
    <t xml:space="preserve">Remember these: apple, chair, river, candle, horse, piano, glove, rocket, lemon, clock.</t>
  </si>
  <si>
    <t xml:space="preserve">10 words flash one by one</t>
  </si>
  <si>
    <t xml:space="preserve">Murdock 1962: recall best for first and last list items</t>
  </si>
  <si>
    <t xml:space="preserve">Now, without looking, which ones do you still have?</t>
  </si>
  <si>
    <t xml:space="preserve">WHICH DO YOU REMEMBER?</t>
  </si>
  <si>
    <t xml:space="preserve">Most people get apple and clock, and lose the middle.</t>
  </si>
  <si>
    <t xml:space="preserve">APPLE ✓ ... (blur) ... CLOCK ✓</t>
  </si>
  <si>
    <t xml:space="preserve">In 1962, Bennet Murdock found the same U-shape across lists of words.</t>
  </si>
  <si>
    <t xml:space="preserve">MURDOCK, 1962 | U-shaped curve</t>
  </si>
  <si>
    <t xml:space="preserve">But it's not random: the first items get rehearsed, the last are still in working memory.</t>
  </si>
  <si>
    <t xml:space="preserve">FIRST = rehearsed | LAST = still fresh</t>
  </si>
  <si>
    <t xml:space="preserve">It's the serial-position effect.</t>
  </si>
  <si>
    <t xml:space="preserve">THE SERIAL-POSITION EFFECT</t>
  </si>
  <si>
    <t xml:space="preserve">Put your strongest point first or last in any pitch. Save this for your next presentation.</t>
  </si>
  <si>
    <t xml:space="preserve">BEST POINT: FIRST OR LAST</t>
  </si>
  <si>
    <t xml:space="preserve">Divers remembered more underwater, if that's where they learned it.</t>
  </si>
  <si>
    <t xml:space="preserve">UNDERWATER MEMORY | diver with word list</t>
  </si>
  <si>
    <t xml:space="preserve">Godden &amp; Baddeley 1975: divers recalled better in learning environment; Radvansky 2011 doorway effect</t>
  </si>
  <si>
    <t xml:space="preserve">In 1975, Duncan Godden and Alan Baddeley had divers learn words on land or underwater.</t>
  </si>
  <si>
    <t xml:space="preserve">GODDEN &amp; BADDELEY, 1975 | beach vs sea</t>
  </si>
  <si>
    <t xml:space="preserve">Recall was better when they were tested in the same place they learned.</t>
  </si>
  <si>
    <t xml:space="preserve">SAME PLACE = BETTER RECALL</t>
  </si>
  <si>
    <t xml:space="preserve">And walking through a doorway can make you forget why you came in.</t>
  </si>
  <si>
    <t xml:space="preserve">walks through door: '...why am I here?'</t>
  </si>
  <si>
    <t xml:space="preserve">But go back to where you were, and the memory often comes right back.</t>
  </si>
  <si>
    <t xml:space="preserve">WALK BACK → IT RETURNS</t>
  </si>
  <si>
    <t xml:space="preserve">Your surroundings are memory cues. That's context-dependent memory.</t>
  </si>
  <si>
    <t xml:space="preserve">CONTEXT-DEPENDENT MEMORY</t>
  </si>
  <si>
    <t xml:space="preserve">Forgot something? Retrace your steps physically. Follow, tomorrow's memory trick is even stranger.</t>
  </si>
  <si>
    <t xml:space="preserve">RETRACE YOUR STEPS</t>
  </si>
  <si>
    <t xml:space="preserve">You use a zipper every day. Can you explain how it works? Right now.</t>
  </si>
  <si>
    <t xml:space="preserve">EXPLAIN A ZIPPER | zipper close-up</t>
  </si>
  <si>
    <t xml:space="preserve">Rozenblit &amp; Keil 2002: ratings of understanding dropped after trying to explain</t>
  </si>
  <si>
    <t xml:space="preserve">Most people rate their understanding pretty high, maybe a 5 out of 7.</t>
  </si>
  <si>
    <t xml:space="preserve">confidence meter: 5/7</t>
  </si>
  <si>
    <t xml:space="preserve">In 2002, Leonid Rozenblit and Frank Keil asked people to actually write the explanation.</t>
  </si>
  <si>
    <t xml:space="preserve">ROZENBLIT &amp; KEIL, 2002 | blank page</t>
  </si>
  <si>
    <t xml:space="preserve">Ratings dropped sharply once people tried. The gaps became obvious.</t>
  </si>
  <si>
    <t xml:space="preserve">5/7 → 3/7 ⬇</t>
  </si>
  <si>
    <t xml:space="preserve">But this isn't just zippers. It happens with toilets, laws and politics too.</t>
  </si>
  <si>
    <t xml:space="preserve">TOILETS. LAWS. POLITICS.</t>
  </si>
  <si>
    <t xml:space="preserve">It's the illusion of explanatory depth.</t>
  </si>
  <si>
    <t xml:space="preserve">THE ILLUSION OF EXPLANATORY DEPTH</t>
  </si>
  <si>
    <t xml:space="preserve">Before arguing a strong opinion, try explaining step by step how it works. Save this for your next debate.</t>
  </si>
  <si>
    <t xml:space="preserve">EXPLAIN IT STEP BY STEP</t>
  </si>
  <si>
    <t xml:space="preserve">Say the colour of the ink, not the word. Go.</t>
  </si>
  <si>
    <t xml:space="preserve">RED (in blue) | GREEN (in red)</t>
  </si>
  <si>
    <t xml:space="preserve">Stroop 1935: naming ink colour slower when word names a different colour</t>
  </si>
  <si>
    <t xml:space="preserve">Harder than it looks, right? You slowed down or slipped.</t>
  </si>
  <si>
    <t xml:space="preserve">slow-motion timer ticking</t>
  </si>
  <si>
    <t xml:space="preserve">In 1935, John Ridley Stroop showed people slow down when the word and ink clash.</t>
  </si>
  <si>
    <t xml:space="preserve">STROOP, 1935</t>
  </si>
  <si>
    <t xml:space="preserve">Reading is so automatic, your brain does it before you can stop it.</t>
  </si>
  <si>
    <t xml:space="preserve">READING = AUTOPILOT</t>
  </si>
  <si>
    <t xml:space="preserve">But that clash shows two systems fighting: habit versus intention.</t>
  </si>
  <si>
    <t xml:space="preserve">HABIT vs INTENTION | tug of war</t>
  </si>
  <si>
    <t xml:space="preserve">It's the Stroop effect.</t>
  </si>
  <si>
    <t xml:space="preserve">THE STROOP EFFECT</t>
  </si>
  <si>
    <t xml:space="preserve">Send this to a friend and time them. Follow for tomorrow's brain test.</t>
  </si>
  <si>
    <t xml:space="preserve">TIME A FRIEND ⏱</t>
  </si>
  <si>
    <t xml:space="preserve">Count the passes between the white shirts. Don't miss one.</t>
  </si>
  <si>
    <t xml:space="preserve">COUNT THE PASSES | players passing ball</t>
  </si>
  <si>
    <t xml:space="preserve">Simons &amp; Chabris 1999: about half missed the gorilla</t>
  </si>
  <si>
    <t xml:space="preserve">Got your number? Did you see the gorilla?</t>
  </si>
  <si>
    <t xml:space="preserve">🦍 walks through, beats chest</t>
  </si>
  <si>
    <t xml:space="preserve">In 1999, Daniel Simons and Christopher Chabris ran this exact test.</t>
  </si>
  <si>
    <t xml:space="preserve">SIMONS &amp; CHABRIS, 1999</t>
  </si>
  <si>
    <t xml:space="preserve">About half the viewers never saw a person in a gorilla suit walk through.</t>
  </si>
  <si>
    <t xml:space="preserve">~50% MISSED THE GORILLA</t>
  </si>
  <si>
    <t xml:space="preserve">But they weren't careless. Focus on one thing blocks out the rest.</t>
  </si>
  <si>
    <t xml:space="preserve">FOCUS = BLINDERS</t>
  </si>
  <si>
    <t xml:space="preserve">It's inattentional blindness.</t>
  </si>
  <si>
    <t xml:space="preserve">INATTENTIONAL BLINDNESS</t>
  </si>
  <si>
    <t xml:space="preserve">That's why texting while driving is so dangerous. Share this with someone who drives distracted.</t>
  </si>
  <si>
    <t xml:space="preserve">EYES ON THE ROAD</t>
  </si>
  <si>
    <t xml:space="preserve">Half the people didn't notice they were talking to a different person.</t>
  </si>
  <si>
    <t xml:space="preserve">DIFFERENT PERSON? | face swap</t>
  </si>
  <si>
    <t xml:space="preserve">Simons &amp; Levin 1998: about half didn't notice the person they were talking to was swapped</t>
  </si>
  <si>
    <t xml:space="preserve">In 1998, a stranger stopped people on campus to ask directions.</t>
  </si>
  <si>
    <t xml:space="preserve">SIMONS &amp; LEVIN, 1998 | campus map</t>
  </si>
  <si>
    <t xml:space="preserve">Two workers carried a door between them, and the stranger swapped places.</t>
  </si>
  <si>
    <t xml:space="preserve">door passes → stranger replaced</t>
  </si>
  <si>
    <t xml:space="preserve">About half kept giving directions to a totally new person.</t>
  </si>
  <si>
    <t xml:space="preserve">~50% DIDN'T NOTICE</t>
  </si>
  <si>
    <t xml:space="preserve">But your brain doesn't store the whole scene. It stores the gist.</t>
  </si>
  <si>
    <t xml:space="preserve">BRAIN SAVES THE GIST</t>
  </si>
  <si>
    <t xml:space="preserve">It's change blindness.</t>
  </si>
  <si>
    <t xml:space="preserve">CHANGE BLINDNESS</t>
  </si>
  <si>
    <t xml:space="preserve">Before you say 'I'd notice that', watch this video again. Follow for tomorrow's perception test.</t>
  </si>
  <si>
    <t xml:space="preserve">WOULD YOU NOTICE?</t>
  </si>
  <si>
    <t xml:space="preserve">Count backwards from 100 by sevens, while reading this sentence.</t>
  </si>
  <si>
    <t xml:space="preserve">100... 93... 86... + scrolling text</t>
  </si>
  <si>
    <t xml:space="preserve">Rubinstein, Meyer &amp; Evans 2001: task-switching costs time</t>
  </si>
  <si>
    <t xml:space="preserve">Hard? That's because you weren't multitasking. You were switching.</t>
  </si>
  <si>
    <t xml:space="preserve">NOT MULTITASKING. SWITCHING.</t>
  </si>
  <si>
    <t xml:space="preserve">In 2001, Joshua Rubinstein and colleagues measured the cost of switching tasks.</t>
  </si>
  <si>
    <t xml:space="preserve">RUBINSTEIN ET AL., 2001 | stopwatch</t>
  </si>
  <si>
    <t xml:space="preserve">Every switch cost time, and the cost grew with complex tasks.</t>
  </si>
  <si>
    <t xml:space="preserve">SWITCH → ⏱ LOST</t>
  </si>
  <si>
    <t xml:space="preserve">But it feels productive because you're always busy.</t>
  </si>
  <si>
    <t xml:space="preserve">BUSY ≠ PRODUCTIVE</t>
  </si>
  <si>
    <t xml:space="preserve">That's the multitasking myth.</t>
  </si>
  <si>
    <t xml:space="preserve">THE MULTITASKING MYTH</t>
  </si>
  <si>
    <t xml:space="preserve">Batch your messages into two check-ins a day. Save this, and follow for tomorrow's focus trick.</t>
  </si>
  <si>
    <t xml:space="preserve">BATCH YOUR MESSAGES</t>
  </si>
  <si>
    <t xml:space="preserve">You can ignore a whole party, until someone says your name.</t>
  </si>
  <si>
    <t xml:space="preserve">noisy party → '...YOUR NAME' bubble</t>
  </si>
  <si>
    <t xml:space="preserve">Cherry 1953; Moray 1959: about a third heard own name in unattended ear</t>
  </si>
  <si>
    <t xml:space="preserve">In 1953, Colin Cherry played two messages at once, one in each ear.</t>
  </si>
  <si>
    <t xml:space="preserve">CHERRY, 1953 | headphones</t>
  </si>
  <si>
    <t xml:space="preserve">People could follow one and tuned out the other almost completely.</t>
  </si>
  <si>
    <t xml:space="preserve">LEFT ✓ | RIGHT (ignored)</t>
  </si>
  <si>
    <t xml:space="preserve">In 1959, Neville Moray found about a third of people still caught their own name.</t>
  </si>
  <si>
    <t xml:space="preserve">MORAY, 1959 | ~1 in 3 heard their name</t>
  </si>
  <si>
    <t xml:space="preserve">But that means your brain is quietly scanning the noise you think you ignore.</t>
  </si>
  <si>
    <t xml:space="preserve">BACKGROUND SCANNER ON</t>
  </si>
  <si>
    <t xml:space="preserve">It's the cocktail party effect.</t>
  </si>
  <si>
    <t xml:space="preserve">THE COCKTAIL PARTY EFFECT</t>
  </si>
  <si>
    <t xml:space="preserve">Want someone's attention in a crowd? Start with their name. Follow for tomorrow's social trick.</t>
  </si>
  <si>
    <t xml:space="preserve">START WITH THEIR NAME</t>
  </si>
  <si>
    <t xml:space="preserve">What do you see? A man's face, or a rat?</t>
  </si>
  <si>
    <t xml:space="preserve">ambiguous rat/man drawing</t>
  </si>
  <si>
    <t xml:space="preserve">Bugelski &amp; Alampay 1961: animal pictures beforehand → more saw a rat in ambiguous figure</t>
  </si>
  <si>
    <t xml:space="preserve">Your answer depends on what you saw right before this.</t>
  </si>
  <si>
    <t xml:space="preserve">WHAT CAME BEFORE?</t>
  </si>
  <si>
    <t xml:space="preserve">In 1961, Bugelski and Alampay showed people pictures of animals or of faces first.</t>
  </si>
  <si>
    <t xml:space="preserve">BUGELSKI &amp; ALAMPAY, 1961 | animal cards vs face cards</t>
  </si>
  <si>
    <t xml:space="preserve">After animals, far more people saw the same drawing as a rat.</t>
  </si>
  <si>
    <t xml:space="preserve">ANIMALS FIRST → 🐀</t>
  </si>
  <si>
    <t xml:space="preserve">But the drawing never changed. Only the expectation did.</t>
  </si>
  <si>
    <t xml:space="preserve">SAME DRAWING</t>
  </si>
  <si>
    <t xml:space="preserve">That's perceptual set. Expectation shapes what you see.</t>
  </si>
  <si>
    <t xml:space="preserve">EXPECTATION SHAPES PERCEPTION</t>
  </si>
  <si>
    <t xml:space="preserve">When you're sure what you saw, ask what you were expecting. Follow for tomorrow's illusion.</t>
  </si>
  <si>
    <t xml:space="preserve">WHAT WERE YOU EXPECTING?</t>
  </si>
  <si>
    <t xml:space="preserve">Yuo cna raed tihs. But the famous study behind it doesn't exist.</t>
  </si>
  <si>
    <t xml:space="preserve">Yuo cna raed tihs.</t>
  </si>
  <si>
    <t xml:space="preserve">Viral 'Cambridge' scrambled-letters text was not a Cambridge study; context aids reading (Rayner et al. 2006)</t>
  </si>
  <si>
    <t xml:space="preserve">That viral text says Cambridge proved only the first and last letters matter.</t>
  </si>
  <si>
    <t xml:space="preserve">'CAMBRIDGE STUDY' ❌</t>
  </si>
  <si>
    <t xml:space="preserve">There was no Cambridge study. A Cambridge researcher even debunked it.</t>
  </si>
  <si>
    <t xml:space="preserve">NO SUCH STUDY</t>
  </si>
  <si>
    <t xml:space="preserve">In 2006, Keith Rayner found jumbled words do slow reading, just less than you'd think.</t>
  </si>
  <si>
    <t xml:space="preserve">RAYNER ET AL., 2006 | slower, not stopped</t>
  </si>
  <si>
    <t xml:space="preserve">But you still read it, because your brain predicts words from context.</t>
  </si>
  <si>
    <t xml:space="preserve">BRAIN = PREDICTION MACHINE</t>
  </si>
  <si>
    <t xml:space="preserve">It's top-down processing. You read what you expect.</t>
  </si>
  <si>
    <t xml:space="preserve">TOP-DOWN PROCESSING</t>
  </si>
  <si>
    <t xml:space="preserve">That's also why you miss typos in your own writing. Read it backwards before sending. Follow for more.</t>
  </si>
  <si>
    <t xml:space="preserve">PROOFREAD BACKWARDS</t>
  </si>
  <si>
    <t xml:space="preserve">You learn a new word, and suddenly it's everywhere. It's not a conspiracy.</t>
  </si>
  <si>
    <t xml:space="preserve">NEW WORD → EVERYWHERE 👀</t>
  </si>
  <si>
    <t xml:space="preserve">Term 'frequency illusion' coined by linguist Arnold Zwicky (2005)</t>
  </si>
  <si>
    <t xml:space="preserve">You buy a red car, and now every second car on the road is red.</t>
  </si>
  <si>
    <t xml:space="preserve">street full of highlighted red cars</t>
  </si>
  <si>
    <t xml:space="preserve">Linguist Arnold Zwicky named this the frequency illusion in 2005.</t>
  </si>
  <si>
    <t xml:space="preserve">ARNOLD ZWICKY, 2005</t>
  </si>
  <si>
    <t xml:space="preserve">It's two biases teaming up: selective attention, then confirmation bias.</t>
  </si>
  <si>
    <t xml:space="preserve">ATTENTION + CONFIRMATION</t>
  </si>
  <si>
    <t xml:space="preserve">But nothing increased. It was always there; you just started noticing.</t>
  </si>
  <si>
    <t xml:space="preserve">IT WAS ALWAYS THERE</t>
  </si>
  <si>
    <t xml:space="preserve">Also called the Baader-Meinhof phenomenon.</t>
  </si>
  <si>
    <t xml:space="preserve">THE FREQUENCY ILLUSION</t>
  </si>
  <si>
    <t xml:space="preserve">Watch, you'll see this effect everywhere now. Comment when it happens, and follow for more.</t>
  </si>
  <si>
    <t xml:space="preserve">COMMENT WHEN YOU SEE IT</t>
  </si>
  <si>
    <t xml:space="preserve">An airport cut complaints by making passengers walk longer.</t>
  </si>
  <si>
    <t xml:space="preserve">LONGER WALK = HAPPIER?</t>
  </si>
  <si>
    <t xml:space="preserve">Houston airport baggage case (reported NYT 2012); Maister 1985 queue psychology</t>
  </si>
  <si>
    <t xml:space="preserve">Houston airport passengers kept complaining about waiting for bags.</t>
  </si>
  <si>
    <t xml:space="preserve">angry crowd at baggage belt</t>
  </si>
  <si>
    <t xml:space="preserve">So the airport moved arrival gates farther away. Same total time, more walking.</t>
  </si>
  <si>
    <t xml:space="preserve">6x longer walk | 1 min wait</t>
  </si>
  <si>
    <t xml:space="preserve">Complaints reportedly dropped to almost nothing.</t>
  </si>
  <si>
    <t xml:space="preserve">COMPLAINTS ⬇</t>
  </si>
  <si>
    <t xml:space="preserve">But nothing got faster. Busy time just feels shorter than empty time.</t>
  </si>
  <si>
    <t xml:space="preserve">OCCUPIED TIME FEELS SHORTER</t>
  </si>
  <si>
    <t xml:space="preserve">David Maister wrote about this in his 1985 'Psychology of Waiting Lines'.</t>
  </si>
  <si>
    <t xml:space="preserve">TIME PERCEPTION | MAISTER, 1985</t>
  </si>
  <si>
    <t xml:space="preserve">Stuck waiting? Give your brain a small task and time shrinks. Save this for your next queue.</t>
  </si>
  <si>
    <t xml:space="preserve">GIVE YOUR BRAIN A TASK</t>
  </si>
  <si>
    <t xml:space="preserve">You don't even have to check the notification for it to wreck your focus.</t>
  </si>
  <si>
    <t xml:space="preserve">📱 buzz → focus shatters</t>
  </si>
  <si>
    <t xml:space="preserve">Stothart, Mitchum &amp; Yehnert 2015: receiving notification disrupted attention task</t>
  </si>
  <si>
    <t xml:space="preserve">You're working, your phone buzzes, and you tell yourself you'll ignore it.</t>
  </si>
  <si>
    <t xml:space="preserve">phone face-down, buzzing</t>
  </si>
  <si>
    <t xml:space="preserve">In 2015, Cary Stothart's team gave people an attention task and sent them notifications.</t>
  </si>
  <si>
    <t xml:space="preserve">STOTHART ET AL., 2015</t>
  </si>
  <si>
    <t xml:space="preserve">Just receiving a notification caused more mistakes, even without picking up the phone.</t>
  </si>
  <si>
    <t xml:space="preserve">MORE ERRORS — PHONE UNTOUCHED</t>
  </si>
  <si>
    <t xml:space="preserve">But each buzz restarts the thought you were holding.</t>
  </si>
  <si>
    <t xml:space="preserve">EVERY BUZZ = RESTART</t>
  </si>
  <si>
    <t xml:space="preserve">That's the cost of notification interruptions.</t>
  </si>
  <si>
    <t xml:space="preserve">NOTIFICATION INTERRUPTIONS</t>
  </si>
  <si>
    <t xml:space="preserve">Turn off every notification that isn't from a human. Do it now, then follow for tomorrow's focus fix.</t>
  </si>
  <si>
    <t xml:space="preserve">HUMANS ONLY</t>
  </si>
  <si>
    <t xml:space="preserve">Almost half of what you do today, you won't actually decide.</t>
  </si>
  <si>
    <t xml:space="preserve">~43% AUTOPILOT</t>
  </si>
  <si>
    <t xml:space="preserve">Wood, Quinn &amp; Kashy 2002: ~43% of daily behaviours performed habitually</t>
  </si>
  <si>
    <t xml:space="preserve">You wake up, and your hand is on your phone before you're even awake.</t>
  </si>
  <si>
    <t xml:space="preserve">hand reaches phone in the dark</t>
  </si>
  <si>
    <t xml:space="preserve">In 2002, Wendy Wood's team had people log their actions throughout the day.</t>
  </si>
  <si>
    <t xml:space="preserve">WOOD ET AL., 2002 | diary</t>
  </si>
  <si>
    <t xml:space="preserve">About 43 percent were done habitually, usually in the same place each day.</t>
  </si>
  <si>
    <t xml:space="preserve">43% HABITS</t>
  </si>
  <si>
    <t xml:space="preserve">But every habit starts with a cue: a place, a time, a feeling.</t>
  </si>
  <si>
    <t xml:space="preserve">CUE → ACTION → REWARD</t>
  </si>
  <si>
    <t xml:space="preserve">Change the cue, and you change the habit.</t>
  </si>
  <si>
    <t xml:space="preserve">THE HABIT CUE</t>
  </si>
  <si>
    <t xml:space="preserve">Tonight, charge your phone outside the bedroom. Tell me how tomorrow morning goes, and follow for more.</t>
  </si>
  <si>
    <t xml:space="preserve">PHONE OUT OF THE BEDROOM</t>
  </si>
  <si>
    <t xml:space="preserve">One sentence structure helped people reach goals in dozens of studies.</t>
  </si>
  <si>
    <t xml:space="preserve">ONE SENTENCE</t>
  </si>
  <si>
    <t xml:space="preserve">Gollwitzer &amp; Sheeran 2006 meta-analysis (94 studies): medium-to-large effect on goal attainment</t>
  </si>
  <si>
    <t xml:space="preserve">You say 'I'll exercise more.' Then the excuse shows up and wins.</t>
  </si>
  <si>
    <t xml:space="preserve">'I'll do it later...'</t>
  </si>
  <si>
    <t xml:space="preserve">Psychologist Peter Gollwitzer tested plans in an 'if X, then Y' form.</t>
  </si>
  <si>
    <t xml:space="preserve">GOLLWITZER | IF ___, THEN ___</t>
  </si>
  <si>
    <t xml:space="preserve">A 2006 review of 94 studies found these plans made people noticeably more likely to follow through.</t>
  </si>
  <si>
    <t xml:space="preserve">94 STUDIES ✓</t>
  </si>
  <si>
    <t xml:space="preserve">But the trick is making the excuse itself the trigger.</t>
  </si>
  <si>
    <t xml:space="preserve">THE EXCUSE = THE TRIGGER</t>
  </si>
  <si>
    <t xml:space="preserve">'If I think I'm too tired, then I'll do just five minutes.'</t>
  </si>
  <si>
    <t xml:space="preserve">IF-THEN PLANS</t>
  </si>
  <si>
    <t xml:space="preserve">Write one if-then plan on a sticky note right now. Save this and check back in a week.</t>
  </si>
  <si>
    <t xml:space="preserve">WRITE ONE NOW 📝</t>
  </si>
  <si>
    <t xml:space="preserve">Moving food just ten inches changed how much people ate.</t>
  </si>
  <si>
    <t xml:space="preserve">10 INCHES | ruler + salad bar</t>
  </si>
  <si>
    <t xml:space="preserve">Rozin et al. 2011: making food slightly harder to reach reduced intake (~8–16%)</t>
  </si>
  <si>
    <t xml:space="preserve">In 2011, Paul Rozin's team adjusted a cafeteria salad bar.</t>
  </si>
  <si>
    <t xml:space="preserve">ROZIN ET AL., 2011</t>
  </si>
  <si>
    <t xml:space="preserve">They moved items slightly out of reach, or swapped spoons for tongs.</t>
  </si>
  <si>
    <t xml:space="preserve">spoon → tongs | moved back</t>
  </si>
  <si>
    <t xml:space="preserve">People took noticeably less of those foods. Small friction, real change.</t>
  </si>
  <si>
    <t xml:space="preserve">INTAKE ⬇</t>
  </si>
  <si>
    <t xml:space="preserve">But it works both ways. Make good habits the easiest thing in reach.</t>
  </si>
  <si>
    <t xml:space="preserve">EASY = DONE</t>
  </si>
  <si>
    <t xml:space="preserve">That's reducing friction.</t>
  </si>
  <si>
    <t xml:space="preserve">REDUCE FRICTION</t>
  </si>
  <si>
    <t xml:space="preserve">Put your running shoes by the door tonight. Follow, tomorrow's trick works on bad habits.</t>
  </si>
  <si>
    <t xml:space="preserve">SHOES BY THE DOOR</t>
  </si>
  <si>
    <t xml:space="preserve">Your phone makes you less smart, even when it's switched off.</t>
  </si>
  <si>
    <t xml:space="preserve">PHONE OFF. STILL DRAINING.</t>
  </si>
  <si>
    <t xml:space="preserve">Ward et al. 2017 'brain drain': phone in another room → better cognitive scores than on desk</t>
  </si>
  <si>
    <t xml:space="preserve">In 2017, Adrian Ward's team tested students' working memory.</t>
  </si>
  <si>
    <t xml:space="preserve">WARD ET AL., 2017</t>
  </si>
  <si>
    <t xml:space="preserve">Some kept their phones on the desk, some in a pocket, some in another room.</t>
  </si>
  <si>
    <t xml:space="preserve">DESK | POCKET | OTHER ROOM</t>
  </si>
  <si>
    <t xml:space="preserve">The other-room group did best. The desk group did worst, even with phones silent.</t>
  </si>
  <si>
    <t xml:space="preserve">OTHER ROOM 🏆 | DESK ⬇</t>
  </si>
  <si>
    <t xml:space="preserve">But just resisting it uses up attention.</t>
  </si>
  <si>
    <t xml:space="preserve">RESISTING COSTS FOCUS</t>
  </si>
  <si>
    <t xml:space="preserve">That's why adding friction works.</t>
  </si>
  <si>
    <t xml:space="preserve">ADD FRICTION</t>
  </si>
  <si>
    <t xml:space="preserve">Next focus session, put your phone in another room. One step out of reach. Follow for more.</t>
  </si>
  <si>
    <t xml:space="preserve">PHONE IN ANOTHER ROOM</t>
  </si>
  <si>
    <t xml:space="preserve">Fruit or chocolate? Your answer changes depending on when you get it.</t>
  </si>
  <si>
    <t xml:space="preserve">🍎 or 🍫?</t>
  </si>
  <si>
    <t xml:space="preserve">Read &amp; van Leeuwen 1998: most chose fruit for next week, chocolate for now</t>
  </si>
  <si>
    <t xml:space="preserve">In 1998, Daniel Read and Barbara van Leeuwen asked office workers to pick a snack for next week.</t>
  </si>
  <si>
    <t xml:space="preserve">READ &amp; VAN LEEUWEN, 1998</t>
  </si>
  <si>
    <t xml:space="preserve">Most chose fruit. The healthy choice.</t>
  </si>
  <si>
    <t xml:space="preserve">NEXT WEEK → 🍎</t>
  </si>
  <si>
    <t xml:space="preserve">But when the day came and they could choose again, most switched to chocolate.</t>
  </si>
  <si>
    <t xml:space="preserve">TODAY → 🍫</t>
  </si>
  <si>
    <t xml:space="preserve">Future you is a saint. Present you wants the reward now.</t>
  </si>
  <si>
    <t xml:space="preserve">FUTURE YOU 😇 | PRESENT YOU 😈</t>
  </si>
  <si>
    <t xml:space="preserve">It's present bias.</t>
  </si>
  <si>
    <t xml:space="preserve">PRESENT BIAS</t>
  </si>
  <si>
    <t xml:space="preserve">Decide in advance, and lock it in. Like packing your lunch tonight. Save this and follow for tomorrow.</t>
  </si>
  <si>
    <t xml:space="preserve">DECIDE IN ADVANCE</t>
  </si>
  <si>
    <t xml:space="preserve">Procrastination isn't a time problem. It's a feelings problem.</t>
  </si>
  <si>
    <t xml:space="preserve">NOT TIME. FEELINGS.</t>
  </si>
  <si>
    <t xml:space="preserve">Sirois &amp; Pychyl 2013: procrastination as short-term mood repair</t>
  </si>
  <si>
    <t xml:space="preserve">You open the task, feel a small wave of dread, and suddenly the fridge needs cleaning.</t>
  </si>
  <si>
    <t xml:space="preserve">task → dread → fridge</t>
  </si>
  <si>
    <t xml:space="preserve">In 2013, Fuschia Sirois and Timothy Pychyl described procrastination as short-term mood repair.</t>
  </si>
  <si>
    <t xml:space="preserve">SIROIS &amp; PYCHYL, 2013</t>
  </si>
  <si>
    <t xml:space="preserve">Avoiding the task makes you feel better, right now.</t>
  </si>
  <si>
    <t xml:space="preserve">AVOID → RELIEF 😌</t>
  </si>
  <si>
    <t xml:space="preserve">But the relief is borrowed. Future you pays it back with stress.</t>
  </si>
  <si>
    <t xml:space="preserve">BORROWED RELIEF</t>
  </si>
  <si>
    <t xml:space="preserve">You're not lazy. You're avoiding a feeling.</t>
  </si>
  <si>
    <t xml:space="preserve">WHICH FEELING?</t>
  </si>
  <si>
    <t xml:space="preserve">Name the feeling, boredom, doubt or fear, then do just two minutes. Save this for the next task you're dodging.</t>
  </si>
  <si>
    <t xml:space="preserve">NAME IT. 2 MINUTES.</t>
  </si>
  <si>
    <t xml:space="preserve">People studied longer when they got snacks while studying, not after.</t>
  </si>
  <si>
    <t xml:space="preserve">SNACK DURING &gt; AFTER</t>
  </si>
  <si>
    <t xml:space="preserve">Woolley &amp; Fishbach 2016/2017: immediate rewards increased persistence and interest</t>
  </si>
  <si>
    <t xml:space="preserve">We usually save rewards for the end: finish the essay, then the treat.</t>
  </si>
  <si>
    <t xml:space="preserve">essay → 🎉 (later)</t>
  </si>
  <si>
    <t xml:space="preserve">In 2016, Kaitlin Woolley and Ayelet Fishbach tested rewards during the task.</t>
  </si>
  <si>
    <t xml:space="preserve">WOOLLEY &amp; FISHBACH</t>
  </si>
  <si>
    <t xml:space="preserve">Immediate rewards made people more interested and more likely to keep going.</t>
  </si>
  <si>
    <t xml:space="preserve">INTEREST ⬆ PERSISTENCE ⬆</t>
  </si>
  <si>
    <t xml:space="preserve">But only small ones work, a good drink, a playlist, a nice spot.</t>
  </si>
  <si>
    <t xml:space="preserve">SMALL REWARDS</t>
  </si>
  <si>
    <t xml:space="preserve">That's reward timing.</t>
  </si>
  <si>
    <t xml:space="preserve">REWARD TIMING</t>
  </si>
  <si>
    <t xml:space="preserve">Pair your hardest task with something you enjoy, right now. Follow for tomorrow's motivation trick.</t>
  </si>
  <si>
    <t xml:space="preserve">PAIR IT WITH A TREAT</t>
  </si>
  <si>
    <t xml:space="preserve">'Do your best' is the worst goal you can set.</t>
  </si>
  <si>
    <t xml:space="preserve">'DO YOUR BEST' ❌</t>
  </si>
  <si>
    <t xml:space="preserve">Locke &amp; Latham 2002: specific challenging goals outperform 'do your best'</t>
  </si>
  <si>
    <t xml:space="preserve">'Be more productive' sounds good, but what do you actually do at 9 AM?</t>
  </si>
  <si>
    <t xml:space="preserve">9:00 AM ... ???</t>
  </si>
  <si>
    <t xml:space="preserve">Edwin Locke and Gary Latham reviewed decades of goal research.</t>
  </si>
  <si>
    <t xml:space="preserve">LOCKE &amp; LATHAM, 2002</t>
  </si>
  <si>
    <t xml:space="preserve">Specific, challenging goals beat vague 'do your best' goals again and again.</t>
  </si>
  <si>
    <t xml:space="preserve">SPECIFIC &gt; VAGUE</t>
  </si>
  <si>
    <t xml:space="preserve">But specific means a next action you could do in the next hour.</t>
  </si>
  <si>
    <t xml:space="preserve">NEXT ACTION</t>
  </si>
  <si>
    <t xml:space="preserve">That's goal specificity.</t>
  </si>
  <si>
    <t xml:space="preserve">GOAL SPECIFICITY</t>
  </si>
  <si>
    <t xml:space="preserve">Rewrite one vague goal into an action with a time. Comment yours, and follow for more.</t>
  </si>
  <si>
    <t xml:space="preserve">COMMENT YOUR GOAL</t>
  </si>
  <si>
    <t xml:space="preserve">It doesn't take 21 days to build a habit. On average, it took 66.</t>
  </si>
  <si>
    <t xml:space="preserve">21 DAYS ❌ | 66 DAYS</t>
  </si>
  <si>
    <t xml:space="preserve">Lally et al. 2010: median 66 days to automaticity (range 18–254)</t>
  </si>
  <si>
    <t xml:space="preserve">In a 2010 study, Phillippa Lally's team followed people building one new habit.</t>
  </si>
  <si>
    <t xml:space="preserve">LALLY ET AL. | calendar</t>
  </si>
  <si>
    <t xml:space="preserve">They did it daily in the same context and rated how automatic it felt.</t>
  </si>
  <si>
    <t xml:space="preserve">same time, same place</t>
  </si>
  <si>
    <t xml:space="preserve">The median was 66 days, but it ranged from 18 to 254.</t>
  </si>
  <si>
    <t xml:space="preserve">18 → 254 DAYS</t>
  </si>
  <si>
    <t xml:space="preserve">But missing one day didn't ruin it. Consistency mattered, not perfection.</t>
  </si>
  <si>
    <t xml:space="preserve">ONE MISS IS FINE</t>
  </si>
  <si>
    <t xml:space="preserve">On low days, routines carry you, not motivation.</t>
  </si>
  <si>
    <t xml:space="preserve">ROUTINES &gt; MOTIVATION</t>
  </si>
  <si>
    <t xml:space="preserve">Pick one tiny habit, same time, same place, and give it 66 days. Save this for day one.</t>
  </si>
  <si>
    <t xml:space="preserve">START DAY 1</t>
  </si>
  <si>
    <t xml:space="preserve">Writing down your progress makes you more likely to hit your goal.</t>
  </si>
  <si>
    <t xml:space="preserve">✍️ = 🎯</t>
  </si>
  <si>
    <t xml:space="preserve">Harkin et al. 2016 meta-analysis: monitoring progress improves goal attainment, more when recorded</t>
  </si>
  <si>
    <t xml:space="preserve">In 2016, Benjamin Harkin's team reviewed over 130 studies on goals.</t>
  </si>
  <si>
    <t xml:space="preserve">HARKIN ET AL., 2016 | 130+ studies</t>
  </si>
  <si>
    <t xml:space="preserve">Monitoring progress helped people reach goals.</t>
  </si>
  <si>
    <t xml:space="preserve">TRACKING ⬆</t>
  </si>
  <si>
    <t xml:space="preserve">And the effect was bigger when progress was physically recorded or shared.</t>
  </si>
  <si>
    <t xml:space="preserve">WRITTEN + SHARED = BIGGER</t>
  </si>
  <si>
    <t xml:space="preserve">But most of us only notice what's left, not what's done.</t>
  </si>
  <si>
    <t xml:space="preserve">WHAT'S DONE?</t>
  </si>
  <si>
    <t xml:space="preserve">That's the power of tracking progress.</t>
  </si>
  <si>
    <t xml:space="preserve">TRACK YOUR PROGRESS</t>
  </si>
  <si>
    <t xml:space="preserve">Keep a simple log and tick one box every day. Save this and tick your first box today.</t>
  </si>
  <si>
    <t xml:space="preserve">TICK BOX #1 ☑</t>
  </si>
  <si>
    <t xml:space="preserve">Saying one word can calm your brain's alarm system.</t>
  </si>
  <si>
    <t xml:space="preserve">ONE WORD 🧠🔕</t>
  </si>
  <si>
    <t xml:space="preserve">Lieberman et al. 2007: affect labelling reduced amygdala response</t>
  </si>
  <si>
    <t xml:space="preserve">In 2007, Matthew Lieberman's team showed people angry and scared faces in a brain scanner.</t>
  </si>
  <si>
    <t xml:space="preserve">LIEBERMAN ET AL., 2007 | MRI</t>
  </si>
  <si>
    <t xml:space="preserve">When people named the emotion, 'angry', activity in the amygdala dropped.</t>
  </si>
  <si>
    <t xml:space="preserve">'ANGRY' → amygdala ⬇</t>
  </si>
  <si>
    <t xml:space="preserve">Just matching the face to a name didn't calm it as much.</t>
  </si>
  <si>
    <t xml:space="preserve">LABEL &gt; MATCH</t>
  </si>
  <si>
    <t xml:space="preserve">But you have to be specific: angry, disappointed or embarrassed.</t>
  </si>
  <si>
    <t xml:space="preserve">ANGRY? DISAPPOINTED? EMBARRASSED?</t>
  </si>
  <si>
    <t xml:space="preserve">It's called affect labeling: naming an emotion to tame it.</t>
  </si>
  <si>
    <t xml:space="preserve">NAME IT TO TAME IT</t>
  </si>
  <si>
    <t xml:space="preserve">Next time you feel overwhelmed, name the exact feeling out loud. Follow, tomorrow's trick builds on this.</t>
  </si>
  <si>
    <t xml:space="preserve">SAY IT OUT LOUD</t>
  </si>
  <si>
    <t xml:space="preserve">Feeling rejected doesn't prove you were rejected.</t>
  </si>
  <si>
    <t xml:space="preserve">FEELING ≠ FACT</t>
  </si>
  <si>
    <t xml:space="preserve">Emotional reasoning: CBT cognitive distortion (Beck); feelings treated as evidence</t>
  </si>
  <si>
    <t xml:space="preserve">They reply 'ok' and your stomach drops. Clearly they're upset with you.</t>
  </si>
  <si>
    <t xml:space="preserve">text: 'ok' → 😰</t>
  </si>
  <si>
    <t xml:space="preserve">Psychiatrist Aaron Beck called this emotional reasoning.</t>
  </si>
  <si>
    <t xml:space="preserve">AARON BECK | CBT</t>
  </si>
  <si>
    <t xml:space="preserve">'I feel it, so it must be true.' The feeling becomes the evidence.</t>
  </si>
  <si>
    <t xml:space="preserve">'I FEEL IT = IT'S TRUE'</t>
  </si>
  <si>
    <t xml:space="preserve">But feelings are real signals, not verdicts.</t>
  </si>
  <si>
    <t xml:space="preserve">SIGNAL, NOT VERDICT</t>
  </si>
  <si>
    <t xml:space="preserve">That's emotional reasoning.</t>
  </si>
  <si>
    <t xml:space="preserve">EMOTIONAL REASONING</t>
  </si>
  <si>
    <t xml:space="preserve">Ask yourself: what would I tell a friend this 'ok' meant? Save this for the next text that hurts.</t>
  </si>
  <si>
    <t xml:space="preserve">WHAT ELSE COULD IT MEAN?</t>
  </si>
  <si>
    <t xml:space="preserve">Telling yourself to calm down can make anxiety worse. Say this instead.</t>
  </si>
  <si>
    <t xml:space="preserve">DON'T SAY 'CALM DOWN'</t>
  </si>
  <si>
    <t xml:space="preserve">Brooks 2014: saying 'I am excited' improved performance vs 'I am calm'</t>
  </si>
  <si>
    <t xml:space="preserve">Your heart is racing before a speech. That feels like fear.</t>
  </si>
  <si>
    <t xml:space="preserve">pounding heart, speech podium</t>
  </si>
  <si>
    <t xml:space="preserve">In 2014, Alison Wood Brooks had people say 'I am excited' or 'I am calm' before performing.</t>
  </si>
  <si>
    <t xml:space="preserve">BROOKS, 2014 | 'I AM EXCITED'</t>
  </si>
  <si>
    <t xml:space="preserve">The 'excited' group performed better in speaking, singing and maths tests.</t>
  </si>
  <si>
    <t xml:space="preserve">EXCITED → BETTER 📈</t>
  </si>
  <si>
    <t xml:space="preserve">But nothing in their body changed. They just reinterpreted it.</t>
  </si>
  <si>
    <t xml:space="preserve">SAME BODY. NEW MEANING.</t>
  </si>
  <si>
    <t xml:space="preserve">That's reappraisal.</t>
  </si>
  <si>
    <t xml:space="preserve">REAPPRAISAL</t>
  </si>
  <si>
    <t xml:space="preserve">Next time you're nervous, say 'I'm excited' out loud. Save this before your next big moment.</t>
  </si>
  <si>
    <t xml:space="preserve">SAY: 'I'M EXCITED'</t>
  </si>
  <si>
    <t xml:space="preserve">You can be happy and sad at the exact same moment. It's normal.</t>
  </si>
  <si>
    <t xml:space="preserve">😊 + 😢 = ✓</t>
  </si>
  <si>
    <t xml:space="preserve">Larsen, McGraw &amp; Cacioppo 2001: graduating students reported feeling happy and sad simultaneously</t>
  </si>
  <si>
    <t xml:space="preserve">Your last day at school: you're excited for what's next and grieving what's ending.</t>
  </si>
  <si>
    <t xml:space="preserve">graduation cap + packing boxes</t>
  </si>
  <si>
    <t xml:space="preserve">In 2001, Jeff Larsen's team surveyed students right as they graduated.</t>
  </si>
  <si>
    <t xml:space="preserve">LARSEN ET AL., 2001</t>
  </si>
  <si>
    <t xml:space="preserve">Many felt both happy and sad at once, more than on an ordinary day.</t>
  </si>
  <si>
    <t xml:space="preserve">HAPPY + SAD AT ONCE</t>
  </si>
  <si>
    <t xml:space="preserve">But we're taught emotions come one at a time, so mixed feelings feel wrong.</t>
  </si>
  <si>
    <t xml:space="preserve">NOT ONE AT A TIME</t>
  </si>
  <si>
    <t xml:space="preserve">They're mixed emotions, and they often mark meaningful moments.</t>
  </si>
  <si>
    <t xml:space="preserve">MIXED EMOTIONS</t>
  </si>
  <si>
    <t xml:space="preserve">Next time you feel both, name both. It's a sign something matters. Follow for more on feelings.</t>
  </si>
  <si>
    <t xml:space="preserve">NAME BOTH</t>
  </si>
  <si>
    <t xml:space="preserve">You're not thinking it through. You're thinking in circles.</t>
  </si>
  <si>
    <t xml:space="preserve">🔁 LOOP</t>
  </si>
  <si>
    <t xml:space="preserve">Watkins: abstract 'why' rumination vs concrete 'how' thinking; Nolen-Hoeksema rumination</t>
  </si>
  <si>
    <t xml:space="preserve">'Why did this happen to me? Why am I like this?' On repeat, at 2 AM.</t>
  </si>
  <si>
    <t xml:space="preserve">2 AM, ceiling, 'why why why'</t>
  </si>
  <si>
    <t xml:space="preserve">Psychologist Susan Nolen-Hoeksema called this rumination.</t>
  </si>
  <si>
    <t xml:space="preserve">NOLEN-HOEKSEMA | RUMINATION</t>
  </si>
  <si>
    <t xml:space="preserve">Ed Watkins found abstract 'why' questions keep the loop going; concrete 'how' questions help.</t>
  </si>
  <si>
    <t xml:space="preserve">WHY? 🔁 | HOW? ➡</t>
  </si>
  <si>
    <t xml:space="preserve">But reflection ends with a next step. Rumination just restarts.</t>
  </si>
  <si>
    <t xml:space="preserve">REFLECTION = NEXT STEP</t>
  </si>
  <si>
    <t xml:space="preserve">Rumination versus reflection.</t>
  </si>
  <si>
    <t xml:space="preserve">RUMINATION vs REFLECTION</t>
  </si>
  <si>
    <t xml:space="preserve">Swap 'why me?' for 'what's one thing I can do tomorrow?' Save this for your next 2 AM spiral.</t>
  </si>
  <si>
    <t xml:space="preserve">'WHAT CAN I DO?'</t>
  </si>
  <si>
    <t xml:space="preserve">'I feel bad' is hiding at least five different feelings.</t>
  </si>
  <si>
    <t xml:space="preserve">'BAD' = ? ? ? ? ?</t>
  </si>
  <si>
    <t xml:space="preserve">Kashdan, Barrett &amp; McKnight 2015: higher emotional granularity linked to better coping</t>
  </si>
  <si>
    <t xml:space="preserve">Bad could mean tired, lonely, guilty, anxious or let down.</t>
  </si>
  <si>
    <t xml:space="preserve">TIRED | LONELY | GUILTY | ANXIOUS | LET DOWN</t>
  </si>
  <si>
    <t xml:space="preserve">Lisa Feldman Barrett calls the skill of telling them apart emotional granularity.</t>
  </si>
  <si>
    <t xml:space="preserve">LISA FELDMAN BARRETT</t>
  </si>
  <si>
    <t xml:space="preserve">A 2015 review with Todd Kashdan linked it to coping better with stress.</t>
  </si>
  <si>
    <t xml:space="preserve">KASHDAN ET AL., 2015</t>
  </si>
  <si>
    <t xml:space="preserve">But each word points to a different fix. Tired needs sleep. Lonely needs people.</t>
  </si>
  <si>
    <t xml:space="preserve">TIRED → 😴 | LONELY → 👥</t>
  </si>
  <si>
    <t xml:space="preserve">That's emotional granularity.</t>
  </si>
  <si>
    <t xml:space="preserve">EMOTIONAL GRANULARITY</t>
  </si>
  <si>
    <t xml:space="preserve">Today, replace 'bad' with a more precise word. Comment yours, and follow for more.</t>
  </si>
  <si>
    <t xml:space="preserve">COMMENT YOUR WORD</t>
  </si>
  <si>
    <t xml:space="preserve">Hiding your feelings can raise the other person's blood pressure.</t>
  </si>
  <si>
    <t xml:space="preserve">THEIR 🩺 ⬆</t>
  </si>
  <si>
    <t xml:space="preserve">Butler et al. 2003: suppression raised partner's blood pressure during conversation</t>
  </si>
  <si>
    <t xml:space="preserve">In 2003, Emily Butler's team had pairs of strangers discuss an upsetting film.</t>
  </si>
  <si>
    <t xml:space="preserve">BUTLER ET AL., 2003</t>
  </si>
  <si>
    <t xml:space="preserve">One person was secretly told to hide every emotional reaction.</t>
  </si>
  <si>
    <t xml:space="preserve">😐 (hiding)</t>
  </si>
  <si>
    <t xml:space="preserve">Their partners' blood pressure rose, and they felt less connected.</t>
  </si>
  <si>
    <t xml:space="preserve">PARTNER 🩺 ⬆ CONNECTION ⬇</t>
  </si>
  <si>
    <t xml:space="preserve">But it's not always bad. In some settings, holding back helps.</t>
  </si>
  <si>
    <t xml:space="preserve">CONTEXT MATTERS</t>
  </si>
  <si>
    <t xml:space="preserve">Suppression versus expression isn't one-size-fits-all.</t>
  </si>
  <si>
    <t xml:space="preserve">SUPPRESS vs EXPRESS</t>
  </si>
  <si>
    <t xml:space="preserve">With people you're close to, let a little show. Save this and share it with someone you trust.</t>
  </si>
  <si>
    <t xml:space="preserve">LET A LITTLE SHOW</t>
  </si>
  <si>
    <t xml:space="preserve">Being kind to yourself after failing made people work harder.</t>
  </si>
  <si>
    <t xml:space="preserve">KINDER → HARDER WORK</t>
  </si>
  <si>
    <t xml:space="preserve">Breines &amp; Chen 2012: self-compassion after failure → more time studying for retest</t>
  </si>
  <si>
    <t xml:space="preserve">You'd never tell a friend 'You're an idiot.' But you say it to yourself.</t>
  </si>
  <si>
    <t xml:space="preserve">'You're an idiot' 🗯</t>
  </si>
  <si>
    <t xml:space="preserve">In 2012, Juliana Breines and Serena Chen had students fail a hard test.</t>
  </si>
  <si>
    <t xml:space="preserve">BREINES &amp; CHEN, 2012</t>
  </si>
  <si>
    <t xml:space="preserve">Students guided toward self-compassion studied longer for the retest.</t>
  </si>
  <si>
    <t xml:space="preserve">SELF-COMPASSION → +STUDY TIME</t>
  </si>
  <si>
    <t xml:space="preserve">But self-compassion isn't letting yourself off. It's what makes you try again.</t>
  </si>
  <si>
    <t xml:space="preserve">NOT AN EXCUSE</t>
  </si>
  <si>
    <t xml:space="preserve">That's self-compassion after mistakes.</t>
  </si>
  <si>
    <t xml:space="preserve">SELF-COMPASSION</t>
  </si>
  <si>
    <t xml:space="preserve">Next mistake, talk to yourself like you'd talk to a friend. Save this for your next bad day.</t>
  </si>
  <si>
    <t xml:space="preserve">TALK LIKE A FRIEND</t>
  </si>
  <si>
    <t xml:space="preserve">Most of the happiness from a holiday comes before you leave.</t>
  </si>
  <si>
    <t xml:space="preserve">😀 BEFORE ✈️</t>
  </si>
  <si>
    <t xml:space="preserve">Nawijn et al. 2010: vacationers happier than non-vacationers before trip; little after</t>
  </si>
  <si>
    <t xml:space="preserve">In 2010, Jeroen Nawijn's team measured happiness in over 1,500 Dutch adults.</t>
  </si>
  <si>
    <t xml:space="preserve">NAWIJN ET AL., 2010</t>
  </si>
  <si>
    <t xml:space="preserve">People about to travel were happier than non-travelers, weeks ahead.</t>
  </si>
  <si>
    <t xml:space="preserve">ANTICIPATION 📈</t>
  </si>
  <si>
    <t xml:space="preserve">After the trip, most were back to baseline quickly.</t>
  </si>
  <si>
    <t xml:space="preserve">AFTER → baseline</t>
  </si>
  <si>
    <t xml:space="preserve">But that means anticipation is part of the pleasure, not just the waiting.</t>
  </si>
  <si>
    <t xml:space="preserve">WAITING = PART OF THE FUN</t>
  </si>
  <si>
    <t xml:space="preserve">Anticipation and enjoyment.</t>
  </si>
  <si>
    <t xml:space="preserve">ANTICIPATION</t>
  </si>
  <si>
    <t xml:space="preserve">Plan one small good thing for this weekend today, and look forward to it. Follow for more happiness science.</t>
  </si>
  <si>
    <t xml:space="preserve">PLAN SOMETHING NOW</t>
  </si>
  <si>
    <t xml:space="preserve">People rated their whole life worse on a rainy day.</t>
  </si>
  <si>
    <t xml:space="preserve">🌧 LIFE = WORSE?</t>
  </si>
  <si>
    <t xml:space="preserve">Schwarz &amp; Clore 1983: rainy-day lower life satisfaction disappeared when weather mentioned</t>
  </si>
  <si>
    <t xml:space="preserve">In 1983, Norbert Schwarz and Gerald Clore phoned people on sunny and rainy days.</t>
  </si>
  <si>
    <t xml:space="preserve">SCHWARZ &amp; CLORE, 1983 | ☀️ vs 🌧</t>
  </si>
  <si>
    <t xml:space="preserve">On rainy days, they reported lower life satisfaction.</t>
  </si>
  <si>
    <t xml:space="preserve">RAINY → 📉</t>
  </si>
  <si>
    <t xml:space="preserve">But when the caller first asked about the weather, the effect vanished.</t>
  </si>
  <si>
    <t xml:space="preserve">'HOW'S THE WEATHER?' → effect gone</t>
  </si>
  <si>
    <t xml:space="preserve">Once they knew where the mood came from, it stopped steering the answer.</t>
  </si>
  <si>
    <t xml:space="preserve">SOURCE KNOWN = NO BIAS</t>
  </si>
  <si>
    <t xml:space="preserve">Emotions are information, not commands.</t>
  </si>
  <si>
    <t xml:space="preserve">EMOTIONS AS INFORMATION</t>
  </si>
  <si>
    <t xml:space="preserve">Before a big decision, ask: what's really causing this mood? Save this, it's a game changer.</t>
  </si>
  <si>
    <t xml:space="preserve">WHAT'S CAUSING THIS?</t>
  </si>
  <si>
    <t xml:space="preserve">People felt more understood when the listener simply repeated their point back.</t>
  </si>
  <si>
    <t xml:space="preserve">REPEAT IT BACK 🔁</t>
  </si>
  <si>
    <t xml:space="preserve">Weger et al. 2014: paraphrasing made speakers feel more understood</t>
  </si>
  <si>
    <t xml:space="preserve">In conversations, most of us are just waiting for our turn to talk.</t>
  </si>
  <si>
    <t xml:space="preserve">listener thinking of reply 💭</t>
  </si>
  <si>
    <t xml:space="preserve">In 2014, Harry Weger's team tested listeners who paraphrased what they heard.</t>
  </si>
  <si>
    <t xml:space="preserve">WEGER ET AL., 2014</t>
  </si>
  <si>
    <t xml:space="preserve">Speakers felt more understood by them than by listeners who just gave advice.</t>
  </si>
  <si>
    <t xml:space="preserve">PARAPHRASE → FELT UNDERSTOOD</t>
  </si>
  <si>
    <t xml:space="preserve">But paraphrasing isn't parroting. It's checking: 'So you mean...?'</t>
  </si>
  <si>
    <t xml:space="preserve">'SO YOU MEAN...?'</t>
  </si>
  <si>
    <t xml:space="preserve">That's active listening.</t>
  </si>
  <si>
    <t xml:space="preserve">ACTIVE LISTENING</t>
  </si>
  <si>
    <t xml:space="preserve">Next argument, repeat their point before you reply. Watch it change. Follow for tomorrow's conversation trick.</t>
  </si>
  <si>
    <t xml:space="preserve">REPEAT BEFORE REPLYING</t>
  </si>
  <si>
    <t xml:space="preserve">You can say 'that makes sense' without saying 'you're right'.</t>
  </si>
  <si>
    <t xml:space="preserve">MAKES SENSE ≠ YOU'RE RIGHT</t>
  </si>
  <si>
    <t xml:space="preserve">Validation (Linehan, DBT); Shenk &amp; Fruzzetti 2011: validation reduced negative emotion and heart rate</t>
  </si>
  <si>
    <t xml:space="preserve">Your friend is furious about something you think is unfair. You want to correct them.</t>
  </si>
  <si>
    <t xml:space="preserve">angry friend | you: 'Actually...'</t>
  </si>
  <si>
    <t xml:space="preserve">Psychologist Marsha Linehan made validation a core skill in her therapy.</t>
  </si>
  <si>
    <t xml:space="preserve">MARSHA LINEHAN | VALIDATION</t>
  </si>
  <si>
    <t xml:space="preserve">In 2011, Shenk and Fruzzetti found validating responses lowered upset compared to invalidating ones.</t>
  </si>
  <si>
    <t xml:space="preserve">SHENK &amp; FRUZZETTI, 2011</t>
  </si>
  <si>
    <t xml:space="preserve">But validation is about the feeling, not the claim. You can still disagree later.</t>
  </si>
  <si>
    <t xml:space="preserve">FEELING ✓ | CLAIM ?</t>
  </si>
  <si>
    <t xml:space="preserve">Validation without agreement.</t>
  </si>
  <si>
    <t xml:space="preserve">VALIDATE THE FEELING</t>
  </si>
  <si>
    <t xml:space="preserve">Try: 'I get why you're upset. Can I share how I see it?' Save this for your next argument.</t>
  </si>
  <si>
    <t xml:space="preserve">'I GET WHY YOU'RE UPSET'</t>
  </si>
  <si>
    <t xml:space="preserve">You think they'll get your tone. Only about half the time, they don't.</t>
  </si>
  <si>
    <t xml:space="preserve">TONE: LOST IN TEXT</t>
  </si>
  <si>
    <t xml:space="preserve">Kruger et al. 2005: senders expected ~78% to detect tone in email; ~56% did</t>
  </si>
  <si>
    <t xml:space="preserve">They reply 'Okay.' Short. Cold? Annoyed? Or just busy?</t>
  </si>
  <si>
    <t xml:space="preserve">text bubble: 'Okay.'</t>
  </si>
  <si>
    <t xml:space="preserve">In 2005, Justin Kruger's team had people send sarcastic or serious emails.</t>
  </si>
  <si>
    <t xml:space="preserve">KRUGER ET AL., 2005</t>
  </si>
  <si>
    <t xml:space="preserve">Senders expected about 78 percent to read the tone right. About 56 percent did.</t>
  </si>
  <si>
    <t xml:space="preserve">EXPECTED 78% | ACTUAL 56%</t>
  </si>
  <si>
    <t xml:space="preserve">But we fill the gap with our own worries.</t>
  </si>
  <si>
    <t xml:space="preserve">WE FILL THE GAP</t>
  </si>
  <si>
    <t xml:space="preserve">That's mind-reading. Guessing intent from too little information.</t>
  </si>
  <si>
    <t xml:space="preserve">MIND-READING</t>
  </si>
  <si>
    <t xml:space="preserve">Before reacting to a short text, list three innocent reasons for it. Follow for more texting psychology.</t>
  </si>
  <si>
    <t xml:space="preserve">3 INNOCENT REASONS</t>
  </si>
  <si>
    <t xml:space="preserve">People are about twice as likely to say yes as you think.</t>
  </si>
  <si>
    <t xml:space="preserve">YES × 2</t>
  </si>
  <si>
    <t xml:space="preserve">Flynn &amp; Lake 2008: people underestimated compliance with direct requests by ~50%</t>
  </si>
  <si>
    <t xml:space="preserve">You hint, sigh, and hope your roommate notices the dishes.</t>
  </si>
  <si>
    <t xml:space="preserve">sigh at the sink 😮‍💨</t>
  </si>
  <si>
    <t xml:space="preserve">In 2008, Francis Flynn and Vanessa Lake had people ask strangers for favours.</t>
  </si>
  <si>
    <t xml:space="preserve">FLYNN &amp; LAKE, 2008</t>
  </si>
  <si>
    <t xml:space="preserve">They underestimated how many would agree by about half.</t>
  </si>
  <si>
    <t xml:space="preserve">PREDICTED ⬇ | ACTUAL ⬆</t>
  </si>
  <si>
    <t xml:space="preserve">But 'help more' isn't a request. 'Can you do the dishes on Tuesdays?' is.</t>
  </si>
  <si>
    <t xml:space="preserve">'HELP MORE' ❌ | 'DISHES ON TUESDAYS' ✓</t>
  </si>
  <si>
    <t xml:space="preserve">Make clear requests.</t>
  </si>
  <si>
    <t xml:space="preserve">CLEAR REQUESTS</t>
  </si>
  <si>
    <t xml:space="preserve">Turn one complaint into a specific ask today. Save this before your next house meeting.</t>
  </si>
  <si>
    <t xml:space="preserve">MAKE ONE ASK TODAY</t>
  </si>
  <si>
    <t xml:space="preserve">Changing one word made people far better at saying no.</t>
  </si>
  <si>
    <t xml:space="preserve">ONE WORD</t>
  </si>
  <si>
    <t xml:space="preserve">Patrick &amp; Hagtvedt 2012: 'I don't' vs 'I can't' → 64% vs 39% chose granola bar</t>
  </si>
  <si>
    <t xml:space="preserve">In 2012, Vanessa Patrick and Henrik Hagtvedt had people refuse a temptation.</t>
  </si>
  <si>
    <t xml:space="preserve">PATRICK &amp; HAGTVEDT, 2012</t>
  </si>
  <si>
    <t xml:space="preserve">Some said 'I can't eat that.' Others said 'I don't eat that.'</t>
  </si>
  <si>
    <t xml:space="preserve">'I CAN'T' | 'I DON'T'</t>
  </si>
  <si>
    <t xml:space="preserve">Later, 64 percent of the 'don't' group picked the healthy snack, versus 39 percent.</t>
  </si>
  <si>
    <t xml:space="preserve">64% vs 39%</t>
  </si>
  <si>
    <t xml:space="preserve">But 'don't' works because it states who you are, not a rule someone set.</t>
  </si>
  <si>
    <t xml:space="preserve">IDENTITY, NOT RULE</t>
  </si>
  <si>
    <t xml:space="preserve">A boundary in plain language: 'I don't answer work calls after 7.'</t>
  </si>
  <si>
    <t xml:space="preserve">BOUNDARIES IN PLAIN LANGUAGE</t>
  </si>
  <si>
    <t xml:space="preserve">Write your boundary as 'I don't...' and keep it short. Follow for tomorrow's relationship tip.</t>
  </si>
  <si>
    <t xml:space="preserve">'I DON'T...'</t>
  </si>
  <si>
    <t xml:space="preserve">Three sentences can save a conversation that's going sideways.</t>
  </si>
  <si>
    <t xml:space="preserve">3 SENTENCES 🛟</t>
  </si>
  <si>
    <t xml:space="preserve">Gottman: repair attempts predict relationship stability</t>
  </si>
  <si>
    <t xml:space="preserve">It's getting heated. Voices rising. Someone has to break the spiral.</t>
  </si>
  <si>
    <t xml:space="preserve">conversation rewinding ⏪</t>
  </si>
  <si>
    <t xml:space="preserve">Researcher John Gottman calls these moments repair attempts.</t>
  </si>
  <si>
    <t xml:space="preserve">JOHN GOTTMAN | REPAIR ATTEMPTS</t>
  </si>
  <si>
    <t xml:space="preserve">In his studies, couples whose repairs landed were more likely to stay together.</t>
  </si>
  <si>
    <t xml:space="preserve">REPAIR → STABILITY</t>
  </si>
  <si>
    <t xml:space="preserve">One: 'That came out wrong.' Two: 'What I meant was...' Three: 'How did that land for you?'</t>
  </si>
  <si>
    <t xml:space="preserve">1. CAME OUT WRONG 2. I MEANT 3. HOW DID IT LAND?</t>
  </si>
  <si>
    <t xml:space="preserve">That's repairing a misunderstanding.</t>
  </si>
  <si>
    <t xml:space="preserve">REPAIR</t>
  </si>
  <si>
    <t xml:space="preserve">Screenshot these three lines for your next argument. Follow for more conversation tools.</t>
  </si>
  <si>
    <t xml:space="preserve">📸 SCREENSHOT THIS</t>
  </si>
  <si>
    <t xml:space="preserve">'You always' is the fastest way to lose an argument.</t>
  </si>
  <si>
    <t xml:space="preserve">'YOU ALWAYS' ❌</t>
  </si>
  <si>
    <t xml:space="preserve">Gottman: criticism (global character attack) vs complaint (specific behaviour)</t>
  </si>
  <si>
    <t xml:space="preserve">'You never listen' turns one moment into their whole personality.</t>
  </si>
  <si>
    <t xml:space="preserve">'NEVER' stamp on a person</t>
  </si>
  <si>
    <t xml:space="preserve">John Gottman separates complaints from criticism.</t>
  </si>
  <si>
    <t xml:space="preserve">GOTTMAN | COMPLAINT vs CRITICISM</t>
  </si>
  <si>
    <t xml:space="preserve">A complaint is about an action. Criticism attacks who someone is.</t>
  </si>
  <si>
    <t xml:space="preserve">ACTION 🎯 | CHARACTER 💥</t>
  </si>
  <si>
    <t xml:space="preserve">But criticism makes people defend themselves, not change.</t>
  </si>
  <si>
    <t xml:space="preserve">CRITICISM → DEFENSIVENESS</t>
  </si>
  <si>
    <t xml:space="preserve">Argue about the event, not their whole character.</t>
  </si>
  <si>
    <t xml:space="preserve">EVENT, NOT CHARACTER</t>
  </si>
  <si>
    <t xml:space="preserve">Swap 'You never listen' for 'I felt unheard when...' Save this, and follow for more.</t>
  </si>
  <si>
    <t xml:space="preserve">'I FELT ___ WHEN ___'</t>
  </si>
  <si>
    <t xml:space="preserve">A single mint raised waiters' tips.</t>
  </si>
  <si>
    <t xml:space="preserve">🍬 → 💸</t>
  </si>
  <si>
    <t xml:space="preserve">Strohmetz et al. 2002: mints raised tips; two mints + 'for you' raised them ~23%</t>
  </si>
  <si>
    <t xml:space="preserve">In 2002, David Strohmetz's team studied restaurant bills.</t>
  </si>
  <si>
    <t xml:space="preserve">STROHMETZ ET AL., 2002</t>
  </si>
  <si>
    <t xml:space="preserve">Bringing one mint with the bill nudged tips up a little.</t>
  </si>
  <si>
    <t xml:space="preserve">1 MINT → small ⬆</t>
  </si>
  <si>
    <t xml:space="preserve">But when the waiter left, came back, and offered an extra mint 'just for you', tips jumped about 23 percent.</t>
  </si>
  <si>
    <t xml:space="preserve">'JUST FOR YOU' → +23%</t>
  </si>
  <si>
    <t xml:space="preserve">That's because a small favour creates a sense of owing one back.</t>
  </si>
  <si>
    <t xml:space="preserve">FAVOUR → OBLIGATION</t>
  </si>
  <si>
    <t xml:space="preserve">It's reciprocity.</t>
  </si>
  <si>
    <t xml:space="preserve">RECIPROCITY</t>
  </si>
  <si>
    <t xml:space="preserve">Notice it next time a 'free gift' comes with a sales pitch. Save this before your next shopping trip.</t>
  </si>
  <si>
    <t xml:space="preserve">SPOT THE FREE GIFT</t>
  </si>
  <si>
    <t xml:space="preserve">Students liked a classmate more, just because she showed up more.</t>
  </si>
  <si>
    <t xml:space="preserve">SHOWED UP → LIKED ⬆</t>
  </si>
  <si>
    <t xml:space="preserve">Moreland &amp; Beach 1992: women attending class more often were rated more favourably</t>
  </si>
  <si>
    <t xml:space="preserve">In 1992, Richard Moreland and Scott Beach had four women attend a lecture class.</t>
  </si>
  <si>
    <t xml:space="preserve">MORELAND &amp; BEACH, 1992</t>
  </si>
  <si>
    <t xml:space="preserve">They came 0, 5, 10, or 15 times. They never spoke to anyone.</t>
  </si>
  <si>
    <t xml:space="preserve">0 | 5 | 10 | 15 visits</t>
  </si>
  <si>
    <t xml:space="preserve">At the end, students rated the most-seen woman more favourably.</t>
  </si>
  <si>
    <t xml:space="preserve">15 visits → rated ⬆</t>
  </si>
  <si>
    <t xml:space="preserve">But familiarity doesn't create love. It just makes things feel safer.</t>
  </si>
  <si>
    <t xml:space="preserve">FAMILIAR = SAFER</t>
  </si>
  <si>
    <t xml:space="preserve">That's the mere-exposure effect.</t>
  </si>
  <si>
    <t xml:space="preserve">THE MERE-EXPOSURE EFFECT</t>
  </si>
  <si>
    <t xml:space="preserve">Want to fit in somewhere new? Just keep showing up. Follow for tomorrow's social trick.</t>
  </si>
  <si>
    <t xml:space="preserve">KEEP SHOWING UP</t>
  </si>
  <si>
    <t xml:space="preserve">One unanswered text does not reveal your attachment style.</t>
  </si>
  <si>
    <t xml:space="preserve">1 TEXT ≠ YOUR STYLE</t>
  </si>
  <si>
    <t xml:space="preserve">Fraley &amp; Spieker 2003: attachment varies on continuous dimensions, not categories</t>
  </si>
  <si>
    <t xml:space="preserve">Online, everyone's 'anxious' or 'avoidant' from a single bad week.</t>
  </si>
  <si>
    <t xml:space="preserve">label stamps: ANXIOUS | AVOIDANT</t>
  </si>
  <si>
    <t xml:space="preserve">In 2003, Chris Fraley and Susan Spieker tested whether attachment comes in types.</t>
  </si>
  <si>
    <t xml:space="preserve">FRALEY &amp; SPIEKER, 2003</t>
  </si>
  <si>
    <t xml:space="preserve">The data looked like sliding scales, not neat boxes.</t>
  </si>
  <si>
    <t xml:space="preserve">SCALE, NOT BOXES</t>
  </si>
  <si>
    <t xml:space="preserve">But labels feel good because they explain everything at once.</t>
  </si>
  <si>
    <t xml:space="preserve">EASY ≠ ACCURATE</t>
  </si>
  <si>
    <t xml:space="preserve">Attachment labels online oversimplify real people.</t>
  </si>
  <si>
    <t xml:space="preserve">DROP THE LABEL</t>
  </si>
  <si>
    <t xml:space="preserve">Describe the behaviour, not the type. Share this with someone who diagnoses everyone. Follow for more.</t>
  </si>
  <si>
    <t xml:space="preserve">BEHAVIOUR, NOT TYPE</t>
  </si>
  <si>
    <t xml:space="preserve">Which line matches? Now, what if everyone else in the room said B?</t>
  </si>
  <si>
    <t xml:space="preserve">line test: A B C</t>
  </si>
  <si>
    <t xml:space="preserve">Asch 1951/1956: ~75% conformed at least once; ~1/3 of critical trials</t>
  </si>
  <si>
    <t xml:space="preserve">In 1951, Solomon Asch put one real student in a room with actors.</t>
  </si>
  <si>
    <t xml:space="preserve">ASCH, 1951</t>
  </si>
  <si>
    <t xml:space="preserve">The actors all gave the same obviously wrong answer.</t>
  </si>
  <si>
    <t xml:space="preserve">everyone: 'B' (wrong)</t>
  </si>
  <si>
    <t xml:space="preserve">About three in four people went along with the group at least once.</t>
  </si>
  <si>
    <t xml:space="preserve">~75% CONFORMED ONCE</t>
  </si>
  <si>
    <t xml:space="preserve">But with just one ally who disagreed, conformity dropped sharply.</t>
  </si>
  <si>
    <t xml:space="preserve">ONE ALLY = FREEDOM</t>
  </si>
  <si>
    <t xml:space="preserve">It's conformity.</t>
  </si>
  <si>
    <t xml:space="preserve">CONFORMITY</t>
  </si>
  <si>
    <t xml:space="preserve">In a meeting, be the first to disagree. You give others permission. Follow for tomorrow's social experiment.</t>
  </si>
  <si>
    <t xml:space="preserve">BE THE FIRST TO DISAGREE</t>
  </si>
  <si>
    <t xml:space="preserve">In a dark room, strangers started seeing the same illusion together.</t>
  </si>
  <si>
    <t xml:space="preserve">dark room, single dot of light</t>
  </si>
  <si>
    <t xml:space="preserve">Sherif 1935 autokinetic effect: group estimates converged</t>
  </si>
  <si>
    <t xml:space="preserve">In 1935, Muzafer Sherif showed people a still dot of light in darkness.</t>
  </si>
  <si>
    <t xml:space="preserve">SHERIF, 1935</t>
  </si>
  <si>
    <t xml:space="preserve">It looks like it moves, but it doesn't. People guessed how far.</t>
  </si>
  <si>
    <t xml:space="preserve">'IT MOVED 4 INCHES'</t>
  </si>
  <si>
    <t xml:space="preserve">In groups, their guesses slowly merged into one shared answer.</t>
  </si>
  <si>
    <t xml:space="preserve">guesses converge →•←</t>
  </si>
  <si>
    <t xml:space="preserve">But nobody was pressured. They were just uncertain, so they used each other.</t>
  </si>
  <si>
    <t xml:space="preserve">UNCERTAIN → COPY</t>
  </si>
  <si>
    <t xml:space="preserve">That's informational social influence.</t>
  </si>
  <si>
    <t xml:space="preserve">INFORMATIONAL INFLUENCE</t>
  </si>
  <si>
    <t xml:space="preserve">When you're copying the crowd, ask: do they know, or are they guessing too? Follow for more.</t>
  </si>
  <si>
    <t xml:space="preserve">DO THEY KNOW?</t>
  </si>
  <si>
    <t xml:space="preserve">You've agreed with something just to avoid the awkward silence.</t>
  </si>
  <si>
    <t xml:space="preserve">'yeah... totally' 😬</t>
  </si>
  <si>
    <t xml:space="preserve">Asch variation: conformity dropped when answers were written privately</t>
  </si>
  <si>
    <t xml:space="preserve">In Solomon Asch's line studies, people went along with obviously wrong answers.</t>
  </si>
  <si>
    <t xml:space="preserve">ASCH | LINE TEST</t>
  </si>
  <si>
    <t xml:space="preserve">But in a variation where they wrote their answer privately, conformity dropped a lot.</t>
  </si>
  <si>
    <t xml:space="preserve">PUBLIC ⬆ | PRIVATE ⬇</t>
  </si>
  <si>
    <t xml:space="preserve">They knew the right answer. They just didn't want to stand out.</t>
  </si>
  <si>
    <t xml:space="preserve">KNEW IT. DIDN'T SAY IT.</t>
  </si>
  <si>
    <t xml:space="preserve">That's the difference: changing what you say, not what you believe.</t>
  </si>
  <si>
    <t xml:space="preserve">SAY ≠ BELIEVE</t>
  </si>
  <si>
    <t xml:space="preserve">Normative social influence.</t>
  </si>
  <si>
    <t xml:space="preserve">NORMATIVE INFLUENCE</t>
  </si>
  <si>
    <t xml:space="preserve">Notice when you nod along just to fit in, and try one honest 'I see it differently'. Follow for more.</t>
  </si>
  <si>
    <t xml:space="preserve">'I SEE IT DIFFERENTLY'</t>
  </si>
  <si>
    <t xml:space="preserve">Fifteen strangers stared at an empty window. Most of the street joined them.</t>
  </si>
  <si>
    <t xml:space="preserve">15 people looking up ⬆</t>
  </si>
  <si>
    <t xml:space="preserve">Milgram, Bickman &amp; Berkowitz 1969: 1 looking up → ~42% copied; 15 → ~86%</t>
  </si>
  <si>
    <t xml:space="preserve">In 1969, Stanley Milgram had actors stop on a New York street and look up.</t>
  </si>
  <si>
    <t xml:space="preserve">MILGRAM ET AL., 1969</t>
  </si>
  <si>
    <t xml:space="preserve">With one actor, about 42 percent of passersby looked up too.</t>
  </si>
  <si>
    <t xml:space="preserve">1 ACTOR → 42%</t>
  </si>
  <si>
    <t xml:space="preserve">With fifteen, about 86 percent did.</t>
  </si>
  <si>
    <t xml:space="preserve">15 ACTORS → 86%</t>
  </si>
  <si>
    <t xml:space="preserve">But there was nothing there. The crowd was the only evidence.</t>
  </si>
  <si>
    <t xml:space="preserve">NOTHING THERE</t>
  </si>
  <si>
    <t xml:space="preserve">That's social proof. And a long line isn't proof the food is better.</t>
  </si>
  <si>
    <t xml:space="preserve">SOCIAL PROOF | two queues</t>
  </si>
  <si>
    <t xml:space="preserve">Next time you join a queue, ask what you actually know. Follow, tomorrow it's about reviews.</t>
  </si>
  <si>
    <t xml:space="preserve">WHAT DO YOU KNOW?</t>
  </si>
  <si>
    <t xml:space="preserve">If you need help, a crowd can be the worst place to be.</t>
  </si>
  <si>
    <t xml:space="preserve">CROWD ≠ HELP</t>
  </si>
  <si>
    <t xml:space="preserve">Darley &amp; Latané 1968: alone 85% helped; with 4 others ~31%</t>
  </si>
  <si>
    <t xml:space="preserve">In 1968, John Darley and Bibb Latané staged a seizure over an intercom.</t>
  </si>
  <si>
    <t xml:space="preserve">DARLEY &amp; LATANÉ, 1968</t>
  </si>
  <si>
    <t xml:space="preserve">When people thought they were alone, 85 percent rushed to help.</t>
  </si>
  <si>
    <t xml:space="preserve">ALONE → 85%</t>
  </si>
  <si>
    <t xml:space="preserve">When they thought four others could hear, only 31 percent did.</t>
  </si>
  <si>
    <t xml:space="preserve">+4 OTHERS → 31%</t>
  </si>
  <si>
    <t xml:space="preserve">But nobody was cruel. Everyone assumed someone else would act.</t>
  </si>
  <si>
    <t xml:space="preserve">'SOMEONE ELSE WILL'</t>
  </si>
  <si>
    <t xml:space="preserve">It's the bystander effect.</t>
  </si>
  <si>
    <t xml:space="preserve">THE BYSTANDER EFFECT</t>
  </si>
  <si>
    <t xml:space="preserve">If you need help, point at one person: 'You in the blue jacket, call 911.' Save this. It could matter.</t>
  </si>
  <si>
    <t xml:space="preserve">POINT AT ONE PERSON</t>
  </si>
  <si>
    <t xml:space="preserve">The more people pulling the rope, the less each person pulled.</t>
  </si>
  <si>
    <t xml:space="preserve">🪢 more people, less effort</t>
  </si>
  <si>
    <t xml:space="preserve">Latané, Williams &amp; Harkins 1979: individual noise effort dropped in groups; Ringelmann rope-pulling</t>
  </si>
  <si>
    <t xml:space="preserve">Over a century ago, engineer Max Ringelmann measured people pulling a rope.</t>
  </si>
  <si>
    <t xml:space="preserve">RINGELMANN | rope pull</t>
  </si>
  <si>
    <t xml:space="preserve">Groups pulled less than the sum of their individuals.</t>
  </si>
  <si>
    <t xml:space="preserve">GROUP &lt; SUM</t>
  </si>
  <si>
    <t xml:space="preserve">In 1979, Bibb Latané found people even clapped and shouted less in groups.</t>
  </si>
  <si>
    <t xml:space="preserve">LATANÉ ET AL., 1979 | 👏 ⬇</t>
  </si>
  <si>
    <t xml:space="preserve">But when each person's effort was visible, the slacking shrank.</t>
  </si>
  <si>
    <t xml:space="preserve">VISIBLE = EFFORT ⬆</t>
  </si>
  <si>
    <t xml:space="preserve">It's social loafing.</t>
  </si>
  <si>
    <t xml:space="preserve">SOCIAL LOAFING</t>
  </si>
  <si>
    <t xml:space="preserve">In your next group project, give everyone a named task. Save this, and send it to your group.</t>
  </si>
  <si>
    <t xml:space="preserve">NAME EVERY TASK</t>
  </si>
  <si>
    <t xml:space="preserve">Boys favoured their 'team' based on a painting preference they'd never heard of before.</t>
  </si>
  <si>
    <t xml:space="preserve">KLEE 🎨 vs KANDINSKY 🎨</t>
  </si>
  <si>
    <t xml:space="preserve">Tajfel et al. 1971: minimal groups (Klee vs Kandinsky) still favoured in-group</t>
  </si>
  <si>
    <t xml:space="preserve">In 1971, Henri Tajfel split schoolboys by which painter they preferred.</t>
  </si>
  <si>
    <t xml:space="preserve">TAJFEL, 1971</t>
  </si>
  <si>
    <t xml:space="preserve">Then they shared out points between anonymous boys.</t>
  </si>
  <si>
    <t xml:space="preserve">points → anonymous boys</t>
  </si>
  <si>
    <t xml:space="preserve">They gave more to their own group, even sacrificing total points to beat the other.</t>
  </si>
  <si>
    <t xml:space="preserve">WIN &gt; MORE</t>
  </si>
  <si>
    <t xml:space="preserve">But the groups were meaningless. Nobody even met.</t>
  </si>
  <si>
    <t xml:space="preserve">MEANINGLESS GROUPS</t>
  </si>
  <si>
    <t xml:space="preserve">That's in-group favouritism.</t>
  </si>
  <si>
    <t xml:space="preserve">IN-GROUP FAVOURITISM</t>
  </si>
  <si>
    <t xml:space="preserve">Notice when a label alone changes how you judge someone. Follow for tomorrow's social bias.</t>
  </si>
  <si>
    <t xml:space="preserve">WATCH THE LABEL</t>
  </si>
  <si>
    <t xml:space="preserve">You're confused in class. So is everyone else. Nobody asks.</t>
  </si>
  <si>
    <t xml:space="preserve">silent classroom, every head: '???'</t>
  </si>
  <si>
    <t xml:space="preserve">Miller &amp; McFarland 1987: students assumed others understood confusing reading</t>
  </si>
  <si>
    <t xml:space="preserve">In 1987, Dale Miller and Cathy McFarland gave students a deliberately confusing article.</t>
  </si>
  <si>
    <t xml:space="preserve">MILLER &amp; MCFARLAND, 1987</t>
  </si>
  <si>
    <t xml:space="preserve">Students could ask for help. Almost nobody did.</t>
  </si>
  <si>
    <t xml:space="preserve">HELP BUTTON 🔘 (unused)</t>
  </si>
  <si>
    <t xml:space="preserve">Each assumed the others understood it better than they did.</t>
  </si>
  <si>
    <t xml:space="preserve">'EVERYONE ELSE GETS IT'</t>
  </si>
  <si>
    <t xml:space="preserve">But everyone was reading silence as proof of understanding.</t>
  </si>
  <si>
    <t xml:space="preserve">SILENCE ≠ UNDERSTANDING</t>
  </si>
  <si>
    <t xml:space="preserve">That's pluralistic ignorance.</t>
  </si>
  <si>
    <t xml:space="preserve">PLURALISTIC IGNORANCE</t>
  </si>
  <si>
    <t xml:space="preserve">Ask the question. Half the room will thank you. Follow for more classroom psychology.</t>
  </si>
  <si>
    <t xml:space="preserve">ASK THE QUESTION</t>
  </si>
  <si>
    <t xml:space="preserve">Being watched makes good players better and weak players worse.</t>
  </si>
  <si>
    <t xml:space="preserve">👀 → ⬆ or ⬇</t>
  </si>
  <si>
    <t xml:space="preserve">Michaels et al. 1982: good pool players improved, poor ones got worse when watched</t>
  </si>
  <si>
    <t xml:space="preserve">In 1982, James Michaels watched pool players in a student union.</t>
  </si>
  <si>
    <t xml:space="preserve">MICHAELS ET AL., 1982 | pool table</t>
  </si>
  <si>
    <t xml:space="preserve">When an audience gathered, strong players' accuracy went up.</t>
  </si>
  <si>
    <t xml:space="preserve">STRONG ⬆</t>
  </si>
  <si>
    <t xml:space="preserve">Weak players' accuracy dropped.</t>
  </si>
  <si>
    <t xml:space="preserve">WEAK ⬇</t>
  </si>
  <si>
    <t xml:space="preserve">But it's not about talent. An audience boosts whatever response is already dominant.</t>
  </si>
  <si>
    <t xml:space="preserve">AUDIENCE AMPLIFIES HABIT</t>
  </si>
  <si>
    <t xml:space="preserve">That's social facilitation.</t>
  </si>
  <si>
    <t xml:space="preserve">SOCIAL FACILITATION</t>
  </si>
  <si>
    <t xml:space="preserve">Practise new skills alone, then perform them with people around. Save this before your next performance.</t>
  </si>
  <si>
    <t xml:space="preserve">PRACTISE ALONE FIRST</t>
  </si>
  <si>
    <t xml:space="preserve">Put like-minded people in a room, and they come out more extreme.</t>
  </si>
  <si>
    <t xml:space="preserve">👥 → 💥</t>
  </si>
  <si>
    <t xml:space="preserve">Schkade, Sunstein &amp; Hastie 2007 (Colorado): like-minded groups became more extreme</t>
  </si>
  <si>
    <t xml:space="preserve">In 2005, researchers gathered liberals in Boulder and conservatives in Colorado Springs.</t>
  </si>
  <si>
    <t xml:space="preserve">SCHKADE, SUNSTEIN &amp; HASTIE</t>
  </si>
  <si>
    <t xml:space="preserve">Each group discussed issues like climate change among themselves.</t>
  </si>
  <si>
    <t xml:space="preserve">BOULDER 🔵 | COLORADO SPRINGS 🔴</t>
  </si>
  <si>
    <t xml:space="preserve">After talking, both groups moved further toward their side's extreme.</t>
  </si>
  <si>
    <t xml:space="preserve">OPINIONS PUSHED APART ⬅ ➡</t>
  </si>
  <si>
    <t xml:space="preserve">But nobody heard new evidence. Just more of the same arguments, louder.</t>
  </si>
  <si>
    <t xml:space="preserve">ECHO ⬆</t>
  </si>
  <si>
    <t xml:space="preserve">That's group polarization.</t>
  </si>
  <si>
    <t xml:space="preserve">GROUP POLARIZATION</t>
  </si>
  <si>
    <t xml:space="preserve">Follow at least one smart person you disagree with. And follow us for tomorrow's group bias.</t>
  </si>
  <si>
    <t xml:space="preserve">FOLLOW SOMEONE YOU DISAGREE WITH</t>
  </si>
  <si>
    <t xml:space="preserve">Bronze medallists often look happier than silver medallists.</t>
  </si>
  <si>
    <t xml:space="preserve">🥉 😄 | 🥈 😕</t>
  </si>
  <si>
    <t xml:space="preserve">Medvec, Madey &amp; Gilovich 1995: bronze medallists appeared happier than silver</t>
  </si>
  <si>
    <t xml:space="preserve">In 1995, Victoria Medvec's team rated athletes' faces at the Olympics.</t>
  </si>
  <si>
    <t xml:space="preserve">MEDVEC ET AL., 1995</t>
  </si>
  <si>
    <t xml:space="preserve">Silver medallists compared themselves to gold: 'I almost won.'</t>
  </si>
  <si>
    <t xml:space="preserve">🥈 → 🥇</t>
  </si>
  <si>
    <t xml:space="preserve">Bronze compared themselves to fourth: 'I almost got nothing.'</t>
  </si>
  <si>
    <t xml:space="preserve">🥉 → 4th</t>
  </si>
  <si>
    <t xml:space="preserve">But it's the same podium. Only the measuring stick changed.</t>
  </si>
  <si>
    <t xml:space="preserve">SAME PODIUM</t>
  </si>
  <si>
    <t xml:space="preserve">That's social comparison.</t>
  </si>
  <si>
    <t xml:space="preserve">SOCIAL COMPARISON</t>
  </si>
  <si>
    <t xml:space="preserve">Ask who you're comparing yourself to today. Then pick a fairer one. Follow for more.</t>
  </si>
  <si>
    <t xml:space="preserve">PICK A FAIRER COMPARISON</t>
  </si>
  <si>
    <t xml:space="preserve">93 percent of drivers think they're above average. That's impossible.</t>
  </si>
  <si>
    <t xml:space="preserve">93% 🚗 'ABOVE AVERAGE'</t>
  </si>
  <si>
    <t xml:space="preserve">Svenson 1981: ~93% of US drivers rated themselves above median</t>
  </si>
  <si>
    <t xml:space="preserve">In 1981, Ola Svenson asked American students to rate their driving.</t>
  </si>
  <si>
    <t xml:space="preserve">SVENSON, 1981</t>
  </si>
  <si>
    <t xml:space="preserve">About 93 percent placed themselves in the top half.</t>
  </si>
  <si>
    <t xml:space="preserve">TOP HALF: 93%</t>
  </si>
  <si>
    <t xml:space="preserve">Only half of any group can be above the middle.</t>
  </si>
  <si>
    <t xml:space="preserve">MAX POSSIBLE: 50%</t>
  </si>
  <si>
    <t xml:space="preserve">But it's not just driving. People do this with kindness, intelligence and humour.</t>
  </si>
  <si>
    <t xml:space="preserve">KIND 🙂 SMART 🧠 FUNNY 😂</t>
  </si>
  <si>
    <t xml:space="preserve">It's the better-than-average effect.</t>
  </si>
  <si>
    <t xml:space="preserve">THE BETTER-THAN-AVERAGE EFFECT</t>
  </si>
  <si>
    <t xml:space="preserve">Rate yourself 1 to 10 at something, then ask a friend. Comment the gap, and follow for more.</t>
  </si>
  <si>
    <t xml:space="preserve">COMMENT YOUR GAP</t>
  </si>
  <si>
    <t xml:space="preserve">You got the job, the grade, the praise, and you still feel like a fraud.</t>
  </si>
  <si>
    <t xml:space="preserve">🏆 + 'I don't deserve this'</t>
  </si>
  <si>
    <t xml:space="preserve">Clance &amp; Imes 1978 coined 'impostor phenomenon'; not a clinical diagnosis</t>
  </si>
  <si>
    <t xml:space="preserve">In 1978, Pauline Clance and Suzanne Imes described this in high-achieving women.</t>
  </si>
  <si>
    <t xml:space="preserve">CLANCE &amp; IMES, 1978</t>
  </si>
  <si>
    <t xml:space="preserve">They called it the impostor phenomenon. Later research found it in all kinds of people.</t>
  </si>
  <si>
    <t xml:space="preserve">IMPOSTOR PHENOMENON</t>
  </si>
  <si>
    <t xml:space="preserve">Success gets explained as luck. Mistakes get explained as the truth.</t>
  </si>
  <si>
    <t xml:space="preserve">WIN = LUCK | LOSS = TRUTH</t>
  </si>
  <si>
    <t xml:space="preserve">But it's a feeling, not a diagnosis, and not evidence.</t>
  </si>
  <si>
    <t xml:space="preserve">FEELING ≠ EVIDENCE</t>
  </si>
  <si>
    <t xml:space="preserve">Impostor feelings.</t>
  </si>
  <si>
    <t xml:space="preserve">IMPOSTOR FEELINGS</t>
  </si>
  <si>
    <t xml:space="preserve">Write down three things you did to earn your last win. Save this for the next time doubt hits.</t>
  </si>
  <si>
    <t xml:space="preserve">WRITE 3 THINGS YOU DID</t>
  </si>
  <si>
    <t xml:space="preserve">Perfectionists aren't great at finishing. They're great at not starting.</t>
  </si>
  <si>
    <t xml:space="preserve">BLANK PAGE 📄</t>
  </si>
  <si>
    <t xml:space="preserve">Sirois et al. 2017 meta-analysis: perfectionistic concerns linked to procrastination</t>
  </si>
  <si>
    <t xml:space="preserve">The first draft has to be flawless, so it never gets written.</t>
  </si>
  <si>
    <t xml:space="preserve">cursor blinking... blinking...</t>
  </si>
  <si>
    <t xml:space="preserve">A 2017 meta-analysis by Fuschia Sirois linked perfectionistic worry to more procrastination.</t>
  </si>
  <si>
    <t xml:space="preserve">SIROIS ET AL., 2017</t>
  </si>
  <si>
    <t xml:space="preserve">Fear of a bad result makes starting feel dangerous.</t>
  </si>
  <si>
    <t xml:space="preserve">FEAR → DELAY</t>
  </si>
  <si>
    <t xml:space="preserve">But a rough draft you can fix beats a perfect one that doesn't exist.</t>
  </si>
  <si>
    <t xml:space="preserve">MESSY ✓ &gt; PERFECT ∅</t>
  </si>
  <si>
    <t xml:space="preserve">Perfectionism and starting.</t>
  </si>
  <si>
    <t xml:space="preserve">PERFECTIONISM</t>
  </si>
  <si>
    <t xml:space="preserve">Give yourself permission to write the worst first draft. Set a 10-minute timer now. Follow for more.</t>
  </si>
  <si>
    <t xml:space="preserve">WORST FIRST DRAFT ⏱</t>
  </si>
  <si>
    <t xml:space="preserve">When one grade decides your worth, every rejection hits twice as hard.</t>
  </si>
  <si>
    <t xml:space="preserve">GRADE = YOU?</t>
  </si>
  <si>
    <t xml:space="preserve">Crocker et al. 2003: students basing worth on academics had larger self-esteem drops after rejections</t>
  </si>
  <si>
    <t xml:space="preserve">In 2003, Jennifer Crocker's team followed students applying to grad school.</t>
  </si>
  <si>
    <t xml:space="preserve">CROCKER ET AL., 2003</t>
  </si>
  <si>
    <t xml:space="preserve">Those whose self-worth depended on academics had bigger self-esteem drops on rejection days.</t>
  </si>
  <si>
    <t xml:space="preserve">REJECTION → 📉📉</t>
  </si>
  <si>
    <t xml:space="preserve">And bigger highs on acceptance days. A rollercoaster.</t>
  </si>
  <si>
    <t xml:space="preserve">ACCEPTANCE → 📈📈</t>
  </si>
  <si>
    <t xml:space="preserve">But you're more than one result. It's one card, not the whole deck.</t>
  </si>
  <si>
    <t xml:space="preserve">ONE CARD, NOT THE DECK</t>
  </si>
  <si>
    <t xml:space="preserve">That's contingent self-worth.</t>
  </si>
  <si>
    <t xml:space="preserve">CONTINGENT SELF-WORTH</t>
  </si>
  <si>
    <t xml:space="preserve">List three things you value about yourself that no grade measures. Save this for results day.</t>
  </si>
  <si>
    <t xml:space="preserve">LIST 3 THINGS</t>
  </si>
  <si>
    <t xml:space="preserve">When you win, it's skill. When you lose, it's the referee.</t>
  </si>
  <si>
    <t xml:space="preserve">WIN: 'skill' 💪 | LOSS: 'ref!' 😤</t>
  </si>
  <si>
    <t xml:space="preserve">Miller &amp; Ross 1975; Lau &amp; Russell 1980: wins attributed internally, losses externally</t>
  </si>
  <si>
    <t xml:space="preserve">In 1980, Richard Lau and Dan Russell studied newspaper quotes from sports teams.</t>
  </si>
  <si>
    <t xml:space="preserve">LAU &amp; RUSSELL, 1980 | sports pages</t>
  </si>
  <si>
    <t xml:space="preserve">Winners credited their talent and effort.</t>
  </si>
  <si>
    <t xml:space="preserve">WINNERS → 'WE WORKED HARD'</t>
  </si>
  <si>
    <t xml:space="preserve">Losers blamed luck, injuries and officials.</t>
  </si>
  <si>
    <t xml:space="preserve">LOSERS → 'BAD LUCK'</t>
  </si>
  <si>
    <t xml:space="preserve">But you do it too, at work, in exams, in relationships.</t>
  </si>
  <si>
    <t xml:space="preserve">YOU DO IT TOO</t>
  </si>
  <si>
    <t xml:space="preserve">It's the self-serving bias.</t>
  </si>
  <si>
    <t xml:space="preserve">THE SELF-SERVING BIAS</t>
  </si>
  <si>
    <t xml:space="preserve">After your next win, name one lucky break. After a loss, name one thing you controlled. Follow for more.</t>
  </si>
  <si>
    <t xml:space="preserve">1 LUCKY BREAK | 1 THING YOU CONTROLLED</t>
  </si>
  <si>
    <t xml:space="preserve">The most confident experts were often the worst at predicting.</t>
  </si>
  <si>
    <t xml:space="preserve">CONFIDENT ≠ CORRECT</t>
  </si>
  <si>
    <t xml:space="preserve">Tetlock 2005 'Expert Political Judgment': 284 experts, ~28,000 forecasts; confident experts often poor</t>
  </si>
  <si>
    <t xml:space="preserve">In 2005, Philip Tetlock published 20 years of tracking expert predictions.</t>
  </si>
  <si>
    <t xml:space="preserve">TETLOCK, 2005 | 20 years</t>
  </si>
  <si>
    <t xml:space="preserve">Hundreds of experts made thousands of forecasts about politics and economics.</t>
  </si>
  <si>
    <t xml:space="preserve">284 EXPERTS | ~28,000 FORECASTS</t>
  </si>
  <si>
    <t xml:space="preserve">Many did barely better than simple guessing, and the boldest often did worse.</t>
  </si>
  <si>
    <t xml:space="preserve">BOLD 🔊 → ✗</t>
  </si>
  <si>
    <t xml:space="preserve">But certainty sounds like competence, so we keep listening to it.</t>
  </si>
  <si>
    <t xml:space="preserve">LOUD = 'SMART'?</t>
  </si>
  <si>
    <t xml:space="preserve">Confidence versus accuracy.</t>
  </si>
  <si>
    <t xml:space="preserve">CONFIDENCE vs ACCURACY</t>
  </si>
  <si>
    <t xml:space="preserve">Next time someone sounds certain, ask: what's your track record? Save this for the next 'expert' you see.</t>
  </si>
  <si>
    <t xml:space="preserve">ASK FOR THE TRACK RECORD</t>
  </si>
  <si>
    <t xml:space="preserve">People flipped a coin to be fair, then ignored it about 90 percent of the time.</t>
  </si>
  <si>
    <t xml:space="preserve">🪙 → ignored</t>
  </si>
  <si>
    <t xml:space="preserve">Batson et al. 1997: ~90% who flipped a coin still assigned themselves the positive task</t>
  </si>
  <si>
    <t xml:space="preserve">In 1997, Daniel Batson let people assign a fun task to themselves or a stranger.</t>
  </si>
  <si>
    <t xml:space="preserve">BATSON ET AL., 1997</t>
  </si>
  <si>
    <t xml:space="preserve">Most agreed flipping a coin was the fair way. About half flipped it.</t>
  </si>
  <si>
    <t xml:space="preserve">'A COIN IS FAIR'</t>
  </si>
  <si>
    <t xml:space="preserve">Of those who flipped, about 90 percent still gave themselves the fun task.</t>
  </si>
  <si>
    <t xml:space="preserve">~90% STILL CHOSE THEMSELVES</t>
  </si>
  <si>
    <t xml:space="preserve">But they got to look fair, without being fair.</t>
  </si>
  <si>
    <t xml:space="preserve">LOOK FAIR ≠ BE FAIR</t>
  </si>
  <si>
    <t xml:space="preserve">Values versus approval: what would you choose if nobody saw?</t>
  </si>
  <si>
    <t xml:space="preserve">CAMERA ON | CAMERA OFF</t>
  </si>
  <si>
    <t xml:space="preserve">Pick one value and act on it today with nobody watching. Follow for tomorrow's honesty test.</t>
  </si>
  <si>
    <t xml:space="preserve">ACT ON IT UNSEEN</t>
  </si>
  <si>
    <t xml:space="preserve">Asking people to 'be a voter' got more of them to vote than asking them 'to vote'.</t>
  </si>
  <si>
    <t xml:space="preserve">'BE A VOTER' &gt; 'VOTE'</t>
  </si>
  <si>
    <t xml:space="preserve">Bryan et al. 2011: 'be a voter' vs 'vote' raised turnout (replications mixed — verify)</t>
  </si>
  <si>
    <t xml:space="preserve">In 2011, Christopher Bryan's team surveyed people before an election.</t>
  </si>
  <si>
    <t xml:space="preserve">BRYAN ET AL., 2011</t>
  </si>
  <si>
    <t xml:space="preserve">Half were asked about 'voting'. Half about 'being a voter'.</t>
  </si>
  <si>
    <t xml:space="preserve">VERB | NOUN</t>
  </si>
  <si>
    <t xml:space="preserve">The 'voter' group turned out more, in their records.</t>
  </si>
  <si>
    <t xml:space="preserve">TURNOUT ⬆</t>
  </si>
  <si>
    <t xml:space="preserve">But later studies found it doesn't always replicate, so the bigger lesson is evidence.</t>
  </si>
  <si>
    <t xml:space="preserve">IDENTITY NEEDS EVIDENCE</t>
  </si>
  <si>
    <t xml:space="preserve">Identity and behaviour: every small action is a vote for who you are.</t>
  </si>
  <si>
    <t xml:space="preserve">IDENTITY ↔ BEHAVIOUR</t>
  </si>
  <si>
    <t xml:space="preserve">Do one tiny action today that proves who you want to be. Comment it, and follow for more.</t>
  </si>
  <si>
    <t xml:space="preserve">ONE TINY PROOF</t>
  </si>
  <si>
    <t xml:space="preserve">You think everyone can see how nervous you are. They can't.</t>
  </si>
  <si>
    <t xml:space="preserve">INSIDE: 😰 | OUTSIDE: 🙂</t>
  </si>
  <si>
    <t xml:space="preserve">Savitsky &amp; Gilovich 2003: speakers overestimated visible nervousness; telling them helped</t>
  </si>
  <si>
    <t xml:space="preserve">In 2003, Kenneth Savitsky and Thomas Gilovich had students give a speech.</t>
  </si>
  <si>
    <t xml:space="preserve">SAVITSKY &amp; GILOVICH, 2003</t>
  </si>
  <si>
    <t xml:space="preserve">Speakers rated themselves as visibly nervous. Audiences saw them as much calmer.</t>
  </si>
  <si>
    <t xml:space="preserve">SELF: 8/10 | AUDIENCE: 4/10</t>
  </si>
  <si>
    <t xml:space="preserve">And when speakers learned this beforehand, they gave better speeches.</t>
  </si>
  <si>
    <t xml:space="preserve">KNOWING → BETTER SPEECH</t>
  </si>
  <si>
    <t xml:space="preserve">Your inner panic feels loud, but it leaks out far less than you think.</t>
  </si>
  <si>
    <t xml:space="preserve">IT DOESN'T LEAK</t>
  </si>
  <si>
    <t xml:space="preserve">That's the illusion of transparency.</t>
  </si>
  <si>
    <t xml:space="preserve">THE ILLUSION OF TRANSPARENCY</t>
  </si>
  <si>
    <t xml:space="preserve">Watch this again before your next presentation. Save it now.</t>
  </si>
  <si>
    <t xml:space="preserve">SAVE FOR YOUR NEXT SPEECH</t>
  </si>
  <si>
    <t xml:space="preserve">The man who invented infinite scroll later said he regretted it.</t>
  </si>
  <si>
    <t xml:space="preserve">∞ SCROLL</t>
  </si>
  <si>
    <t xml:space="preserve">Aza Raskin designed infinite scroll (2006) and has publicly expressed regret</t>
  </si>
  <si>
    <t xml:space="preserve">In 2006, designer Aza Raskin created a page that never ends.</t>
  </si>
  <si>
    <t xml:space="preserve">AZA RASKIN, 2006</t>
  </si>
  <si>
    <t xml:space="preserve">No bottom. No 'next page'. No natural moment to stop.</t>
  </si>
  <si>
    <t xml:space="preserve">NO BOTTOM ⬇⬇⬇</t>
  </si>
  <si>
    <t xml:space="preserve">Raskin later spoke publicly about how much time it pulls from people.</t>
  </si>
  <si>
    <t xml:space="preserve">TIME PULLED ⏳</t>
  </si>
  <si>
    <t xml:space="preserve">But a stopping point is a cue to decide. Remove it, and you just keep going.</t>
  </si>
  <si>
    <t xml:space="preserve">NO STOP CUE = NO DECISION</t>
  </si>
  <si>
    <t xml:space="preserve">Infinite scroll removes the natural stopping point.</t>
  </si>
  <si>
    <t xml:space="preserve">INFINITE SCROLL</t>
  </si>
  <si>
    <t xml:space="preserve">Set your own stopping point: a timer before you open the app. Then follow, because tomorrow's video is about why you open it.</t>
  </si>
  <si>
    <t xml:space="preserve">SET YOUR OWN STOP ⏱</t>
  </si>
  <si>
    <t xml:space="preserve">Your feed works a lot like a slot machine.</t>
  </si>
  <si>
    <t xml:space="preserve">🎰 = 📱?</t>
  </si>
  <si>
    <t xml:space="preserve">Skinner: variable-ratio reinforcement produces persistent responding</t>
  </si>
  <si>
    <t xml:space="preserve">Psychologist B.F. Skinner trained pigeons to peck for food.</t>
  </si>
  <si>
    <t xml:space="preserve">B.F. SKINNER | pigeon</t>
  </si>
  <si>
    <t xml:space="preserve">When food came every time, they pecked steadily.</t>
  </si>
  <si>
    <t xml:space="preserve">EVERY TIME → steady</t>
  </si>
  <si>
    <t xml:space="preserve">When it came unpredictably, they pecked faster and longer, even after it stopped.</t>
  </si>
  <si>
    <t xml:space="preserve">RANDOM → can't stop</t>
  </si>
  <si>
    <t xml:space="preserve">But your next swipe is unpredictable too. Maybe boring, maybe amazing.</t>
  </si>
  <si>
    <t xml:space="preserve">SWIPE → ??</t>
  </si>
  <si>
    <t xml:space="preserve">Those are variable rewards.</t>
  </si>
  <si>
    <t xml:space="preserve">VARIABLE REWARDS</t>
  </si>
  <si>
    <t xml:space="preserve">Notice the 'one more swipe' feeling, and decide before you scroll. Follow for tomorrow's habit hack.</t>
  </si>
  <si>
    <t xml:space="preserve">DECIDE BEFORE YOU SCROLL</t>
  </si>
  <si>
    <t xml:space="preserve">Teens liked the same photo more when it already had lots of likes.</t>
  </si>
  <si>
    <t xml:space="preserve">SAME PHOTO | 23 ♥ vs 1,000 ♥</t>
  </si>
  <si>
    <t xml:space="preserve">Sherman et al. 2016: teens more likely to like photos with many likes; reward regions more active</t>
  </si>
  <si>
    <t xml:space="preserve">In 2016, Lauren Sherman's team showed teens a fake Instagram feed in a brain scanner.</t>
  </si>
  <si>
    <t xml:space="preserve">SHERMAN ET AL., 2016 | MRI</t>
  </si>
  <si>
    <t xml:space="preserve">Photos with many likes got liked more often.</t>
  </si>
  <si>
    <t xml:space="preserve">MANY LIKES → MORE LIKES</t>
  </si>
  <si>
    <t xml:space="preserve">And seeing their own photos with many likes lit up reward-related brain areas.</t>
  </si>
  <si>
    <t xml:space="preserve">REWARD AREAS ⬆</t>
  </si>
  <si>
    <t xml:space="preserve">But that's just a number, not proof the photo is better.</t>
  </si>
  <si>
    <t xml:space="preserve">A NUMBER, NOT QUALITY</t>
  </si>
  <si>
    <t xml:space="preserve">Likes are feedback that steers what we like.</t>
  </si>
  <si>
    <t xml:space="preserve">LIKES AND FEEDBACK</t>
  </si>
  <si>
    <t xml:space="preserve">Try hiding like counts for a week and see how posting feels. Follow, tomorrow it's about comparisons.</t>
  </si>
  <si>
    <t xml:space="preserve">HIDE LIKES FOR A WEEK</t>
  </si>
  <si>
    <t xml:space="preserve">You're comparing your whole life to someone's best five seconds.</t>
  </si>
  <si>
    <t xml:space="preserve">YOUR DAY vs THEIR HIGHLIGHT</t>
  </si>
  <si>
    <t xml:space="preserve">Jordan et al. 2011: people underestimate others' negative emotions</t>
  </si>
  <si>
    <t xml:space="preserve">In 2011, Alexander Jordan's team asked students how often their peers felt sad or lonely.</t>
  </si>
  <si>
    <t xml:space="preserve">JORDAN ET AL., 2011</t>
  </si>
  <si>
    <t xml:space="preserve">Students consistently underestimated how often others had bad moments.</t>
  </si>
  <si>
    <t xml:space="preserve">OTHERS' BAD DAYS: ⬇ estimated</t>
  </si>
  <si>
    <t xml:space="preserve">And those who underestimated more felt lonelier.</t>
  </si>
  <si>
    <t xml:space="preserve">UNDERESTIMATE → LONELIER</t>
  </si>
  <si>
    <t xml:space="preserve">But the photo leaves out the mess outside the frame.</t>
  </si>
  <si>
    <t xml:space="preserve">outside the frame: the mess</t>
  </si>
  <si>
    <t xml:space="preserve">Curated-feed comparisons.</t>
  </si>
  <si>
    <t xml:space="preserve">THE HIGHLIGHT REEL</t>
  </si>
  <si>
    <t xml:space="preserve">Next time a post makes you feel small, picture the 50 takes that didn't make it. Follow for more.</t>
  </si>
  <si>
    <t xml:space="preserve">50 TAKES BEHIND IT</t>
  </si>
  <si>
    <t xml:space="preserve">Put your phone down for an hour. Feel that? It has a name.</t>
  </si>
  <si>
    <t xml:space="preserve">phone face down ⏳ 😟</t>
  </si>
  <si>
    <t xml:space="preserve">Przybylski et al. 2013: developed FoMO scale; higher FoMO linked to lower need satisfaction</t>
  </si>
  <si>
    <t xml:space="preserve">You imagine everyone else is out having fun without you.</t>
  </si>
  <si>
    <t xml:space="preserve">imagined party without you</t>
  </si>
  <si>
    <t xml:space="preserve">In 2013, Andrew Przybylski's team created the first scale for this feeling.</t>
  </si>
  <si>
    <t xml:space="preserve">PRZYBYLSKI ET AL., 2013</t>
  </si>
  <si>
    <t xml:space="preserve">People with higher scores used social media more and felt less satisfied overall.</t>
  </si>
  <si>
    <t xml:space="preserve">FOMO ⬆ SATISFACTION ⬇</t>
  </si>
  <si>
    <t xml:space="preserve">But what you're missing is mostly imagined, and what you're doing is real.</t>
  </si>
  <si>
    <t xml:space="preserve">IMAGINED vs REAL</t>
  </si>
  <si>
    <t xml:space="preserve">It's FOMO: the fear of missing out.</t>
  </si>
  <si>
    <t xml:space="preserve">FOMO</t>
  </si>
  <si>
    <t xml:space="preserve">Put your phone in another room for one real moment today. Comment how it felt, and follow.</t>
  </si>
  <si>
    <t xml:space="preserve">ONE REAL MOMENT</t>
  </si>
  <si>
    <t xml:space="preserve">'Don't miss out' sells better than 'you could gain'. Here's why.</t>
  </si>
  <si>
    <t xml:space="preserve">DON'T MISS OUT! vs YOU COULD GAIN</t>
  </si>
  <si>
    <t xml:space="preserve">Kahneman &amp; Tversky 1979 prospect theory: losses weigh roughly twice as much as gains</t>
  </si>
  <si>
    <t xml:space="preserve">Losing $50 stings more than finding $50 feels good.</t>
  </si>
  <si>
    <t xml:space="preserve">-$50 😩 | +$50 🙂</t>
  </si>
  <si>
    <t xml:space="preserve">In 1979, Kahneman and Tversky found losses weigh roughly twice as much as gains.</t>
  </si>
  <si>
    <t xml:space="preserve">KAHNEMAN &amp; TVERSKY, 1979 | LOSS ≈ 2× GAIN</t>
  </si>
  <si>
    <t xml:space="preserve">Marketers know this, so offers are written as losses.</t>
  </si>
  <si>
    <t xml:space="preserve">'ENDS TONIGHT' 'LAST CHANCE'</t>
  </si>
  <si>
    <t xml:space="preserve">But not everyone reacts the same way, and noticing the frame weakens it.</t>
  </si>
  <si>
    <t xml:space="preserve">SPOT THE FRAME</t>
  </si>
  <si>
    <t xml:space="preserve">That's loss-aversion marketing.</t>
  </si>
  <si>
    <t xml:space="preserve">LOSS-AVERSION MARKETING</t>
  </si>
  <si>
    <t xml:space="preserve">Rewrite the ad as a gain. Still want it? Save this before your next sale.</t>
  </si>
  <si>
    <t xml:space="preserve">REWRITE IT AS A GAIN</t>
  </si>
  <si>
    <t xml:space="preserve">The same cookie tasted better when there were fewer left.</t>
  </si>
  <si>
    <t xml:space="preserve">🍪🍪 vs 🍪×10</t>
  </si>
  <si>
    <t xml:space="preserve">Worchel, Lee &amp; Adewole 1975: cookies from a jar of 2 rated more desirable than from jar of 10</t>
  </si>
  <si>
    <t xml:space="preserve">In 1975, Stephen Worchel offered people a cookie from a jar.</t>
  </si>
  <si>
    <t xml:space="preserve">WORCHEL ET AL., 1975</t>
  </si>
  <si>
    <t xml:space="preserve">One jar held ten cookies. The other held just two.</t>
  </si>
  <si>
    <t xml:space="preserve">10 | 2</t>
  </si>
  <si>
    <t xml:space="preserve">Cookies from the nearly empty jar were rated more desirable.</t>
  </si>
  <si>
    <t xml:space="preserve">2 LEFT → BETTER</t>
  </si>
  <si>
    <t xml:space="preserve">But they were identical. Only the scarcity changed.</t>
  </si>
  <si>
    <t xml:space="preserve">IDENTICAL COOKIES</t>
  </si>
  <si>
    <t xml:space="preserve">Scarcity cues, real or manufactured.</t>
  </si>
  <si>
    <t xml:space="preserve">SCARCITY CUES | 'ONLY 2 LEFT'</t>
  </si>
  <si>
    <t xml:space="preserve">Before buying, ask: would I want it if there were a hundred left? Follow for more shopping psychology.</t>
  </si>
  <si>
    <t xml:space="preserve">WOULD I WANT 100?</t>
  </si>
  <si>
    <t xml:space="preserve">Adding an option nobody picked changed what everyone bought.</t>
  </si>
  <si>
    <t xml:space="preserve">3RD OPTION 🎭</t>
  </si>
  <si>
    <t xml:space="preserve">Ariely 'Predictably Irrational': with decoy 84% picked combo; without 68% picked web-only</t>
  </si>
  <si>
    <t xml:space="preserve">Dan Ariely tested an Economist offer: web $59, print $125, both $125.</t>
  </si>
  <si>
    <t xml:space="preserve">ARIELY | $59 | $125 | $125</t>
  </si>
  <si>
    <t xml:space="preserve">With all three, 84 percent chose web and print together.</t>
  </si>
  <si>
    <t xml:space="preserve">WITH DECOY → 84% COMBO</t>
  </si>
  <si>
    <t xml:space="preserve">Remove the print-only option nobody chose, and most switched to web only.</t>
  </si>
  <si>
    <t xml:space="preserve">NO DECOY → 68% WEB ONLY</t>
  </si>
  <si>
    <t xml:space="preserve">But the decoy wasn't meant to be bought. It made the combo look like a steal.</t>
  </si>
  <si>
    <t xml:space="preserve">DECOY = COMPARISON BAIT</t>
  </si>
  <si>
    <t xml:space="preserve">That's the decoy effect.</t>
  </si>
  <si>
    <t xml:space="preserve">THE DECOY EFFECT</t>
  </si>
  <si>
    <t xml:space="preserve">Next time you see three prices, cover the middle one and decide again. Follow for tomorrow's pricing trick.</t>
  </si>
  <si>
    <t xml:space="preserve">COVER THE DECOY</t>
  </si>
  <si>
    <t xml:space="preserve">You lose a $10 ticket, or you lose $10 cash. Would you still go to the show?</t>
  </si>
  <si>
    <t xml:space="preserve">🎟 LOST vs 💵 LOST</t>
  </si>
  <si>
    <t xml:space="preserve">Kahneman &amp; Tversky 1981 theatre problem: 88% buy after losing cash, 46% after losing ticket</t>
  </si>
  <si>
    <t xml:space="preserve">Kahneman and Tversky asked people exactly that.</t>
  </si>
  <si>
    <t xml:space="preserve">KAHNEMAN &amp; TVERSKY, 1981</t>
  </si>
  <si>
    <t xml:space="preserve">After losing cash, 88 percent would still buy a ticket.</t>
  </si>
  <si>
    <t xml:space="preserve">LOST CASH → 88% BUY</t>
  </si>
  <si>
    <t xml:space="preserve">After losing the ticket, only 46 percent would buy another.</t>
  </si>
  <si>
    <t xml:space="preserve">LOST TICKET → 46% BUY</t>
  </si>
  <si>
    <t xml:space="preserve">But it's the same $10. Your brain just filed it in different accounts.</t>
  </si>
  <si>
    <t xml:space="preserve">SAME $10. DIFFERENT 'ACCOUNTS'.</t>
  </si>
  <si>
    <t xml:space="preserve">That's mental accounting. It's also why gift cards feel like free money.</t>
  </si>
  <si>
    <t xml:space="preserve">MENTAL ACCOUNTING | gift card</t>
  </si>
  <si>
    <t xml:space="preserve">Treat every dollar the same, whatever its label. Save this for your next budget.</t>
  </si>
  <si>
    <t xml:space="preserve">A DOLLAR IS A DOLLAR</t>
  </si>
  <si>
    <t xml:space="preserve">Owning a mug for five minutes made people value it about twice as much.</t>
  </si>
  <si>
    <t xml:space="preserve">☕ × 2 VALUE</t>
  </si>
  <si>
    <t xml:space="preserve">Kahneman, Knetsch &amp; Thaler 1990: owners asked ~$7, buyers offered ~$3</t>
  </si>
  <si>
    <t xml:space="preserve">In 1990, Kahneman, Knetsch and Thaler gave half a class coffee mugs.</t>
  </si>
  <si>
    <t xml:space="preserve">KAHNEMAN, KNETSCH &amp; THALER, 1990</t>
  </si>
  <si>
    <t xml:space="preserve">Owners were asked to sell. Others were asked to buy.</t>
  </si>
  <si>
    <t xml:space="preserve">SELLERS | BUYERS</t>
  </si>
  <si>
    <t xml:space="preserve">Sellers wanted about $7. Buyers offered about $3.</t>
  </si>
  <si>
    <t xml:space="preserve">SELL $7 | BUY $3</t>
  </si>
  <si>
    <t xml:space="preserve">But it's the same mug. Ownership alone changed its value.</t>
  </si>
  <si>
    <t xml:space="preserve">SAME MUG</t>
  </si>
  <si>
    <t xml:space="preserve">That's the endowment effect.</t>
  </si>
  <si>
    <t xml:space="preserve">THE ENDOWMENT EFFECT</t>
  </si>
  <si>
    <t xml:space="preserve">Decluttering? Ask: would I buy this today at this price? Follow for more money psychology.</t>
  </si>
  <si>
    <t xml:space="preserve">WOULD I BUY IT TODAY?</t>
  </si>
  <si>
    <t xml:space="preserve">You're not a 'visual learner'. Nobody really is.</t>
  </si>
  <si>
    <t xml:space="preserve">VISUAL LEARNER? ❌</t>
  </si>
  <si>
    <t xml:space="preserve">Pashler et al. 2008 review: little evidence that matching instruction to learning style helps</t>
  </si>
  <si>
    <t xml:space="preserve">Many people believe matching lessons to your style helps you learn.</t>
  </si>
  <si>
    <t xml:space="preserve">👁 VISUAL | 👂 AUDIO | ✋ HANDS-ON</t>
  </si>
  <si>
    <t xml:space="preserve">In 2008, Harold Pashler's team reviewed the research on matching.</t>
  </si>
  <si>
    <t xml:space="preserve">PASHLER ET AL., 2008</t>
  </si>
  <si>
    <t xml:space="preserve">They found little solid evidence that matching lessons to styles improves learning.</t>
  </si>
  <si>
    <t xml:space="preserve">LITTLE EVIDENCE</t>
  </si>
  <si>
    <t xml:space="preserve">But preferences are real. They just don't decide how you learn best.</t>
  </si>
  <si>
    <t xml:space="preserve">PREFERENCE ≠ ABILITY</t>
  </si>
  <si>
    <t xml:space="preserve">The best method depends on what you're learning, not your label.</t>
  </si>
  <si>
    <t xml:space="preserve">LEARNING-STYLE LABELS</t>
  </si>
  <si>
    <t xml:space="preserve">Use pictures for maps and practice for skills. Share this with your study group, and follow for more.</t>
  </si>
  <si>
    <t xml:space="preserve">MATCH THE TOPIC, NOT THE LABEL</t>
  </si>
  <si>
    <t xml:space="preserve">There's no such thing as a left-brained or right-brained person.</t>
  </si>
  <si>
    <t xml:space="preserve">LEFT 🧠 | RIGHT 🧠 ❌</t>
  </si>
  <si>
    <t xml:space="preserve">Nielsen et al. 2013 (Utah): &gt;1,000 brain scans showed no left- or right-brained people</t>
  </si>
  <si>
    <t xml:space="preserve">Quizzes sort you into logical left-brainers or creative right-brainers.</t>
  </si>
  <si>
    <t xml:space="preserve">personality quiz result card</t>
  </si>
  <si>
    <t xml:space="preserve">In 2013, Jared Nielsen's team scanned more than 1,000 brains at the University of Utah.</t>
  </si>
  <si>
    <t xml:space="preserve">NIELSEN ET AL., 2013 | 1,000+ SCANS</t>
  </si>
  <si>
    <t xml:space="preserve">Some functions lean to one side, but no person used one side more overall.</t>
  </si>
  <si>
    <t xml:space="preserve">NO 'DOMINANT' SIDE</t>
  </si>
  <si>
    <t xml:space="preserve">But the myth sticks because it's a simple, flattering label.</t>
  </si>
  <si>
    <t xml:space="preserve">SIMPLE + FLATTERING</t>
  </si>
  <si>
    <t xml:space="preserve">The left-brain right-brain personality is a myth.</t>
  </si>
  <si>
    <t xml:space="preserve">MYTH BUSTED</t>
  </si>
  <si>
    <t xml:space="preserve">You can be logical and creative. Share this with your 'right-brained' friend, and follow for more myths.</t>
  </si>
  <si>
    <t xml:space="preserve">LOGICAL + CREATIVE</t>
  </si>
  <si>
    <t xml:space="preserve">You don't use 10 percent of your brain. You use pretty much all of it.</t>
  </si>
  <si>
    <t xml:space="preserve">10%? ❌</t>
  </si>
  <si>
    <t xml:space="preserve">Brain imaging shows activity across virtually all regions; brain ~2% body mass, ~20% energy</t>
  </si>
  <si>
    <t xml:space="preserve">The idea shows up in films, ads and motivational talks.</t>
  </si>
  <si>
    <t xml:space="preserve">movie poster: 'Unlock the other 90%'</t>
  </si>
  <si>
    <t xml:space="preserve">Brain scans show activity across virtually every region over a day.</t>
  </si>
  <si>
    <t xml:space="preserve">brain lighting up everywhere</t>
  </si>
  <si>
    <t xml:space="preserve">Your brain is about 2 percent of your body weight, yet uses around 20 percent of its energy.</t>
  </si>
  <si>
    <t xml:space="preserve">2% WEIGHT | ~20% ENERGY</t>
  </si>
  <si>
    <t xml:space="preserve">But evolution wouldn't keep an organ that expensive if most of it sat idle.</t>
  </si>
  <si>
    <t xml:space="preserve">TOO EXPENSIVE TO WASTE</t>
  </si>
  <si>
    <t xml:space="preserve">The 10 percent brain myth.</t>
  </si>
  <si>
    <t xml:space="preserve">Next time someone says it, you know the answer. Follow for tomorrow's myth.</t>
  </si>
  <si>
    <t xml:space="preserve">FOLLOW FOR TOMORROW'S MYTH</t>
  </si>
  <si>
    <t xml:space="preserve">Crossed arms don't mean someone's lying. Experts can barely tell either.</t>
  </si>
  <si>
    <t xml:space="preserve">🙅 ≠ LYING</t>
  </si>
  <si>
    <t xml:space="preserve">Bond &amp; DePaulo 2006 meta-analysis: lie detection ~54% accuracy, barely above chance</t>
  </si>
  <si>
    <t xml:space="preserve">You've heard it: crossed arms, looking away, touching the face.</t>
  </si>
  <si>
    <t xml:space="preserve">3 'TELLS' ✗ ✗ ✗</t>
  </si>
  <si>
    <t xml:space="preserve">In 2006, Charles Bond and Bella DePaulo reviewed over 200 lie-detection studies.</t>
  </si>
  <si>
    <t xml:space="preserve">BOND &amp; DEPAULO, 2006 | 200+ STUDIES</t>
  </si>
  <si>
    <t xml:space="preserve">People spotted lies about 54 percent of the time. Barely better than a coin flip.</t>
  </si>
  <si>
    <t xml:space="preserve">54% (coin = 50%)</t>
  </si>
  <si>
    <t xml:space="preserve">But maybe they're just cold, tired, or comfortable like that.</t>
  </si>
  <si>
    <t xml:space="preserve">🥶 😴 😌</t>
  </si>
  <si>
    <t xml:space="preserve">Body-language certainty is a myth.</t>
  </si>
  <si>
    <t xml:space="preserve">BODY LANGUAGE ≠ LIE DETECTOR</t>
  </si>
  <si>
    <t xml:space="preserve">Judge what people say and do, not one gesture. Save this before your next 'they're lying' moment.</t>
  </si>
  <si>
    <t xml:space="preserve">WORDS + ACTIONS</t>
  </si>
  <si>
    <t xml:space="preserve">A professor gave his whole class the same personality reading. They rated it 4.3 out of 5.</t>
  </si>
  <si>
    <t xml:space="preserve">SAME PROFILE → 4.3/5 ⭐</t>
  </si>
  <si>
    <t xml:space="preserve">Forer 1949: same generic profile rated ~4.3/5 accurate</t>
  </si>
  <si>
    <t xml:space="preserve">In 1948, Bertram Forer gave students a personality test.</t>
  </si>
  <si>
    <t xml:space="preserve">FORER, 1948</t>
  </si>
  <si>
    <t xml:space="preserve">Each got a 'personal' description. Every single one was identical.</t>
  </si>
  <si>
    <t xml:space="preserve">IDENTICAL × 39</t>
  </si>
  <si>
    <t xml:space="preserve">Things like: 'You have a great need for others to like you.'</t>
  </si>
  <si>
    <t xml:space="preserve">'YOU NEED OTHERS TO LIKE YOU'</t>
  </si>
  <si>
    <t xml:space="preserve">But vague statements fit almost everyone, so they feel uniquely true.</t>
  </si>
  <si>
    <t xml:space="preserve">VAGUE = FITS ALL</t>
  </si>
  <si>
    <t xml:space="preserve">It's the Barnum effect. It's why horoscopes and quizzes feel so accurate.</t>
  </si>
  <si>
    <t xml:space="preserve">THE BARNUM EFFECT</t>
  </si>
  <si>
    <t xml:space="preserve">Before trusting a quiz result, ask: would this fit my friend too? Follow for more.</t>
  </si>
  <si>
    <t xml:space="preserve">WOULD IT FIT A FRIEND?</t>
  </si>
  <si>
    <t xml:space="preserve">You can be totally certain about a memory, and totally wrong.</t>
  </si>
  <si>
    <t xml:space="preserve">100% SURE ❌</t>
  </si>
  <si>
    <t xml:space="preserve">Talarico &amp; Rubin 2003: 9/11 memories' consistency declined while confidence stayed high</t>
  </si>
  <si>
    <t xml:space="preserve">The day after 9/11, Jennifer Talarico and David Rubin asked students what happened to them.</t>
  </si>
  <si>
    <t xml:space="preserve">TALARICO &amp; RUBIN, 2003</t>
  </si>
  <si>
    <t xml:space="preserve">They asked again weeks and months later.</t>
  </si>
  <si>
    <t xml:space="preserve">DAY 1 → WEEK 6 → MONTH 7</t>
  </si>
  <si>
    <t xml:space="preserve">Details drifted, but confidence stayed high, like any vivid memory.</t>
  </si>
  <si>
    <t xml:space="preserve">ACCURACY ⬇ | CONFIDENCE ➡</t>
  </si>
  <si>
    <t xml:space="preserve">But confidence comes from vividness, not accuracy.</t>
  </si>
  <si>
    <t xml:space="preserve">VIVID ≠ ACCURATE</t>
  </si>
  <si>
    <t xml:space="preserve">Memory confidence isn't proof.</t>
  </si>
  <si>
    <t xml:space="preserve">MEMORY CONFIDENCE</t>
  </si>
  <si>
    <t xml:space="preserve">Write down important moments while they're fresh. Save this for the next 'I remember exactly' argument.</t>
  </si>
  <si>
    <t xml:space="preserve">WRITE IT DOWN NOW</t>
  </si>
  <si>
    <t xml:space="preserve">When ice cream sales go up, drownings go up too. So does ice cream cause drowning?</t>
  </si>
  <si>
    <t xml:space="preserve">🍦 📈 = 🏊 📈 ?</t>
  </si>
  <si>
    <t xml:space="preserve">Classic confound example: heat drives both ice cream sales and swimming</t>
  </si>
  <si>
    <t xml:space="preserve">The numbers really do rise together.</t>
  </si>
  <si>
    <t xml:space="preserve">two lines rising together</t>
  </si>
  <si>
    <t xml:space="preserve">But there's a third thing driving both: hot weather.</t>
  </si>
  <si>
    <t xml:space="preserve">☀️ → 🍦 + 🏊</t>
  </si>
  <si>
    <t xml:space="preserve">Heat sells ice cream. Heat sends people swimming.</t>
  </si>
  <si>
    <t xml:space="preserve">HEAT = THE HIDDEN CAUSE</t>
  </si>
  <si>
    <t xml:space="preserve">Headlines do this all the time: 'X linked to Y.'</t>
  </si>
  <si>
    <t xml:space="preserve">'X LINKED TO Y'</t>
  </si>
  <si>
    <t xml:space="preserve">Correlation isn't causation.</t>
  </si>
  <si>
    <t xml:space="preserve">CORRELATION ≠ CAUSATION</t>
  </si>
  <si>
    <t xml:space="preserve">Next 'linked to' headline you see, ask: what's the hidden third thing? Comment one you've spotted, and follow.</t>
  </si>
  <si>
    <t xml:space="preserve">FIND THE HIDDEN CAUSE</t>
  </si>
  <si>
    <t xml:space="preserve">Which hospital has more days where over 60 percent of babies are boys: big or small?</t>
  </si>
  <si>
    <t xml:space="preserve">🏥 BIG vs 🏠 SMALL</t>
  </si>
  <si>
    <t xml:space="preserve">Kahneman &amp; Tversky 1972 hospital problem: most ignored sample size</t>
  </si>
  <si>
    <t xml:space="preserve">Most people say: about the same.</t>
  </si>
  <si>
    <t xml:space="preserve">'SAME' — most people</t>
  </si>
  <si>
    <t xml:space="preserve">Kahneman and Tversky asked this in 1972.</t>
  </si>
  <si>
    <t xml:space="preserve">KAHNEMAN &amp; TVERSKY, 1972</t>
  </si>
  <si>
    <t xml:space="preserve">The answer is the small one. Fewer births means more random swings.</t>
  </si>
  <si>
    <t xml:space="preserve">SMALL = MORE SWINGS</t>
  </si>
  <si>
    <t xml:space="preserve">But we forget this every time five reviews or five friends 'prove' something.</t>
  </si>
  <si>
    <t xml:space="preserve">5 DOTS vs MANY DOTS</t>
  </si>
  <si>
    <t xml:space="preserve">Small samples are noisy.</t>
  </si>
  <si>
    <t xml:space="preserve">SMALL SAMPLES</t>
  </si>
  <si>
    <t xml:space="preserve">Before trusting a result, ask: how many people? Save this for the next viral 'study'.</t>
  </si>
  <si>
    <t xml:space="preserve">HOW MANY PEOPLE?</t>
  </si>
  <si>
    <t xml:space="preserve">When scientists repeated 100 psychology studies, only about a third worked again.</t>
  </si>
  <si>
    <t xml:space="preserve">100 STUDIES → ~36 REPLICATED</t>
  </si>
  <si>
    <t xml:space="preserve">Open Science Collaboration 2015: ~36% of 100 replications significant</t>
  </si>
  <si>
    <t xml:space="preserve">In 2015, the Open Science Collaboration redid 100 published experiments.</t>
  </si>
  <si>
    <t xml:space="preserve">OPEN SCIENCE COLLABORATION, 2015</t>
  </si>
  <si>
    <t xml:space="preserve">About 36 percent produced a significant result again.</t>
  </si>
  <si>
    <t xml:space="preserve">~36% ✓</t>
  </si>
  <si>
    <t xml:space="preserve">Many effects were also smaller the second time.</t>
  </si>
  <si>
    <t xml:space="preserve">EFFECTS SMALLER</t>
  </si>
  <si>
    <t xml:space="preserve">But that's not science failing. It's science checking itself.</t>
  </si>
  <si>
    <t xml:space="preserve">SCIENCE CHECKING ITSELF</t>
  </si>
  <si>
    <t xml:space="preserve">That's why replication matters.</t>
  </si>
  <si>
    <t xml:space="preserve">REPLICATION</t>
  </si>
  <si>
    <t xml:space="preserve">Trust findings that were repeated by different teams. Follow, we check our sources in every video.</t>
  </si>
  <si>
    <t xml:space="preserve">REPEATED = STRONGER</t>
  </si>
  <si>
    <t xml:space="preserve">Before you share a psychology fact, ask these three questions.</t>
  </si>
  <si>
    <t xml:space="preserve">3 QUESTIONS ✅✅✅</t>
  </si>
  <si>
    <t xml:space="preserve">Synthesis of channel's methods; no single study</t>
  </si>
  <si>
    <t xml:space="preserve">One: where's the evidence? A study, or just a quote on a pretty background?</t>
  </si>
  <si>
    <t xml:space="preserve">1. EVIDENCE?</t>
  </si>
  <si>
    <t xml:space="preserve">Two: who was studied? Twenty students isn't everyone.</t>
  </si>
  <si>
    <t xml:space="preserve">2. WHO WAS STUDIED?</t>
  </si>
  <si>
    <t xml:space="preserve">Three: did anyone repeat it and get the same result?</t>
  </si>
  <si>
    <t xml:space="preserve">3. WAS IT REPEATED?</t>
  </si>
  <si>
    <t xml:space="preserve">But most viral 'facts' fail at least one.</t>
  </si>
  <si>
    <t xml:space="preserve">MOST FAIL ONE</t>
  </si>
  <si>
    <t xml:space="preserve">That's your psychology claim checklist.</t>
  </si>
  <si>
    <t xml:space="preserve">THE CLAIM CHECKLIST</t>
  </si>
  <si>
    <t xml:space="preserve">Screenshot this and use it on our videos too. Follow for facts that pass the test.</t>
  </si>
  <si>
    <t xml:space="preserve">Your brain won't let you sleep because it's holding a list it hasn't finished.</t>
  </si>
  <si>
    <t xml:space="preserve">2 AM 🧠 open tabs</t>
  </si>
  <si>
    <t xml:space="preserve">Zeigarnik 1927 (replication mixed); Masicampo &amp; Baumeister 2011: plan reduced intrusive thoughts</t>
  </si>
  <si>
    <t xml:space="preserve">You lie down, and every unfinished task starts knocking.</t>
  </si>
  <si>
    <t xml:space="preserve">tasks knocking at the door</t>
  </si>
  <si>
    <t xml:space="preserve">In 1927, Bluma Zeigarnik noticed unfinished tasks stay active in memory.</t>
  </si>
  <si>
    <t xml:space="preserve">ZEIGARNIK, 1927</t>
  </si>
  <si>
    <t xml:space="preserve">In 2011, E.J. Masicampo and Roy Baumeister found making a specific plan quieted those thoughts.</t>
  </si>
  <si>
    <t xml:space="preserve">MASICAMPO &amp; BAUMEISTER, 2011</t>
  </si>
  <si>
    <t xml:space="preserve">But you don't need to finish the task. You just need to plan the next step.</t>
  </si>
  <si>
    <t xml:space="preserve">PLAN ≠ FINISH</t>
  </si>
  <si>
    <t xml:space="preserve">That's the open-loop effect.</t>
  </si>
  <si>
    <t xml:space="preserve">OPEN LOOPS</t>
  </si>
  <si>
    <t xml:space="preserve">Before bed, write tomorrow's first step for each worry. Save this for tonight.</t>
  </si>
  <si>
    <t xml:space="preserve">WRITE THE NEXT STEP</t>
  </si>
  <si>
    <t xml:space="preserve">You opened your phone for a minute. That was 40 minutes ago.</t>
  </si>
  <si>
    <t xml:space="preserve">'1 MINUTE' → 40 MINUTES</t>
  </si>
  <si>
    <t xml:space="preserve">Schultz et al. 1997: dopamine neurons signal reward prediction error</t>
  </si>
  <si>
    <t xml:space="preserve">It's not that you love scrolling. It's that the next thing might be good.</t>
  </si>
  <si>
    <t xml:space="preserve">MIGHT BE GOOD... →</t>
  </si>
  <si>
    <t xml:space="preserve">In 1997, Wolfram Schultz's team found dopamine neurons respond most to unexpected rewards.</t>
  </si>
  <si>
    <t xml:space="preserve">SCHULTZ ET AL., 1997</t>
  </si>
  <si>
    <t xml:space="preserve">Dopamine helps your brain learn what's worth chasing.</t>
  </si>
  <si>
    <t xml:space="preserve">DOPAMINE = LEARNING SIGNAL</t>
  </si>
  <si>
    <t xml:space="preserve">But when rewards are uncertain, there's always a reason to check one more time.</t>
  </si>
  <si>
    <t xml:space="preserve">UNCERTAIN → ONE MORE</t>
  </si>
  <si>
    <t xml:space="preserve">That's why one more never feels like enough.</t>
  </si>
  <si>
    <t xml:space="preserve">ONE MORE NEVER ENOUGH</t>
  </si>
  <si>
    <t xml:space="preserve">Pick one stopping cue, a timer or the end of a song, and keep it. Follow for tomorrow's attention fix.</t>
  </si>
  <si>
    <t xml:space="preserve">PICK A STOPPING CUE</t>
  </si>
  <si>
    <t xml:space="preserve">Long-form videos (Ted type 1, 16:9, YouTube) — twice a week</t>
  </si>
  <si>
    <t xml:space="preserve">Built by the "Long-form" GitHub workflow (Mon &amp; Thu) for posting Tue &amp; Fri. Status: Idea → Scripted → Scheduled → Published | Vetoed | Failed.</t>
  </si>
  <si>
    <t xml:space="preserve">Topic</t>
  </si>
  <si>
    <t xml:space="preserve">Angle / hook</t>
  </si>
  <si>
    <t xml:space="preserve">Length (min)</t>
  </si>
  <si>
    <t xml:space="preserve">Liking &amp; influence</t>
  </si>
  <si>
    <t xml:space="preserve">7 psychology tricks that make people like you (and why they work)</t>
  </si>
  <si>
    <t xml:space="preserve">seven-tricks-liked</t>
  </si>
  <si>
    <t xml:space="preserve">7 Psychology Tricks That Make People Like You (Backed by Research)</t>
  </si>
  <si>
    <t xml:space="preserve">8 ways your brain lies to you every day</t>
  </si>
  <si>
    <t xml:space="preserve">Learning</t>
  </si>
  <si>
    <t xml:space="preserve">How to study smarter: 6 techniques backed by research</t>
  </si>
  <si>
    <t xml:space="preserve">Habits</t>
  </si>
  <si>
    <t xml:space="preserve">The psychology of habits: why you can't stop (and how to)</t>
  </si>
  <si>
    <t xml:space="preserve">Social pressure</t>
  </si>
  <si>
    <t xml:space="preserve">Why good people go along with bad things: conformity, obedience and the bystander effect</t>
  </si>
  <si>
    <t xml:space="preserve">Persuasion defense</t>
  </si>
  <si>
    <t xml:space="preserve">Manipulation tactics people use on you, and how to spot them</t>
  </si>
  <si>
    <t xml:space="preserve">Memory</t>
  </si>
  <si>
    <t xml:space="preserve">Memory hacks that actually work, according to science</t>
  </si>
  <si>
    <t xml:space="preserve">Procrastination</t>
  </si>
  <si>
    <t xml:space="preserve">Why you procrastinate (it's not laziness) and what fixes it</t>
  </si>
  <si>
    <t xml:space="preserve">Visual styles</t>
  </si>
  <si>
    <t xml:space="preserve">Each Short is built in one look. Looks adapt palettes, type and conventions of the lemo-opuscar film styles (LemoLab, MIT licence, github.com/lemomo-ai/lemo-opuscar) to the vertical psychology template.</t>
  </si>
  <si>
    <t xml:space="preserve">Look id</t>
  </si>
  <si>
    <t xml:space="preserve">Name</t>
  </si>
  <si>
    <t xml:space="preserve">Adapted from</t>
  </si>
  <si>
    <t xml:space="preserve">Best for</t>
  </si>
  <si>
    <t xml:space="preserve">Ideas assigned</t>
  </si>
  <si>
    <t xml:space="preserve">Ground</t>
  </si>
  <si>
    <t xml:space="preserve">Accent</t>
  </si>
  <si>
    <t xml:space="preserve">Pixel Lab (house look)</t>
  </si>
  <si>
    <t xml:space="preserve">— (Motion as Code house style)</t>
  </si>
  <si>
    <t xml:space="preserve">Default; social/being-watched ideas</t>
  </si>
  <si>
    <t xml:space="preserve">Whiteboard Explainer</t>
  </si>
  <si>
    <t xml:space="preserve">Learning, study techniques, step-by-step how-tos</t>
  </si>
  <si>
    <t xml:space="preserve">Data Storytelling</t>
  </si>
  <si>
    <t xml:space="preserve">dataviz</t>
  </si>
  <si>
    <t xml:space="preserve">Ideas whose punch is a number or chart; stats and sampling</t>
  </si>
  <si>
    <t xml:space="preserve">Swiss Motion Graphics</t>
  </si>
  <si>
    <t xml:space="preserve">swiss-motion</t>
  </si>
  <si>
    <t xml:space="preserve">Decisions, wording, prices, crisp single-rule ideas</t>
  </si>
  <si>
    <t xml:space="preserve">Halftone Dossier</t>
  </si>
  <si>
    <t xml:space="preserve">halftone-dossier</t>
  </si>
  <si>
    <t xml:space="preserve">Classic experiments as 'case files', myths on trial</t>
  </si>
  <si>
    <t xml:space="preserve">Risograph Print</t>
  </si>
  <si>
    <t xml:space="preserve">risograph</t>
  </si>
  <si>
    <t xml:space="preserve">Light, warm, everyday social ideas</t>
  </si>
  <si>
    <t xml:space="preserve">Blueprint</t>
  </si>
  <si>
    <t xml:space="preserve">Systems and mechanisms: habits, friction, how the brain is 'built'</t>
  </si>
  <si>
    <t xml:space="preserve">ASCII / CRT Terminal</t>
  </si>
  <si>
    <t xml:space="preserve">ascii-crt</t>
  </si>
  <si>
    <t xml:space="preserve">Screens, feeds, notifications, attention online</t>
  </si>
  <si>
    <t xml:space="preserve">Dark Tech Keynote</t>
  </si>
  <si>
    <t xml:space="preserve">dark-keynote</t>
  </si>
  <si>
    <t xml:space="preserve">Tech/consumer psychology, product and choice design</t>
  </si>
  <si>
    <t xml:space="preserve">Game Show Flat</t>
  </si>
  <si>
    <t xml:space="preserve">Quizzes, rewards, competitions, playful demos</t>
  </si>
  <si>
    <t xml:space="preserve">Mid-century Cartoon</t>
  </si>
  <si>
    <t xml:space="preserve">midcentury-toon</t>
  </si>
  <si>
    <t xml:space="preserve">Practical 'how to' tips, everyday routines</t>
  </si>
  <si>
    <t xml:space="preserve">60s Spy Titles</t>
  </si>
  <si>
    <t xml:space="preserve">spy-titles</t>
  </si>
  <si>
    <t xml:space="preserve">Hidden thoughts, secrets, things people miss or conceal</t>
  </si>
  <si>
    <t xml:space="preserve">Crayon Picture Book</t>
  </si>
  <si>
    <t xml:space="preserve">crayon-book</t>
  </si>
  <si>
    <t xml:space="preserve">Gentle emotional topics, self-kindness</t>
  </si>
  <si>
    <t xml:space="preserve">16-bit Pixel RPG</t>
  </si>
  <si>
    <t xml:space="preserve">pixel-rpg</t>
  </si>
  <si>
    <t xml:space="preserve">Progress, levelling up, motivation, practice</t>
  </si>
  <si>
    <t xml:space="preserve">One-line Drawing</t>
  </si>
  <si>
    <t xml:space="preserve">Introspective identity, memory and self-image ideas</t>
  </si>
  <si>
    <t xml:space="preserve">Ted type 1 (card montage)</t>
  </si>
  <si>
    <t xml:space="preserve">@mindunderglass-style tips channel</t>
  </si>
  <si>
    <t xml:space="preserve">Faceless tip lists: Lottie illustration per line, deep male narrator</t>
  </si>
  <si>
    <t xml:space="preserve">Ted type 2 (Claude Design style)</t>
  </si>
  <si>
    <t xml:space="preserve">Shivam's Claude Design 'Rename Your Nerves Short'</t>
  </si>
  <si>
    <t xml:space="preserve">Faceless tips: drawn SVG scene per line, kinetic emphasis captions, deep narrator</t>
  </si>
  <si>
    <t xml:space="preserve">What's working</t>
  </si>
  <si>
    <t xml:space="preserve">Averages over published Shorts with day-7 numbers. Updates as the pipeline fills the tracker.</t>
  </si>
  <si>
    <t xml:space="preserve">Avg views d7</t>
  </si>
  <si>
    <t xml:space="preserve">Avg retention d7</t>
  </si>
  <si>
    <t xml:space="preserve">Avg engagement d7</t>
  </si>
  <si>
    <t xml:space="preserve">Avg views d30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</si>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</sst>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"/>
    <numFmt numFmtId="167" formatCode="0.0%"/>
  </numFmts>
  <fonts count="1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111111"/>
      <name val="Arial"/>
      <family val="0"/>
      <charset val="1"/>
    </font>
    <font>
      <sz val="11"/>
      <color rgb="FF11111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55555"/>
      <name val="Arial"/>
      <family val="0"/>
      <charset val="1"/>
    </font>
    <font>
      <sz val="11"/>
      <name val="Arial"/>
      <family val="0"/>
      <charset val="1"/>
    </font>
  </fonts>
  <fills count="36">
    <fill>
      <patternFill patternType="none"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5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5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7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9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1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2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3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4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5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6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7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8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9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1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2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3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4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5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V10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5"/>
    <col collapsed="false" customWidth="true" hidden="false" outlineLevel="0" max="3" min="3" style="0" width="38"/>
    <col collapsed="false" customWidth="true" hidden="false" outlineLevel="0" max="4" min="4" style="0" width="48"/>
    <col collapsed="false" customWidth="true" hidden="false" outlineLevel="0" max="5" min="5" style="0" width="59"/>
    <col collapsed="false" customWidth="true" hidden="false" outlineLevel="0" max="6" min="6" style="0" width="39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24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40"/>
    <col collapsed="false" customWidth="true" hidden="false" outlineLevel="0" max="17" min="17" style="0" width="30"/>
    <col collapsed="false" customWidth="true" hidden="false" outlineLevel="0" max="18" min="18" style="0" width="14"/>
    <col collapsed="false" customWidth="true" hidden="false" outlineLevel="0" max="19" min="19" style="0" width="11"/>
    <col collapsed="false" customWidth="true" hidden="false" outlineLevel="0" max="21" min="20" style="0" width="12"/>
    <col collapsed="false" customWidth="true" hidden="false" outlineLevel="0" max="22" min="22" style="0" width="10"/>
    <col collapsed="false" customWidth="true" hidden="false" outlineLevel="0" max="23" min="23" style="0" width="11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10"/>
    <col collapsed="false" customWidth="true" hidden="false" outlineLevel="0" max="27" min="27" style="0" width="11"/>
    <col collapsed="false" customWidth="true" hidden="false" outlineLevel="0" max="28" min="28" style="0" width="10"/>
    <col collapsed="false" customWidth="true" hidden="false" outlineLevel="0" max="30" min="29" style="0" width="12"/>
    <col collapsed="false" customWidth="true" hidden="false" outlineLevel="0" max="33" min="31" style="0" width="11"/>
    <col collapsed="false" customWidth="true" hidden="false" outlineLevel="0" max="34" min="34" style="0" width="12"/>
    <col collapsed="false" customWidth="true" hidden="false" outlineLevel="0" max="37" min="35" style="0" width="11"/>
    <col collapsed="false" customWidth="true" hidden="false" outlineLevel="0" max="38" min="38" style="0" width="12"/>
    <col collapsed="false" customWidth="true" hidden="false" outlineLevel="0" max="39" min="39" style="0" width="11"/>
    <col collapsed="false" customWidth="true" hidden="false" outlineLevel="0" max="40" min="40" style="0" width="50"/>
    <col collapsed="false" customWidth="true" hidden="false" outlineLevel="0" max="41" min="41" style="0" width="15"/>
    <col collapsed="false" customWidth="true" hidden="false" outlineLevel="0" max="42" min="42" style="0" width="10"/>
    <col collapsed="false" customWidth="true" hidden="false" outlineLevel="0" max="43" min="43" style="0" width="34"/>
    <col collapsed="false" customWidth="true" hidden="false" outlineLevel="0" max="44" min="44" style="0" width="60"/>
    <col collapsed="false" customWidth="true" hidden="false" outlineLevel="0" max="45" min="45" style="0" width="30"/>
    <col collapsed="false" customWidth="true" hidden="false" outlineLevel="0" max="46" min="46" style="0" width="26"/>
    <col collapsed="false" customWidth="true" hidden="false" outlineLevel="0" max="47" min="47" style="0" width="34"/>
    <col collapsed="false" customWidth="true" hidden="false" outlineLevel="0" max="48" min="48" style="0" width="18"/>
  </cols>
  <sheetData>
    <row r="2" customFormat="false" ht="19.7" hidden="false" customHeight="false" outlineLevel="0" collapsed="false">
      <c r="A2" s="1" t="s">
        <v>0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4" t="s">
        <v>2</v>
      </c>
      <c r="S4" s="4" t="s">
        <v>3</v>
      </c>
      <c r="AE4" s="4" t="s">
        <v>4</v>
      </c>
      <c r="AI4" s="4" t="s">
        <v>5</v>
      </c>
      <c r="AM4" s="4" t="s">
        <v>6</v>
      </c>
      <c r="AO4" s="4" t="s">
        <v>7</v>
      </c>
      <c r="AP4" s="4" t="s">
        <v>8</v>
      </c>
      <c r="AV4" s="4" t="s">
        <v>9</v>
      </c>
    </row>
    <row r="5" customFormat="false" ht="30" hidden="false" customHeight="true" outlineLevel="0" collapsed="false">
      <c r="A5" s="5" t="s">
        <v>10</v>
      </c>
      <c r="B5" s="5" t="s">
        <v>11</v>
      </c>
      <c r="C5" s="5" t="s">
        <v>12</v>
      </c>
      <c r="D5" s="5" t="s">
        <v>13</v>
      </c>
      <c r="E5" s="5" t="s">
        <v>14</v>
      </c>
      <c r="F5" s="5" t="s">
        <v>15</v>
      </c>
      <c r="G5" s="5" t="s">
        <v>16</v>
      </c>
      <c r="H5" s="5" t="s">
        <v>17</v>
      </c>
      <c r="I5" s="5" t="s">
        <v>18</v>
      </c>
      <c r="J5" s="5" t="s">
        <v>19</v>
      </c>
      <c r="K5" s="5" t="s">
        <v>20</v>
      </c>
      <c r="L5" s="5" t="s">
        <v>21</v>
      </c>
      <c r="M5" s="5" t="s">
        <v>22</v>
      </c>
      <c r="N5" s="5" t="s">
        <v>23</v>
      </c>
      <c r="O5" s="5" t="s">
        <v>24</v>
      </c>
      <c r="P5" s="5" t="s">
        <v>25</v>
      </c>
      <c r="Q5" s="5" t="s">
        <v>26</v>
      </c>
      <c r="R5" s="5" t="s">
        <v>27</v>
      </c>
      <c r="S5" s="5" t="s">
        <v>28</v>
      </c>
      <c r="T5" s="5" t="s">
        <v>29</v>
      </c>
      <c r="U5" s="5" t="s">
        <v>30</v>
      </c>
      <c r="V5" s="5" t="s">
        <v>31</v>
      </c>
      <c r="W5" s="5" t="s">
        <v>32</v>
      </c>
      <c r="X5" s="5" t="s">
        <v>33</v>
      </c>
      <c r="Y5" s="5" t="s">
        <v>34</v>
      </c>
      <c r="Z5" s="5" t="s">
        <v>35</v>
      </c>
      <c r="AA5" s="5" t="s">
        <v>36</v>
      </c>
      <c r="AB5" s="5" t="s">
        <v>37</v>
      </c>
      <c r="AC5" s="5" t="s">
        <v>38</v>
      </c>
      <c r="AD5" s="5" t="s">
        <v>39</v>
      </c>
      <c r="AE5" s="5" t="s">
        <v>40</v>
      </c>
      <c r="AF5" s="5" t="s">
        <v>41</v>
      </c>
      <c r="AG5" s="5" t="s">
        <v>42</v>
      </c>
      <c r="AH5" s="5" t="s">
        <v>43</v>
      </c>
      <c r="AI5" s="5" t="s">
        <v>44</v>
      </c>
      <c r="AJ5" s="5" t="s">
        <v>45</v>
      </c>
      <c r="AK5" s="5" t="s">
        <v>46</v>
      </c>
      <c r="AL5" s="5" t="s">
        <v>47</v>
      </c>
      <c r="AM5" s="5" t="s">
        <v>48</v>
      </c>
      <c r="AN5" s="5" t="s">
        <v>49</v>
      </c>
      <c r="AO5" s="5" t="s">
        <v>50</v>
      </c>
      <c r="AP5" s="5" t="s">
        <v>51</v>
      </c>
      <c r="AQ5" s="5" t="s">
        <v>52</v>
      </c>
      <c r="AR5" s="5" t="s">
        <v>53</v>
      </c>
      <c r="AS5" s="5" t="s">
        <v>54</v>
      </c>
      <c r="AT5" s="5" t="s">
        <v>55</v>
      </c>
      <c r="AU5" s="5" t="s">
        <v>56</v>
      </c>
      <c r="AV5" s="5" t="s">
        <v>57</v>
      </c>
    </row>
    <row r="6" customFormat="false" ht="60" hidden="false" customHeight="true" outlineLevel="0" collapsed="false">
      <c r="A6" s="6" t="n">
        <v>1</v>
      </c>
      <c r="B6" s="6" t="s">
        <v>58</v>
      </c>
      <c r="C6" s="6" t="s">
        <v>59</v>
      </c>
      <c r="D6" s="6" t="s">
        <v>60</v>
      </c>
      <c r="E6" s="6" t="s">
        <v>61</v>
      </c>
      <c r="F6" s="6" t="s">
        <v>62</v>
      </c>
      <c r="G6" s="6" t="n">
        <v>45</v>
      </c>
      <c r="H6" s="6" t="s">
        <v>63</v>
      </c>
      <c r="I6" s="7" t="n">
        <v>1</v>
      </c>
      <c r="J6" s="7" t="s">
        <v>64</v>
      </c>
      <c r="K6" s="7" t="s">
        <v>65</v>
      </c>
      <c r="L6" s="8" t="n">
        <v>46306</v>
      </c>
      <c r="M6" s="6" t="str">
        <f aca="false">IF(L6="","",TEXT(L6,"ddd"))</f>
        <v>Sun</v>
      </c>
      <c r="N6" s="7" t="s">
        <v>66</v>
      </c>
      <c r="O6" s="7" t="n">
        <v>27</v>
      </c>
      <c r="P6" s="7" t="s">
        <v>67</v>
      </c>
      <c r="Q6" s="7" t="s">
        <v>68</v>
      </c>
      <c r="R6" s="7" t="s">
        <v>69</v>
      </c>
      <c r="S6" s="9"/>
      <c r="T6" s="7"/>
      <c r="U6" s="10" t="str">
        <f aca="false">IF(OR(T6="",N(O6)=0),"",T6/O6)</f>
        <v/>
      </c>
      <c r="V6" s="7"/>
      <c r="W6" s="7"/>
      <c r="X6" s="7"/>
      <c r="Y6" s="9"/>
      <c r="Z6" s="7"/>
      <c r="AA6" s="9"/>
      <c r="AB6" s="7"/>
      <c r="AC6" s="11" t="str">
        <f aca="false">IF(COUNT(S6,Y6,AA6)=0,"",SUM(S6,Y6,AA6))</f>
        <v/>
      </c>
      <c r="AD6" s="10" t="str">
        <f aca="false">IF(N(AC6)=0,"",SUM(V6,W6,X6,Z6,AB6)/AC6)</f>
        <v/>
      </c>
      <c r="AE6" s="9"/>
      <c r="AF6" s="9"/>
      <c r="AG6" s="9"/>
      <c r="AH6" s="11" t="str">
        <f aca="false">IF(COUNT(AE6,AF6,AG6)=0,"",SUM(AE6,AF6,AG6))</f>
        <v/>
      </c>
      <c r="AI6" s="9"/>
      <c r="AJ6" s="9"/>
      <c r="AK6" s="9"/>
      <c r="AL6" s="11" t="str">
        <f aca="false">IF(COUNT(AI6,AJ6,AK6)=0,"",SUM(AI6,AJ6,AK6))</f>
        <v/>
      </c>
      <c r="AM6" s="6" t="str">
        <f aca="false">IF(N(AC6)=0,"",IF(COUNT($AC$6:$AC$105)&lt;5,"Too early",IF(AC6&gt;=1.5*MEDIAN($AC$6:$AC$105),"Top",IF(AC6&lt;=0.5*MEDIAN($AC$6:$AC$105),"Low","Average"))))</f>
        <v/>
      </c>
      <c r="AN6" s="7" t="s">
        <v>70</v>
      </c>
      <c r="AO6" s="7" t="s">
        <v>71</v>
      </c>
      <c r="AP6" s="12"/>
      <c r="AQ6" s="12"/>
      <c r="AR6" s="12"/>
      <c r="AS6" s="12"/>
      <c r="AT6" s="12"/>
      <c r="AU6" s="12"/>
      <c r="AV6" s="2" t="s">
        <v>72</v>
      </c>
    </row>
    <row r="7" customFormat="false" ht="60" hidden="false" customHeight="true" outlineLevel="0" collapsed="false">
      <c r="A7" s="6" t="n">
        <v>2</v>
      </c>
      <c r="B7" s="6" t="s">
        <v>58</v>
      </c>
      <c r="C7" s="6" t="s">
        <v>73</v>
      </c>
      <c r="D7" s="6" t="s">
        <v>74</v>
      </c>
      <c r="E7" s="6" t="s">
        <v>75</v>
      </c>
      <c r="F7" s="6" t="s">
        <v>76</v>
      </c>
      <c r="G7" s="6" t="n">
        <v>45</v>
      </c>
      <c r="H7" s="6" t="s">
        <v>77</v>
      </c>
      <c r="I7" s="7" t="n">
        <v>11</v>
      </c>
      <c r="J7" s="7" t="s">
        <v>64</v>
      </c>
      <c r="K7" s="7" t="s">
        <v>78</v>
      </c>
      <c r="L7" s="8" t="n">
        <v>46310</v>
      </c>
      <c r="M7" s="6" t="str">
        <f aca="false">IF(L7="","",TEXT(L7,"ddd"))</f>
        <v>Thu</v>
      </c>
      <c r="N7" s="7" t="s">
        <v>79</v>
      </c>
      <c r="O7" s="7" t="n">
        <v>32</v>
      </c>
      <c r="P7" s="7" t="s">
        <v>80</v>
      </c>
      <c r="Q7" s="7" t="s">
        <v>81</v>
      </c>
      <c r="R7" s="7" t="s">
        <v>82</v>
      </c>
      <c r="S7" s="9"/>
      <c r="T7" s="7"/>
      <c r="U7" s="10" t="str">
        <f aca="false">IF(OR(T7="",N(O7)=0),"",T7/O7)</f>
        <v/>
      </c>
      <c r="V7" s="7"/>
      <c r="W7" s="7"/>
      <c r="X7" s="7"/>
      <c r="Y7" s="9"/>
      <c r="Z7" s="7"/>
      <c r="AA7" s="9"/>
      <c r="AB7" s="7"/>
      <c r="AC7" s="11" t="str">
        <f aca="false">IF(COUNT(S7,Y7,AA7)=0,"",SUM(S7,Y7,AA7))</f>
        <v/>
      </c>
      <c r="AD7" s="10" t="str">
        <f aca="false">IF(N(AC7)=0,"",SUM(V7,W7,X7,Z7,AB7)/AC7)</f>
        <v/>
      </c>
      <c r="AE7" s="9"/>
      <c r="AF7" s="9"/>
      <c r="AG7" s="9"/>
      <c r="AH7" s="11" t="str">
        <f aca="false">IF(COUNT(AE7,AF7,AG7)=0,"",SUM(AE7,AF7,AG7))</f>
        <v/>
      </c>
      <c r="AI7" s="9"/>
      <c r="AJ7" s="9"/>
      <c r="AK7" s="9"/>
      <c r="AL7" s="11" t="str">
        <f aca="false">IF(COUNT(AI7,AJ7,AK7)=0,"",SUM(AI7,AJ7,AK7))</f>
        <v/>
      </c>
      <c r="AM7" s="6" t="str">
        <f aca="false">IF(N(AC7)=0,"",IF(COUNT($AC$6:$AC$105)&lt;5,"Too early",IF(AC7&gt;=1.5*MEDIAN($AC$6:$AC$105),"Top",IF(AC7&lt;=0.5*MEDIAN($AC$6:$AC$105),"Low","Average"))))</f>
        <v/>
      </c>
      <c r="AN7" s="7" t="s">
        <v>83</v>
      </c>
      <c r="AO7" s="7" t="s">
        <v>84</v>
      </c>
      <c r="AP7" s="12"/>
      <c r="AQ7" s="12"/>
      <c r="AR7" s="12"/>
      <c r="AS7" s="12"/>
      <c r="AT7" s="12"/>
      <c r="AU7" s="12"/>
      <c r="AV7" s="2" t="s">
        <v>85</v>
      </c>
    </row>
    <row r="8" customFormat="false" ht="60" hidden="false" customHeight="true" outlineLevel="0" collapsed="false">
      <c r="A8" s="6" t="n">
        <v>3</v>
      </c>
      <c r="B8" s="6" t="s">
        <v>58</v>
      </c>
      <c r="C8" s="6" t="s">
        <v>86</v>
      </c>
      <c r="D8" s="6" t="s">
        <v>87</v>
      </c>
      <c r="E8" s="6" t="s">
        <v>88</v>
      </c>
      <c r="F8" s="6" t="s">
        <v>89</v>
      </c>
      <c r="G8" s="6" t="n">
        <v>45</v>
      </c>
      <c r="H8" s="6" t="s">
        <v>90</v>
      </c>
      <c r="I8" s="7" t="n">
        <v>21</v>
      </c>
      <c r="J8" s="7" t="s">
        <v>64</v>
      </c>
      <c r="K8" s="7" t="s">
        <v>91</v>
      </c>
      <c r="L8" s="8" t="n">
        <v>46310</v>
      </c>
      <c r="M8" s="6" t="str">
        <f aca="false">IF(L8="","",TEXT(L8,"ddd"))</f>
        <v>Thu</v>
      </c>
      <c r="N8" s="7"/>
      <c r="O8" s="7" t="n">
        <v>35</v>
      </c>
      <c r="P8" s="7" t="s">
        <v>92</v>
      </c>
      <c r="Q8" s="7" t="s">
        <v>93</v>
      </c>
      <c r="R8" s="7" t="s">
        <v>94</v>
      </c>
      <c r="S8" s="9"/>
      <c r="T8" s="7"/>
      <c r="U8" s="10" t="str">
        <f aca="false">IF(OR(T8="",N(O8)=0),"",T8/O8)</f>
        <v/>
      </c>
      <c r="V8" s="7"/>
      <c r="W8" s="7"/>
      <c r="X8" s="7"/>
      <c r="Y8" s="9"/>
      <c r="Z8" s="7"/>
      <c r="AA8" s="9"/>
      <c r="AB8" s="7"/>
      <c r="AC8" s="11" t="str">
        <f aca="false">IF(COUNT(S8,Y8,AA8)=0,"",SUM(S8,Y8,AA8))</f>
        <v/>
      </c>
      <c r="AD8" s="10" t="str">
        <f aca="false">IF(N(AC8)=0,"",SUM(V8,W8,X8,Z8,AB8)/AC8)</f>
        <v/>
      </c>
      <c r="AE8" s="9"/>
      <c r="AF8" s="9"/>
      <c r="AG8" s="9"/>
      <c r="AH8" s="11" t="str">
        <f aca="false">IF(COUNT(AE8,AF8,AG8)=0,"",SUM(AE8,AF8,AG8))</f>
        <v/>
      </c>
      <c r="AI8" s="9"/>
      <c r="AJ8" s="9"/>
      <c r="AK8" s="9"/>
      <c r="AL8" s="11" t="str">
        <f aca="false">IF(COUNT(AI8,AJ8,AK8)=0,"",SUM(AI8,AJ8,AK8))</f>
        <v/>
      </c>
      <c r="AM8" s="6" t="str">
        <f aca="false">IF(N(AC8)=0,"",IF(COUNT($AC$6:$AC$105)&lt;5,"Too early",IF(AC8&gt;=1.5*MEDIAN($AC$6:$AC$105),"Top",IF(AC8&lt;=0.5*MEDIAN($AC$6:$AC$105),"Low","Average"))))</f>
        <v/>
      </c>
      <c r="AN8" s="7"/>
      <c r="AO8" s="7" t="s">
        <v>95</v>
      </c>
      <c r="AP8" s="12"/>
      <c r="AQ8" s="12"/>
      <c r="AR8" s="12"/>
      <c r="AS8" s="12"/>
      <c r="AT8" s="12"/>
      <c r="AU8" s="12"/>
      <c r="AV8" s="2" t="s">
        <v>96</v>
      </c>
    </row>
    <row r="9" customFormat="false" ht="60" hidden="false" customHeight="true" outlineLevel="0" collapsed="false">
      <c r="A9" s="6" t="n">
        <v>4</v>
      </c>
      <c r="B9" s="6" t="s">
        <v>58</v>
      </c>
      <c r="C9" s="6" t="s">
        <v>97</v>
      </c>
      <c r="D9" s="6" t="s">
        <v>98</v>
      </c>
      <c r="E9" s="6" t="s">
        <v>99</v>
      </c>
      <c r="F9" s="6" t="s">
        <v>100</v>
      </c>
      <c r="G9" s="6" t="n">
        <v>45</v>
      </c>
      <c r="H9" s="6" t="s">
        <v>90</v>
      </c>
      <c r="I9" s="7" t="n">
        <v>30</v>
      </c>
      <c r="J9" s="7" t="s">
        <v>64</v>
      </c>
      <c r="K9" s="7" t="s">
        <v>101</v>
      </c>
      <c r="L9" s="8" t="n">
        <v>46314</v>
      </c>
      <c r="M9" s="6" t="str">
        <f aca="false">IF(L9="","",TEXT(L9,"ddd"))</f>
        <v>Mon</v>
      </c>
      <c r="N9" s="7"/>
      <c r="O9" s="7" t="n">
        <v>43</v>
      </c>
      <c r="P9" s="7" t="s">
        <v>102</v>
      </c>
      <c r="Q9" s="7" t="s">
        <v>103</v>
      </c>
      <c r="R9" s="7" t="s">
        <v>104</v>
      </c>
      <c r="S9" s="9"/>
      <c r="T9" s="7"/>
      <c r="U9" s="10" t="str">
        <f aca="false">IF(OR(T9="",N(O9)=0),"",T9/O9)</f>
        <v/>
      </c>
      <c r="V9" s="7"/>
      <c r="W9" s="7"/>
      <c r="X9" s="7"/>
      <c r="Y9" s="9"/>
      <c r="Z9" s="7"/>
      <c r="AA9" s="9"/>
      <c r="AB9" s="7"/>
      <c r="AC9" s="11" t="str">
        <f aca="false">IF(COUNT(S9,Y9,AA9)=0,"",SUM(S9,Y9,AA9))</f>
        <v/>
      </c>
      <c r="AD9" s="10" t="str">
        <f aca="false">IF(N(AC9)=0,"",SUM(V9,W9,X9,Z9,AB9)/AC9)</f>
        <v/>
      </c>
      <c r="AE9" s="9"/>
      <c r="AF9" s="9"/>
      <c r="AG9" s="9"/>
      <c r="AH9" s="11" t="str">
        <f aca="false">IF(COUNT(AE9,AF9,AG9)=0,"",SUM(AE9,AF9,AG9))</f>
        <v/>
      </c>
      <c r="AI9" s="9"/>
      <c r="AJ9" s="9"/>
      <c r="AK9" s="9"/>
      <c r="AL9" s="11" t="str">
        <f aca="false">IF(COUNT(AI9,AJ9,AK9)=0,"",SUM(AI9,AJ9,AK9))</f>
        <v/>
      </c>
      <c r="AM9" s="6" t="str">
        <f aca="false">IF(N(AC9)=0,"",IF(COUNT($AC$6:$AC$105)&lt;5,"Too early",IF(AC9&gt;=1.5*MEDIAN($AC$6:$AC$105),"Top",IF(AC9&lt;=0.5*MEDIAN($AC$6:$AC$105),"Low","Average"))))</f>
        <v/>
      </c>
      <c r="AN9" s="7"/>
      <c r="AO9" s="7" t="s">
        <v>95</v>
      </c>
      <c r="AP9" s="12"/>
      <c r="AQ9" s="12"/>
      <c r="AR9" s="12"/>
      <c r="AS9" s="12"/>
      <c r="AT9" s="12"/>
      <c r="AU9" s="12"/>
      <c r="AV9" s="2" t="s">
        <v>105</v>
      </c>
    </row>
    <row r="10" customFormat="false" ht="60" hidden="false" customHeight="true" outlineLevel="0" collapsed="false">
      <c r="A10" s="6" t="n">
        <v>5</v>
      </c>
      <c r="B10" s="6" t="s">
        <v>58</v>
      </c>
      <c r="C10" s="6" t="s">
        <v>106</v>
      </c>
      <c r="D10" s="6" t="s">
        <v>107</v>
      </c>
      <c r="E10" s="6" t="s">
        <v>108</v>
      </c>
      <c r="F10" s="6" t="s">
        <v>109</v>
      </c>
      <c r="G10" s="6" t="n">
        <v>45</v>
      </c>
      <c r="H10" s="6" t="s">
        <v>110</v>
      </c>
      <c r="I10" s="7" t="n">
        <v>38</v>
      </c>
      <c r="J10" s="7" t="s">
        <v>64</v>
      </c>
      <c r="K10" s="7" t="s">
        <v>111</v>
      </c>
      <c r="L10" s="8"/>
      <c r="M10" s="6" t="str">
        <f aca="false">IF(L10="","",TEXT(L10,"ddd"))</f>
        <v/>
      </c>
      <c r="N10" s="7" t="s">
        <v>79</v>
      </c>
      <c r="O10" s="7"/>
      <c r="P10" s="7"/>
      <c r="Q10" s="7" t="s">
        <v>112</v>
      </c>
      <c r="R10" s="7"/>
      <c r="S10" s="9"/>
      <c r="T10" s="7"/>
      <c r="U10" s="10" t="str">
        <f aca="false">IF(OR(T10="",N(O10)=0),"",T10/O10)</f>
        <v/>
      </c>
      <c r="V10" s="7"/>
      <c r="W10" s="7"/>
      <c r="X10" s="7"/>
      <c r="Y10" s="9"/>
      <c r="Z10" s="7"/>
      <c r="AA10" s="9"/>
      <c r="AB10" s="7"/>
      <c r="AC10" s="11" t="str">
        <f aca="false">IF(COUNT(S10,Y10,AA10)=0,"",SUM(S10,Y10,AA10))</f>
        <v/>
      </c>
      <c r="AD10" s="10" t="str">
        <f aca="false">IF(N(AC10)=0,"",SUM(V10,W10,X10,Z10,AB10)/AC10)</f>
        <v/>
      </c>
      <c r="AE10" s="9"/>
      <c r="AF10" s="9"/>
      <c r="AG10" s="9"/>
      <c r="AH10" s="11" t="str">
        <f aca="false">IF(COUNT(AE10,AF10,AG10)=0,"",SUM(AE10,AF10,AG10))</f>
        <v/>
      </c>
      <c r="AI10" s="9"/>
      <c r="AJ10" s="9"/>
      <c r="AK10" s="9"/>
      <c r="AL10" s="11" t="str">
        <f aca="false">IF(COUNT(AI10,AJ10,AK10)=0,"",SUM(AI10,AJ10,AK10))</f>
        <v/>
      </c>
      <c r="AM10" s="6" t="str">
        <f aca="false">IF(N(AC10)=0,"",IF(COUNT($AC$6:$AC$105)&lt;5,"Too early",IF(AC10&gt;=1.5*MEDIAN($AC$6:$AC$105),"Top",IF(AC10&lt;=0.5*MEDIAN($AC$6:$AC$105),"Low","Average"))))</f>
        <v/>
      </c>
      <c r="AN10" s="7"/>
      <c r="AO10" s="7" t="s">
        <v>95</v>
      </c>
      <c r="AP10" s="12"/>
      <c r="AQ10" s="12"/>
      <c r="AR10" s="12"/>
      <c r="AS10" s="12"/>
      <c r="AT10" s="12"/>
      <c r="AU10" s="12"/>
      <c r="AV10" s="2" t="s">
        <v>113</v>
      </c>
    </row>
    <row r="11" customFormat="false" ht="60" hidden="false" customHeight="true" outlineLevel="0" collapsed="false">
      <c r="A11" s="6" t="n">
        <v>6</v>
      </c>
      <c r="B11" s="6" t="s">
        <v>58</v>
      </c>
      <c r="C11" s="6" t="s">
        <v>114</v>
      </c>
      <c r="D11" s="6" t="s">
        <v>115</v>
      </c>
      <c r="E11" s="6" t="s">
        <v>116</v>
      </c>
      <c r="F11" s="6" t="s">
        <v>117</v>
      </c>
      <c r="G11" s="6" t="n">
        <v>45</v>
      </c>
      <c r="H11" s="6" t="s">
        <v>110</v>
      </c>
      <c r="I11" s="7" t="n">
        <v>45</v>
      </c>
      <c r="J11" s="7" t="s">
        <v>64</v>
      </c>
      <c r="K11" s="7" t="s">
        <v>118</v>
      </c>
      <c r="L11" s="8"/>
      <c r="M11" s="6" t="str">
        <f aca="false">IF(L11="","",TEXT(L11,"ddd"))</f>
        <v/>
      </c>
      <c r="N11" s="7" t="s">
        <v>119</v>
      </c>
      <c r="O11" s="7"/>
      <c r="P11" s="7"/>
      <c r="Q11" s="7" t="s">
        <v>120</v>
      </c>
      <c r="R11" s="7"/>
      <c r="S11" s="9"/>
      <c r="T11" s="7"/>
      <c r="U11" s="10" t="str">
        <f aca="false">IF(OR(T11="",N(O11)=0),"",T11/O11)</f>
        <v/>
      </c>
      <c r="V11" s="7"/>
      <c r="W11" s="7"/>
      <c r="X11" s="7"/>
      <c r="Y11" s="9"/>
      <c r="Z11" s="7"/>
      <c r="AA11" s="9"/>
      <c r="AB11" s="7"/>
      <c r="AC11" s="11" t="str">
        <f aca="false">IF(COUNT(S11,Y11,AA11)=0,"",SUM(S11,Y11,AA11))</f>
        <v/>
      </c>
      <c r="AD11" s="10" t="str">
        <f aca="false">IF(N(AC11)=0,"",SUM(V11,W11,X11,Z11,AB11)/AC11)</f>
        <v/>
      </c>
      <c r="AE11" s="9"/>
      <c r="AF11" s="9"/>
      <c r="AG11" s="9"/>
      <c r="AH11" s="11" t="str">
        <f aca="false">IF(COUNT(AE11,AF11,AG11)=0,"",SUM(AE11,AF11,AG11))</f>
        <v/>
      </c>
      <c r="AI11" s="9"/>
      <c r="AJ11" s="9"/>
      <c r="AK11" s="9"/>
      <c r="AL11" s="11" t="str">
        <f aca="false">IF(COUNT(AI11,AJ11,AK11)=0,"",SUM(AI11,AJ11,AK11))</f>
        <v/>
      </c>
      <c r="AM11" s="6" t="str">
        <f aca="false">IF(N(AC11)=0,"",IF(COUNT($AC$6:$AC$105)&lt;5,"Too early",IF(AC11&gt;=1.5*MEDIAN($AC$6:$AC$105),"Top",IF(AC11&lt;=0.5*MEDIAN($AC$6:$AC$105),"Low","Average"))))</f>
        <v/>
      </c>
      <c r="AN11" s="7" t="s">
        <v>121</v>
      </c>
      <c r="AO11" s="7" t="s">
        <v>122</v>
      </c>
      <c r="AP11" s="12" t="s">
        <v>123</v>
      </c>
      <c r="AQ11" s="12" t="s">
        <v>124</v>
      </c>
      <c r="AR11" s="12" t="s">
        <v>125</v>
      </c>
      <c r="AS11" s="12" t="s">
        <v>126</v>
      </c>
      <c r="AT11" s="12" t="s">
        <v>127</v>
      </c>
      <c r="AU11" s="12" t="s">
        <v>128</v>
      </c>
      <c r="AV11" s="2" t="s">
        <v>85</v>
      </c>
    </row>
    <row r="12" customFormat="false" ht="60" hidden="false" customHeight="true" outlineLevel="0" collapsed="false">
      <c r="A12" s="6" t="n">
        <v>7</v>
      </c>
      <c r="B12" s="6" t="s">
        <v>58</v>
      </c>
      <c r="C12" s="6" t="s">
        <v>129</v>
      </c>
      <c r="D12" s="6" t="s">
        <v>130</v>
      </c>
      <c r="E12" s="6" t="s">
        <v>131</v>
      </c>
      <c r="F12" s="6" t="s">
        <v>132</v>
      </c>
      <c r="G12" s="6" t="n">
        <v>45</v>
      </c>
      <c r="H12" s="6" t="s">
        <v>133</v>
      </c>
      <c r="I12" s="7" t="n">
        <v>52</v>
      </c>
      <c r="J12" s="7" t="s">
        <v>64</v>
      </c>
      <c r="K12" s="7"/>
      <c r="L12" s="8"/>
      <c r="M12" s="6" t="str">
        <f aca="false">IF(L12="","",TEXT(L12,"ddd"))</f>
        <v/>
      </c>
      <c r="N12" s="7"/>
      <c r="O12" s="7"/>
      <c r="P12" s="7"/>
      <c r="Q12" s="7"/>
      <c r="R12" s="7"/>
      <c r="S12" s="9"/>
      <c r="T12" s="7"/>
      <c r="U12" s="10" t="str">
        <f aca="false">IF(OR(T12="",N(O12)=0),"",T12/O12)</f>
        <v/>
      </c>
      <c r="V12" s="7"/>
      <c r="W12" s="7"/>
      <c r="X12" s="7"/>
      <c r="Y12" s="9"/>
      <c r="Z12" s="7"/>
      <c r="AA12" s="9"/>
      <c r="AB12" s="7"/>
      <c r="AC12" s="11" t="str">
        <f aca="false">IF(COUNT(S12,Y12,AA12)=0,"",SUM(S12,Y12,AA12))</f>
        <v/>
      </c>
      <c r="AD12" s="10" t="str">
        <f aca="false">IF(N(AC12)=0,"",SUM(V12,W12,X12,Z12,AB12)/AC12)</f>
        <v/>
      </c>
      <c r="AE12" s="9"/>
      <c r="AF12" s="9"/>
      <c r="AG12" s="9"/>
      <c r="AH12" s="11" t="str">
        <f aca="false">IF(COUNT(AE12,AF12,AG12)=0,"",SUM(AE12,AF12,AG12))</f>
        <v/>
      </c>
      <c r="AI12" s="9"/>
      <c r="AJ12" s="9"/>
      <c r="AK12" s="9"/>
      <c r="AL12" s="11" t="str">
        <f aca="false">IF(COUNT(AI12,AJ12,AK12)=0,"",SUM(AI12,AJ12,AK12))</f>
        <v/>
      </c>
      <c r="AM12" s="6" t="str">
        <f aca="false">IF(N(AC12)=0,"",IF(COUNT($AC$6:$AC$105)&lt;5,"Too early",IF(AC12&gt;=1.5*MEDIAN($AC$6:$AC$105),"Top",IF(AC12&lt;=0.5*MEDIAN($AC$6:$AC$105),"Low","Average"))))</f>
        <v/>
      </c>
      <c r="AN12" s="7"/>
      <c r="AO12" s="7" t="s">
        <v>134</v>
      </c>
      <c r="AP12" s="12"/>
      <c r="AQ12" s="12"/>
      <c r="AR12" s="12"/>
      <c r="AS12" s="12"/>
      <c r="AT12" s="12"/>
      <c r="AU12" s="12"/>
      <c r="AV12" s="2" t="s">
        <v>72</v>
      </c>
    </row>
    <row r="13" customFormat="false" ht="60" hidden="false" customHeight="true" outlineLevel="0" collapsed="false">
      <c r="A13" s="6" t="n">
        <v>8</v>
      </c>
      <c r="B13" s="6" t="s">
        <v>58</v>
      </c>
      <c r="C13" s="6" t="s">
        <v>135</v>
      </c>
      <c r="D13" s="6" t="s">
        <v>136</v>
      </c>
      <c r="E13" s="6" t="s">
        <v>137</v>
      </c>
      <c r="F13" s="6" t="s">
        <v>138</v>
      </c>
      <c r="G13" s="6" t="n">
        <v>45</v>
      </c>
      <c r="H13" s="6" t="s">
        <v>133</v>
      </c>
      <c r="I13" s="7" t="n">
        <v>58</v>
      </c>
      <c r="J13" s="7" t="s">
        <v>64</v>
      </c>
      <c r="K13" s="7"/>
      <c r="L13" s="8"/>
      <c r="M13" s="6" t="str">
        <f aca="false">IF(L13="","",TEXT(L13,"ddd"))</f>
        <v/>
      </c>
      <c r="N13" s="7"/>
      <c r="O13" s="7"/>
      <c r="P13" s="7"/>
      <c r="Q13" s="7"/>
      <c r="R13" s="7"/>
      <c r="S13" s="9"/>
      <c r="T13" s="7"/>
      <c r="U13" s="10" t="str">
        <f aca="false">IF(OR(T13="",N(O13)=0),"",T13/O13)</f>
        <v/>
      </c>
      <c r="V13" s="7"/>
      <c r="W13" s="7"/>
      <c r="X13" s="7"/>
      <c r="Y13" s="9"/>
      <c r="Z13" s="7"/>
      <c r="AA13" s="9"/>
      <c r="AB13" s="7"/>
      <c r="AC13" s="11" t="str">
        <f aca="false">IF(COUNT(S13,Y13,AA13)=0,"",SUM(S13,Y13,AA13))</f>
        <v/>
      </c>
      <c r="AD13" s="10" t="str">
        <f aca="false">IF(N(AC13)=0,"",SUM(V13,W13,X13,Z13,AB13)/AC13)</f>
        <v/>
      </c>
      <c r="AE13" s="9"/>
      <c r="AF13" s="9"/>
      <c r="AG13" s="9"/>
      <c r="AH13" s="11" t="str">
        <f aca="false">IF(COUNT(AE13,AF13,AG13)=0,"",SUM(AE13,AF13,AG13))</f>
        <v/>
      </c>
      <c r="AI13" s="9"/>
      <c r="AJ13" s="9"/>
      <c r="AK13" s="9"/>
      <c r="AL13" s="11" t="str">
        <f aca="false">IF(COUNT(AI13,AJ13,AK13)=0,"",SUM(AI13,AJ13,AK13))</f>
        <v/>
      </c>
      <c r="AM13" s="6" t="str">
        <f aca="false">IF(N(AC13)=0,"",IF(COUNT($AC$6:$AC$105)&lt;5,"Too early",IF(AC13&gt;=1.5*MEDIAN($AC$6:$AC$105),"Top",IF(AC13&lt;=0.5*MEDIAN($AC$6:$AC$105),"Low","Average"))))</f>
        <v/>
      </c>
      <c r="AN13" s="7"/>
      <c r="AO13" s="7" t="s">
        <v>139</v>
      </c>
      <c r="AP13" s="12"/>
      <c r="AQ13" s="12"/>
      <c r="AR13" s="12"/>
      <c r="AS13" s="12"/>
      <c r="AT13" s="12"/>
      <c r="AU13" s="12"/>
      <c r="AV13" s="2" t="s">
        <v>113</v>
      </c>
    </row>
    <row r="14" customFormat="false" ht="60" hidden="false" customHeight="true" outlineLevel="0" collapsed="false">
      <c r="A14" s="6" t="n">
        <v>9</v>
      </c>
      <c r="B14" s="6" t="s">
        <v>58</v>
      </c>
      <c r="C14" s="6" t="s">
        <v>140</v>
      </c>
      <c r="D14" s="6" t="s">
        <v>141</v>
      </c>
      <c r="E14" s="6" t="s">
        <v>142</v>
      </c>
      <c r="F14" s="6" t="s">
        <v>143</v>
      </c>
      <c r="G14" s="6" t="n">
        <v>45</v>
      </c>
      <c r="H14" s="6" t="s">
        <v>133</v>
      </c>
      <c r="I14" s="7" t="n">
        <v>64</v>
      </c>
      <c r="J14" s="7" t="s">
        <v>64</v>
      </c>
      <c r="K14" s="7"/>
      <c r="L14" s="8"/>
      <c r="M14" s="6" t="str">
        <f aca="false">IF(L14="","",TEXT(L14,"ddd"))</f>
        <v/>
      </c>
      <c r="N14" s="7"/>
      <c r="O14" s="7"/>
      <c r="P14" s="7"/>
      <c r="Q14" s="7"/>
      <c r="R14" s="7"/>
      <c r="S14" s="9"/>
      <c r="T14" s="7"/>
      <c r="U14" s="10" t="str">
        <f aca="false">IF(OR(T14="",N(O14)=0),"",T14/O14)</f>
        <v/>
      </c>
      <c r="V14" s="7"/>
      <c r="W14" s="7"/>
      <c r="X14" s="7"/>
      <c r="Y14" s="9"/>
      <c r="Z14" s="7"/>
      <c r="AA14" s="9"/>
      <c r="AB14" s="7"/>
      <c r="AC14" s="11" t="str">
        <f aca="false">IF(COUNT(S14,Y14,AA14)=0,"",SUM(S14,Y14,AA14))</f>
        <v/>
      </c>
      <c r="AD14" s="10" t="str">
        <f aca="false">IF(N(AC14)=0,"",SUM(V14,W14,X14,Z14,AB14)/AC14)</f>
        <v/>
      </c>
      <c r="AE14" s="9"/>
      <c r="AF14" s="9"/>
      <c r="AG14" s="9"/>
      <c r="AH14" s="11" t="str">
        <f aca="false">IF(COUNT(AE14,AF14,AG14)=0,"",SUM(AE14,AF14,AG14))</f>
        <v/>
      </c>
      <c r="AI14" s="9"/>
      <c r="AJ14" s="9"/>
      <c r="AK14" s="9"/>
      <c r="AL14" s="11" t="str">
        <f aca="false">IF(COUNT(AI14,AJ14,AK14)=0,"",SUM(AI14,AJ14,AK14))</f>
        <v/>
      </c>
      <c r="AM14" s="6" t="str">
        <f aca="false">IF(N(AC14)=0,"",IF(COUNT($AC$6:$AC$105)&lt;5,"Too early",IF(AC14&gt;=1.5*MEDIAN($AC$6:$AC$105),"Top",IF(AC14&lt;=0.5*MEDIAN($AC$6:$AC$105),"Low","Average"))))</f>
        <v/>
      </c>
      <c r="AN14" s="7"/>
      <c r="AO14" s="7" t="s">
        <v>84</v>
      </c>
      <c r="AP14" s="12" t="s">
        <v>123</v>
      </c>
      <c r="AQ14" s="12" t="s">
        <v>144</v>
      </c>
      <c r="AR14" s="12" t="s">
        <v>145</v>
      </c>
      <c r="AS14" s="12" t="s">
        <v>146</v>
      </c>
      <c r="AT14" s="12" t="s">
        <v>147</v>
      </c>
      <c r="AU14" s="12" t="s">
        <v>148</v>
      </c>
      <c r="AV14" s="2" t="s">
        <v>96</v>
      </c>
    </row>
    <row r="15" customFormat="false" ht="60" hidden="false" customHeight="true" outlineLevel="0" collapsed="false">
      <c r="A15" s="6" t="n">
        <v>10</v>
      </c>
      <c r="B15" s="6" t="s">
        <v>58</v>
      </c>
      <c r="C15" s="6" t="s">
        <v>149</v>
      </c>
      <c r="D15" s="6" t="s">
        <v>150</v>
      </c>
      <c r="E15" s="6" t="s">
        <v>151</v>
      </c>
      <c r="F15" s="6" t="s">
        <v>152</v>
      </c>
      <c r="G15" s="6" t="n">
        <v>45</v>
      </c>
      <c r="H15" s="6" t="s">
        <v>133</v>
      </c>
      <c r="I15" s="7" t="n">
        <v>69</v>
      </c>
      <c r="J15" s="7" t="s">
        <v>64</v>
      </c>
      <c r="K15" s="7"/>
      <c r="L15" s="8"/>
      <c r="M15" s="6" t="str">
        <f aca="false">IF(L15="","",TEXT(L15,"ddd"))</f>
        <v/>
      </c>
      <c r="N15" s="7"/>
      <c r="O15" s="7"/>
      <c r="P15" s="7"/>
      <c r="Q15" s="7"/>
      <c r="R15" s="7"/>
      <c r="S15" s="9"/>
      <c r="T15" s="7"/>
      <c r="U15" s="10" t="str">
        <f aca="false">IF(OR(T15="",N(O15)=0),"",T15/O15)</f>
        <v/>
      </c>
      <c r="V15" s="7"/>
      <c r="W15" s="7"/>
      <c r="X15" s="7"/>
      <c r="Y15" s="9"/>
      <c r="Z15" s="7"/>
      <c r="AA15" s="9"/>
      <c r="AB15" s="7"/>
      <c r="AC15" s="11" t="str">
        <f aca="false">IF(COUNT(S15,Y15,AA15)=0,"",SUM(S15,Y15,AA15))</f>
        <v/>
      </c>
      <c r="AD15" s="10" t="str">
        <f aca="false">IF(N(AC15)=0,"",SUM(V15,W15,X15,Z15,AB15)/AC15)</f>
        <v/>
      </c>
      <c r="AE15" s="9"/>
      <c r="AF15" s="9"/>
      <c r="AG15" s="9"/>
      <c r="AH15" s="11" t="str">
        <f aca="false">IF(COUNT(AE15,AF15,AG15)=0,"",SUM(AE15,AF15,AG15))</f>
        <v/>
      </c>
      <c r="AI15" s="9"/>
      <c r="AJ15" s="9"/>
      <c r="AK15" s="9"/>
      <c r="AL15" s="11" t="str">
        <f aca="false">IF(COUNT(AI15,AJ15,AK15)=0,"",SUM(AI15,AJ15,AK15))</f>
        <v/>
      </c>
      <c r="AM15" s="6" t="str">
        <f aca="false">IF(N(AC15)=0,"",IF(COUNT($AC$6:$AC$105)&lt;5,"Too early",IF(AC15&gt;=1.5*MEDIAN($AC$6:$AC$105),"Top",IF(AC15&lt;=0.5*MEDIAN($AC$6:$AC$105),"Low","Average"))))</f>
        <v/>
      </c>
      <c r="AN15" s="7"/>
      <c r="AO15" s="7" t="s">
        <v>153</v>
      </c>
      <c r="AP15" s="12"/>
      <c r="AQ15" s="12"/>
      <c r="AR15" s="12"/>
      <c r="AS15" s="12"/>
      <c r="AT15" s="12"/>
      <c r="AU15" s="12"/>
      <c r="AV15" s="2" t="s">
        <v>72</v>
      </c>
    </row>
    <row r="16" customFormat="false" ht="60" hidden="false" customHeight="true" outlineLevel="0" collapsed="false">
      <c r="A16" s="6" t="n">
        <v>11</v>
      </c>
      <c r="B16" s="6" t="s">
        <v>154</v>
      </c>
      <c r="C16" s="6" t="s">
        <v>155</v>
      </c>
      <c r="D16" s="6" t="s">
        <v>156</v>
      </c>
      <c r="E16" s="6" t="s">
        <v>157</v>
      </c>
      <c r="F16" s="6" t="s">
        <v>158</v>
      </c>
      <c r="G16" s="6" t="n">
        <v>45</v>
      </c>
      <c r="H16" s="6" t="s">
        <v>63</v>
      </c>
      <c r="I16" s="7" t="n">
        <v>2</v>
      </c>
      <c r="J16" s="7" t="s">
        <v>64</v>
      </c>
      <c r="K16" s="7" t="s">
        <v>159</v>
      </c>
      <c r="L16" s="8" t="n">
        <v>46307</v>
      </c>
      <c r="M16" s="6" t="str">
        <f aca="false">IF(L16="","",TEXT(L16,"ddd"))</f>
        <v>Mon</v>
      </c>
      <c r="N16" s="7" t="s">
        <v>79</v>
      </c>
      <c r="O16" s="7" t="n">
        <v>35</v>
      </c>
      <c r="P16" s="7" t="s">
        <v>160</v>
      </c>
      <c r="Q16" s="7" t="s">
        <v>161</v>
      </c>
      <c r="R16" s="7" t="s">
        <v>162</v>
      </c>
      <c r="S16" s="9"/>
      <c r="T16" s="7"/>
      <c r="U16" s="10" t="str">
        <f aca="false">IF(OR(T16="",N(O16)=0),"",T16/O16)</f>
        <v/>
      </c>
      <c r="V16" s="7"/>
      <c r="W16" s="7"/>
      <c r="X16" s="7"/>
      <c r="Y16" s="9"/>
      <c r="Z16" s="7"/>
      <c r="AA16" s="9"/>
      <c r="AB16" s="7"/>
      <c r="AC16" s="11" t="str">
        <f aca="false">IF(COUNT(S16,Y16,AA16)=0,"",SUM(S16,Y16,AA16))</f>
        <v/>
      </c>
      <c r="AD16" s="10" t="str">
        <f aca="false">IF(N(AC16)=0,"",SUM(V16,W16,X16,Z16,AB16)/AC16)</f>
        <v/>
      </c>
      <c r="AE16" s="9"/>
      <c r="AF16" s="9"/>
      <c r="AG16" s="9"/>
      <c r="AH16" s="11" t="str">
        <f aca="false">IF(COUNT(AE16,AF16,AG16)=0,"",SUM(AE16,AF16,AG16))</f>
        <v/>
      </c>
      <c r="AI16" s="9"/>
      <c r="AJ16" s="9"/>
      <c r="AK16" s="9"/>
      <c r="AL16" s="11" t="str">
        <f aca="false">IF(COUNT(AI16,AJ16,AK16)=0,"",SUM(AI16,AJ16,AK16))</f>
        <v/>
      </c>
      <c r="AM16" s="6" t="str">
        <f aca="false">IF(N(AC16)=0,"",IF(COUNT($AC$6:$AC$105)&lt;5,"Too early",IF(AC16&gt;=1.5*MEDIAN($AC$6:$AC$105),"Top",IF(AC16&lt;=0.5*MEDIAN($AC$6:$AC$105),"Low","Average"))))</f>
        <v/>
      </c>
      <c r="AN16" s="7" t="s">
        <v>163</v>
      </c>
      <c r="AO16" s="7" t="s">
        <v>71</v>
      </c>
      <c r="AP16" s="12"/>
      <c r="AQ16" s="12"/>
      <c r="AR16" s="12"/>
      <c r="AS16" s="12"/>
      <c r="AT16" s="12"/>
      <c r="AU16" s="12"/>
      <c r="AV16" s="2" t="s">
        <v>164</v>
      </c>
    </row>
    <row r="17" customFormat="false" ht="60" hidden="false" customHeight="true" outlineLevel="0" collapsed="false">
      <c r="A17" s="6" t="n">
        <v>12</v>
      </c>
      <c r="B17" s="6" t="s">
        <v>154</v>
      </c>
      <c r="C17" s="6" t="s">
        <v>165</v>
      </c>
      <c r="D17" s="6" t="s">
        <v>166</v>
      </c>
      <c r="E17" s="6" t="s">
        <v>167</v>
      </c>
      <c r="F17" s="6" t="s">
        <v>168</v>
      </c>
      <c r="G17" s="6" t="n">
        <v>45</v>
      </c>
      <c r="H17" s="6" t="s">
        <v>77</v>
      </c>
      <c r="I17" s="7" t="n">
        <v>12</v>
      </c>
      <c r="J17" s="7" t="s">
        <v>64</v>
      </c>
      <c r="K17" s="7" t="s">
        <v>169</v>
      </c>
      <c r="L17" s="8" t="n">
        <v>46310</v>
      </c>
      <c r="M17" s="6" t="str">
        <f aca="false">IF(L17="","",TEXT(L17,"ddd"))</f>
        <v>Thu</v>
      </c>
      <c r="N17" s="7" t="s">
        <v>79</v>
      </c>
      <c r="O17" s="7" t="n">
        <v>28</v>
      </c>
      <c r="P17" s="7" t="s">
        <v>170</v>
      </c>
      <c r="Q17" s="7" t="s">
        <v>171</v>
      </c>
      <c r="R17" s="7" t="s">
        <v>172</v>
      </c>
      <c r="S17" s="9"/>
      <c r="T17" s="7"/>
      <c r="U17" s="10" t="str">
        <f aca="false">IF(OR(T17="",N(O17)=0),"",T17/O17)</f>
        <v/>
      </c>
      <c r="V17" s="7"/>
      <c r="W17" s="7"/>
      <c r="X17" s="7"/>
      <c r="Y17" s="9"/>
      <c r="Z17" s="7"/>
      <c r="AA17" s="9"/>
      <c r="AB17" s="7"/>
      <c r="AC17" s="11" t="str">
        <f aca="false">IF(COUNT(S17,Y17,AA17)=0,"",SUM(S17,Y17,AA17))</f>
        <v/>
      </c>
      <c r="AD17" s="10" t="str">
        <f aca="false">IF(N(AC17)=0,"",SUM(V17,W17,X17,Z17,AB17)/AC17)</f>
        <v/>
      </c>
      <c r="AE17" s="9"/>
      <c r="AF17" s="9"/>
      <c r="AG17" s="9"/>
      <c r="AH17" s="11" t="str">
        <f aca="false">IF(COUNT(AE17,AF17,AG17)=0,"",SUM(AE17,AF17,AG17))</f>
        <v/>
      </c>
      <c r="AI17" s="9"/>
      <c r="AJ17" s="9"/>
      <c r="AK17" s="9"/>
      <c r="AL17" s="11" t="str">
        <f aca="false">IF(COUNT(AI17,AJ17,AK17)=0,"",SUM(AI17,AJ17,AK17))</f>
        <v/>
      </c>
      <c r="AM17" s="6" t="str">
        <f aca="false">IF(N(AC17)=0,"",IF(COUNT($AC$6:$AC$105)&lt;5,"Too early",IF(AC17&gt;=1.5*MEDIAN($AC$6:$AC$105),"Top",IF(AC17&lt;=0.5*MEDIAN($AC$6:$AC$105),"Low","Average"))))</f>
        <v/>
      </c>
      <c r="AN17" s="7" t="s">
        <v>83</v>
      </c>
      <c r="AO17" s="7" t="s">
        <v>173</v>
      </c>
      <c r="AP17" s="12"/>
      <c r="AQ17" s="12"/>
      <c r="AR17" s="12"/>
      <c r="AS17" s="12"/>
      <c r="AT17" s="12"/>
      <c r="AU17" s="12"/>
      <c r="AV17" s="2" t="s">
        <v>96</v>
      </c>
    </row>
    <row r="18" customFormat="false" ht="60" hidden="false" customHeight="true" outlineLevel="0" collapsed="false">
      <c r="A18" s="6" t="n">
        <v>13</v>
      </c>
      <c r="B18" s="6" t="s">
        <v>154</v>
      </c>
      <c r="C18" s="6" t="s">
        <v>174</v>
      </c>
      <c r="D18" s="6" t="s">
        <v>175</v>
      </c>
      <c r="E18" s="6" t="s">
        <v>176</v>
      </c>
      <c r="F18" s="6" t="s">
        <v>177</v>
      </c>
      <c r="G18" s="6" t="n">
        <v>45</v>
      </c>
      <c r="H18" s="6" t="s">
        <v>90</v>
      </c>
      <c r="I18" s="7" t="n">
        <v>22</v>
      </c>
      <c r="J18" s="7" t="s">
        <v>64</v>
      </c>
      <c r="K18" s="7" t="s">
        <v>178</v>
      </c>
      <c r="L18" s="8" t="n">
        <v>46312</v>
      </c>
      <c r="M18" s="6" t="str">
        <f aca="false">IF(L18="","",TEXT(L18,"ddd"))</f>
        <v>Sat</v>
      </c>
      <c r="N18" s="7"/>
      <c r="O18" s="7" t="n">
        <v>34</v>
      </c>
      <c r="P18" s="7" t="s">
        <v>179</v>
      </c>
      <c r="Q18" s="7" t="s">
        <v>180</v>
      </c>
      <c r="R18" s="7" t="s">
        <v>181</v>
      </c>
      <c r="S18" s="9"/>
      <c r="T18" s="7"/>
      <c r="U18" s="10" t="str">
        <f aca="false">IF(OR(T18="",N(O18)=0),"",T18/O18)</f>
        <v/>
      </c>
      <c r="V18" s="7"/>
      <c r="W18" s="7"/>
      <c r="X18" s="7"/>
      <c r="Y18" s="9"/>
      <c r="Z18" s="7"/>
      <c r="AA18" s="9"/>
      <c r="AB18" s="7"/>
      <c r="AC18" s="11" t="str">
        <f aca="false">IF(COUNT(S18,Y18,AA18)=0,"",SUM(S18,Y18,AA18))</f>
        <v/>
      </c>
      <c r="AD18" s="10" t="str">
        <f aca="false">IF(N(AC18)=0,"",SUM(V18,W18,X18,Z18,AB18)/AC18)</f>
        <v/>
      </c>
      <c r="AE18" s="9"/>
      <c r="AF18" s="9"/>
      <c r="AG18" s="9"/>
      <c r="AH18" s="11" t="str">
        <f aca="false">IF(COUNT(AE18,AF18,AG18)=0,"",SUM(AE18,AF18,AG18))</f>
        <v/>
      </c>
      <c r="AI18" s="9"/>
      <c r="AJ18" s="9"/>
      <c r="AK18" s="9"/>
      <c r="AL18" s="11" t="str">
        <f aca="false">IF(COUNT(AI18,AJ18,AK18)=0,"",SUM(AI18,AJ18,AK18))</f>
        <v/>
      </c>
      <c r="AM18" s="6" t="str">
        <f aca="false">IF(N(AC18)=0,"",IF(COUNT($AC$6:$AC$105)&lt;5,"Too early",IF(AC18&gt;=1.5*MEDIAN($AC$6:$AC$105),"Top",IF(AC18&lt;=0.5*MEDIAN($AC$6:$AC$105),"Low","Average"))))</f>
        <v/>
      </c>
      <c r="AN18" s="7"/>
      <c r="AO18" s="7" t="s">
        <v>95</v>
      </c>
      <c r="AP18" s="12"/>
      <c r="AQ18" s="12"/>
      <c r="AR18" s="12"/>
      <c r="AS18" s="12"/>
      <c r="AT18" s="12"/>
      <c r="AU18" s="12"/>
      <c r="AV18" s="2" t="s">
        <v>113</v>
      </c>
    </row>
    <row r="19" customFormat="false" ht="60" hidden="false" customHeight="true" outlineLevel="0" collapsed="false">
      <c r="A19" s="6" t="n">
        <v>14</v>
      </c>
      <c r="B19" s="6" t="s">
        <v>154</v>
      </c>
      <c r="C19" s="6" t="s">
        <v>182</v>
      </c>
      <c r="D19" s="6" t="s">
        <v>183</v>
      </c>
      <c r="E19" s="6" t="s">
        <v>184</v>
      </c>
      <c r="F19" s="6" t="s">
        <v>185</v>
      </c>
      <c r="G19" s="6" t="n">
        <v>45</v>
      </c>
      <c r="H19" s="6" t="s">
        <v>110</v>
      </c>
      <c r="I19" s="7" t="n">
        <v>31</v>
      </c>
      <c r="J19" s="7" t="s">
        <v>64</v>
      </c>
      <c r="K19" s="7" t="s">
        <v>186</v>
      </c>
      <c r="L19" s="8"/>
      <c r="M19" s="6" t="str">
        <f aca="false">IF(L19="","",TEXT(L19,"ddd"))</f>
        <v/>
      </c>
      <c r="N19" s="7" t="s">
        <v>79</v>
      </c>
      <c r="O19" s="7"/>
      <c r="P19" s="7"/>
      <c r="Q19" s="7" t="s">
        <v>187</v>
      </c>
      <c r="R19" s="7"/>
      <c r="S19" s="9"/>
      <c r="T19" s="7"/>
      <c r="U19" s="10" t="str">
        <f aca="false">IF(OR(T19="",N(O19)=0),"",T19/O19)</f>
        <v/>
      </c>
      <c r="V19" s="7"/>
      <c r="W19" s="7"/>
      <c r="X19" s="7"/>
      <c r="Y19" s="9"/>
      <c r="Z19" s="7"/>
      <c r="AA19" s="9"/>
      <c r="AB19" s="7"/>
      <c r="AC19" s="11" t="str">
        <f aca="false">IF(COUNT(S19,Y19,AA19)=0,"",SUM(S19,Y19,AA19))</f>
        <v/>
      </c>
      <c r="AD19" s="10" t="str">
        <f aca="false">IF(N(AC19)=0,"",SUM(V19,W19,X19,Z19,AB19)/AC19)</f>
        <v/>
      </c>
      <c r="AE19" s="9"/>
      <c r="AF19" s="9"/>
      <c r="AG19" s="9"/>
      <c r="AH19" s="11" t="str">
        <f aca="false">IF(COUNT(AE19,AF19,AG19)=0,"",SUM(AE19,AF19,AG19))</f>
        <v/>
      </c>
      <c r="AI19" s="9"/>
      <c r="AJ19" s="9"/>
      <c r="AK19" s="9"/>
      <c r="AL19" s="11" t="str">
        <f aca="false">IF(COUNT(AI19,AJ19,AK19)=0,"",SUM(AI19,AJ19,AK19))</f>
        <v/>
      </c>
      <c r="AM19" s="6" t="str">
        <f aca="false">IF(N(AC19)=0,"",IF(COUNT($AC$6:$AC$105)&lt;5,"Too early",IF(AC19&gt;=1.5*MEDIAN($AC$6:$AC$105),"Top",IF(AC19&lt;=0.5*MEDIAN($AC$6:$AC$105),"Low","Average"))))</f>
        <v/>
      </c>
      <c r="AN19" s="7"/>
      <c r="AO19" s="7" t="s">
        <v>95</v>
      </c>
      <c r="AP19" s="12"/>
      <c r="AQ19" s="12"/>
      <c r="AR19" s="12"/>
      <c r="AS19" s="12"/>
      <c r="AT19" s="12"/>
      <c r="AU19" s="12"/>
      <c r="AV19" s="2" t="s">
        <v>96</v>
      </c>
    </row>
    <row r="20" customFormat="false" ht="60" hidden="false" customHeight="true" outlineLevel="0" collapsed="false">
      <c r="A20" s="6" t="n">
        <v>15</v>
      </c>
      <c r="B20" s="6" t="s">
        <v>154</v>
      </c>
      <c r="C20" s="6" t="s">
        <v>188</v>
      </c>
      <c r="D20" s="6" t="s">
        <v>189</v>
      </c>
      <c r="E20" s="6" t="s">
        <v>190</v>
      </c>
      <c r="F20" s="6" t="s">
        <v>191</v>
      </c>
      <c r="G20" s="6" t="n">
        <v>45</v>
      </c>
      <c r="H20" s="6" t="s">
        <v>110</v>
      </c>
      <c r="I20" s="7" t="n">
        <v>39</v>
      </c>
      <c r="J20" s="7" t="s">
        <v>64</v>
      </c>
      <c r="K20" s="7" t="s">
        <v>192</v>
      </c>
      <c r="L20" s="8"/>
      <c r="M20" s="6" t="str">
        <f aca="false">IF(L20="","",TEXT(L20,"ddd"))</f>
        <v/>
      </c>
      <c r="N20" s="7" t="s">
        <v>79</v>
      </c>
      <c r="O20" s="7"/>
      <c r="P20" s="7"/>
      <c r="Q20" s="7" t="s">
        <v>193</v>
      </c>
      <c r="R20" s="7"/>
      <c r="S20" s="9"/>
      <c r="T20" s="7"/>
      <c r="U20" s="10" t="str">
        <f aca="false">IF(OR(T20="",N(O20)=0),"",T20/O20)</f>
        <v/>
      </c>
      <c r="V20" s="7"/>
      <c r="W20" s="7"/>
      <c r="X20" s="7"/>
      <c r="Y20" s="9"/>
      <c r="Z20" s="7"/>
      <c r="AA20" s="9"/>
      <c r="AB20" s="7"/>
      <c r="AC20" s="11" t="str">
        <f aca="false">IF(COUNT(S20,Y20,AA20)=0,"",SUM(S20,Y20,AA20))</f>
        <v/>
      </c>
      <c r="AD20" s="10" t="str">
        <f aca="false">IF(N(AC20)=0,"",SUM(V20,W20,X20,Z20,AB20)/AC20)</f>
        <v/>
      </c>
      <c r="AE20" s="9"/>
      <c r="AF20" s="9"/>
      <c r="AG20" s="9"/>
      <c r="AH20" s="11" t="str">
        <f aca="false">IF(COUNT(AE20,AF20,AG20)=0,"",SUM(AE20,AF20,AG20))</f>
        <v/>
      </c>
      <c r="AI20" s="9"/>
      <c r="AJ20" s="9"/>
      <c r="AK20" s="9"/>
      <c r="AL20" s="11" t="str">
        <f aca="false">IF(COUNT(AI20,AJ20,AK20)=0,"",SUM(AI20,AJ20,AK20))</f>
        <v/>
      </c>
      <c r="AM20" s="6" t="str">
        <f aca="false">IF(N(AC20)=0,"",IF(COUNT($AC$6:$AC$105)&lt;5,"Too early",IF(AC20&gt;=1.5*MEDIAN($AC$6:$AC$105),"Top",IF(AC20&lt;=0.5*MEDIAN($AC$6:$AC$105),"Low","Average"))))</f>
        <v/>
      </c>
      <c r="AN20" s="7"/>
      <c r="AO20" s="7" t="s">
        <v>95</v>
      </c>
      <c r="AP20" s="12"/>
      <c r="AQ20" s="12"/>
      <c r="AR20" s="12"/>
      <c r="AS20" s="12"/>
      <c r="AT20" s="12"/>
      <c r="AU20" s="12"/>
      <c r="AV20" s="2" t="s">
        <v>85</v>
      </c>
    </row>
    <row r="21" customFormat="false" ht="60" hidden="false" customHeight="true" outlineLevel="0" collapsed="false">
      <c r="A21" s="6" t="n">
        <v>16</v>
      </c>
      <c r="B21" s="6" t="s">
        <v>154</v>
      </c>
      <c r="C21" s="6" t="s">
        <v>194</v>
      </c>
      <c r="D21" s="6" t="s">
        <v>195</v>
      </c>
      <c r="E21" s="6" t="s">
        <v>196</v>
      </c>
      <c r="F21" s="6" t="s">
        <v>197</v>
      </c>
      <c r="G21" s="6" t="n">
        <v>45</v>
      </c>
      <c r="H21" s="6" t="s">
        <v>133</v>
      </c>
      <c r="I21" s="7" t="n">
        <v>46</v>
      </c>
      <c r="J21" s="7" t="s">
        <v>64</v>
      </c>
      <c r="K21" s="7"/>
      <c r="L21" s="8"/>
      <c r="M21" s="6" t="str">
        <f aca="false">IF(L21="","",TEXT(L21,"ddd"))</f>
        <v/>
      </c>
      <c r="N21" s="7"/>
      <c r="O21" s="7"/>
      <c r="P21" s="7"/>
      <c r="Q21" s="7"/>
      <c r="R21" s="7"/>
      <c r="S21" s="9"/>
      <c r="T21" s="7"/>
      <c r="U21" s="10" t="str">
        <f aca="false">IF(OR(T21="",N(O21)=0),"",T21/O21)</f>
        <v/>
      </c>
      <c r="V21" s="7"/>
      <c r="W21" s="7"/>
      <c r="X21" s="7"/>
      <c r="Y21" s="9"/>
      <c r="Z21" s="7"/>
      <c r="AA21" s="9"/>
      <c r="AB21" s="7"/>
      <c r="AC21" s="11" t="str">
        <f aca="false">IF(COUNT(S21,Y21,AA21)=0,"",SUM(S21,Y21,AA21))</f>
        <v/>
      </c>
      <c r="AD21" s="10" t="str">
        <f aca="false">IF(N(AC21)=0,"",SUM(V21,W21,X21,Z21,AB21)/AC21)</f>
        <v/>
      </c>
      <c r="AE21" s="9"/>
      <c r="AF21" s="9"/>
      <c r="AG21" s="9"/>
      <c r="AH21" s="11" t="str">
        <f aca="false">IF(COUNT(AE21,AF21,AG21)=0,"",SUM(AE21,AF21,AG21))</f>
        <v/>
      </c>
      <c r="AI21" s="9"/>
      <c r="AJ21" s="9"/>
      <c r="AK21" s="9"/>
      <c r="AL21" s="11" t="str">
        <f aca="false">IF(COUNT(AI21,AJ21,AK21)=0,"",SUM(AI21,AJ21,AK21))</f>
        <v/>
      </c>
      <c r="AM21" s="6" t="str">
        <f aca="false">IF(N(AC21)=0,"",IF(COUNT($AC$6:$AC$105)&lt;5,"Too early",IF(AC21&gt;=1.5*MEDIAN($AC$6:$AC$105),"Top",IF(AC21&lt;=0.5*MEDIAN($AC$6:$AC$105),"Low","Average"))))</f>
        <v/>
      </c>
      <c r="AN21" s="7" t="s">
        <v>198</v>
      </c>
      <c r="AO21" s="7" t="s">
        <v>153</v>
      </c>
      <c r="AP21" s="12" t="s">
        <v>123</v>
      </c>
      <c r="AQ21" s="12" t="s">
        <v>199</v>
      </c>
      <c r="AR21" s="12" t="s">
        <v>200</v>
      </c>
      <c r="AS21" s="12" t="s">
        <v>201</v>
      </c>
      <c r="AT21" s="12" t="s">
        <v>202</v>
      </c>
      <c r="AU21" s="12" t="s">
        <v>203</v>
      </c>
      <c r="AV21" s="2" t="s">
        <v>105</v>
      </c>
    </row>
    <row r="22" customFormat="false" ht="60" hidden="false" customHeight="true" outlineLevel="0" collapsed="false">
      <c r="A22" s="6" t="n">
        <v>17</v>
      </c>
      <c r="B22" s="6" t="s">
        <v>154</v>
      </c>
      <c r="C22" s="6" t="s">
        <v>204</v>
      </c>
      <c r="D22" s="6" t="s">
        <v>205</v>
      </c>
      <c r="E22" s="6" t="s">
        <v>206</v>
      </c>
      <c r="F22" s="6" t="s">
        <v>207</v>
      </c>
      <c r="G22" s="6" t="n">
        <v>45</v>
      </c>
      <c r="H22" s="6" t="s">
        <v>133</v>
      </c>
      <c r="I22" s="7" t="n">
        <v>53</v>
      </c>
      <c r="J22" s="7" t="s">
        <v>64</v>
      </c>
      <c r="K22" s="7"/>
      <c r="L22" s="8"/>
      <c r="M22" s="6" t="str">
        <f aca="false">IF(L22="","",TEXT(L22,"ddd"))</f>
        <v/>
      </c>
      <c r="N22" s="7"/>
      <c r="O22" s="7"/>
      <c r="P22" s="7"/>
      <c r="Q22" s="7"/>
      <c r="R22" s="7"/>
      <c r="S22" s="9"/>
      <c r="T22" s="7"/>
      <c r="U22" s="10" t="str">
        <f aca="false">IF(OR(T22="",N(O22)=0),"",T22/O22)</f>
        <v/>
      </c>
      <c r="V22" s="7"/>
      <c r="W22" s="7"/>
      <c r="X22" s="7"/>
      <c r="Y22" s="9"/>
      <c r="Z22" s="7"/>
      <c r="AA22" s="9"/>
      <c r="AB22" s="7"/>
      <c r="AC22" s="11" t="str">
        <f aca="false">IF(COUNT(S22,Y22,AA22)=0,"",SUM(S22,Y22,AA22))</f>
        <v/>
      </c>
      <c r="AD22" s="10" t="str">
        <f aca="false">IF(N(AC22)=0,"",SUM(V22,W22,X22,Z22,AB22)/AC22)</f>
        <v/>
      </c>
      <c r="AE22" s="9"/>
      <c r="AF22" s="9"/>
      <c r="AG22" s="9"/>
      <c r="AH22" s="11" t="str">
        <f aca="false">IF(COUNT(AE22,AF22,AG22)=0,"",SUM(AE22,AF22,AG22))</f>
        <v/>
      </c>
      <c r="AI22" s="9"/>
      <c r="AJ22" s="9"/>
      <c r="AK22" s="9"/>
      <c r="AL22" s="11" t="str">
        <f aca="false">IF(COUNT(AI22,AJ22,AK22)=0,"",SUM(AI22,AJ22,AK22))</f>
        <v/>
      </c>
      <c r="AM22" s="6" t="str">
        <f aca="false">IF(N(AC22)=0,"",IF(COUNT($AC$6:$AC$105)&lt;5,"Too early",IF(AC22&gt;=1.5*MEDIAN($AC$6:$AC$105),"Top",IF(AC22&lt;=0.5*MEDIAN($AC$6:$AC$105),"Low","Average"))))</f>
        <v/>
      </c>
      <c r="AN22" s="7"/>
      <c r="AO22" s="7" t="s">
        <v>208</v>
      </c>
      <c r="AP22" s="12"/>
      <c r="AQ22" s="12"/>
      <c r="AR22" s="12"/>
      <c r="AS22" s="12"/>
      <c r="AT22" s="12"/>
      <c r="AU22" s="12"/>
      <c r="AV22" s="2" t="s">
        <v>72</v>
      </c>
    </row>
    <row r="23" customFormat="false" ht="60" hidden="false" customHeight="true" outlineLevel="0" collapsed="false">
      <c r="A23" s="6" t="n">
        <v>18</v>
      </c>
      <c r="B23" s="6" t="s">
        <v>154</v>
      </c>
      <c r="C23" s="6" t="s">
        <v>209</v>
      </c>
      <c r="D23" s="6" t="s">
        <v>210</v>
      </c>
      <c r="E23" s="6" t="s">
        <v>211</v>
      </c>
      <c r="F23" s="6" t="s">
        <v>212</v>
      </c>
      <c r="G23" s="6" t="n">
        <v>45</v>
      </c>
      <c r="H23" s="6" t="s">
        <v>110</v>
      </c>
      <c r="I23" s="7" t="n">
        <v>59</v>
      </c>
      <c r="J23" s="7" t="s">
        <v>64</v>
      </c>
      <c r="K23" s="7" t="s">
        <v>213</v>
      </c>
      <c r="L23" s="8"/>
      <c r="M23" s="6" t="str">
        <f aca="false">IF(L23="","",TEXT(L23,"ddd"))</f>
        <v/>
      </c>
      <c r="N23" s="7" t="s">
        <v>214</v>
      </c>
      <c r="O23" s="7"/>
      <c r="P23" s="7"/>
      <c r="Q23" s="7" t="s">
        <v>215</v>
      </c>
      <c r="R23" s="7"/>
      <c r="S23" s="9"/>
      <c r="T23" s="7"/>
      <c r="U23" s="10" t="str">
        <f aca="false">IF(OR(T23="",N(O23)=0),"",T23/O23)</f>
        <v/>
      </c>
      <c r="V23" s="7"/>
      <c r="W23" s="7"/>
      <c r="X23" s="7"/>
      <c r="Y23" s="9"/>
      <c r="Z23" s="7"/>
      <c r="AA23" s="9"/>
      <c r="AB23" s="7"/>
      <c r="AC23" s="11" t="str">
        <f aca="false">IF(COUNT(S23,Y23,AA23)=0,"",SUM(S23,Y23,AA23))</f>
        <v/>
      </c>
      <c r="AD23" s="10" t="str">
        <f aca="false">IF(N(AC23)=0,"",SUM(V23,W23,X23,Z23,AB23)/AC23)</f>
        <v/>
      </c>
      <c r="AE23" s="9"/>
      <c r="AF23" s="9"/>
      <c r="AG23" s="9"/>
      <c r="AH23" s="11" t="str">
        <f aca="false">IF(COUNT(AE23,AF23,AG23)=0,"",SUM(AE23,AF23,AG23))</f>
        <v/>
      </c>
      <c r="AI23" s="9"/>
      <c r="AJ23" s="9"/>
      <c r="AK23" s="9"/>
      <c r="AL23" s="11" t="str">
        <f aca="false">IF(COUNT(AI23,AJ23,AK23)=0,"",SUM(AI23,AJ23,AK23))</f>
        <v/>
      </c>
      <c r="AM23" s="6" t="str">
        <f aca="false">IF(N(AC23)=0,"",IF(COUNT($AC$6:$AC$105)&lt;5,"Too early",IF(AC23&gt;=1.5*MEDIAN($AC$6:$AC$105),"Top",IF(AC23&lt;=0.5*MEDIAN($AC$6:$AC$105),"Low","Average"))))</f>
        <v/>
      </c>
      <c r="AN23" s="7" t="s">
        <v>216</v>
      </c>
      <c r="AO23" s="7" t="s">
        <v>217</v>
      </c>
      <c r="AP23" s="12" t="s">
        <v>123</v>
      </c>
      <c r="AQ23" s="12" t="s">
        <v>218</v>
      </c>
      <c r="AR23" s="12" t="s">
        <v>219</v>
      </c>
      <c r="AS23" s="12" t="s">
        <v>220</v>
      </c>
      <c r="AT23" s="12" t="s">
        <v>221</v>
      </c>
      <c r="AU23" s="12" t="s">
        <v>222</v>
      </c>
      <c r="AV23" s="2" t="s">
        <v>85</v>
      </c>
    </row>
    <row r="24" customFormat="false" ht="60" hidden="false" customHeight="true" outlineLevel="0" collapsed="false">
      <c r="A24" s="6" t="n">
        <v>19</v>
      </c>
      <c r="B24" s="6" t="s">
        <v>154</v>
      </c>
      <c r="C24" s="6" t="s">
        <v>223</v>
      </c>
      <c r="D24" s="6" t="s">
        <v>224</v>
      </c>
      <c r="E24" s="6" t="s">
        <v>225</v>
      </c>
      <c r="F24" s="6" t="s">
        <v>226</v>
      </c>
      <c r="G24" s="6" t="n">
        <v>45</v>
      </c>
      <c r="H24" s="6" t="s">
        <v>133</v>
      </c>
      <c r="I24" s="7" t="n">
        <v>65</v>
      </c>
      <c r="J24" s="7" t="s">
        <v>64</v>
      </c>
      <c r="K24" s="7"/>
      <c r="L24" s="8"/>
      <c r="M24" s="6" t="str">
        <f aca="false">IF(L24="","",TEXT(L24,"ddd"))</f>
        <v/>
      </c>
      <c r="N24" s="7"/>
      <c r="O24" s="7"/>
      <c r="P24" s="7"/>
      <c r="Q24" s="7"/>
      <c r="R24" s="7"/>
      <c r="S24" s="9"/>
      <c r="T24" s="7"/>
      <c r="U24" s="10" t="str">
        <f aca="false">IF(OR(T24="",N(O24)=0),"",T24/O24)</f>
        <v/>
      </c>
      <c r="V24" s="7"/>
      <c r="W24" s="7"/>
      <c r="X24" s="7"/>
      <c r="Y24" s="9"/>
      <c r="Z24" s="7"/>
      <c r="AA24" s="9"/>
      <c r="AB24" s="7"/>
      <c r="AC24" s="11" t="str">
        <f aca="false">IF(COUNT(S24,Y24,AA24)=0,"",SUM(S24,Y24,AA24))</f>
        <v/>
      </c>
      <c r="AD24" s="10" t="str">
        <f aca="false">IF(N(AC24)=0,"",SUM(V24,W24,X24,Z24,AB24)/AC24)</f>
        <v/>
      </c>
      <c r="AE24" s="9"/>
      <c r="AF24" s="9"/>
      <c r="AG24" s="9"/>
      <c r="AH24" s="11" t="str">
        <f aca="false">IF(COUNT(AE24,AF24,AG24)=0,"",SUM(AE24,AF24,AG24))</f>
        <v/>
      </c>
      <c r="AI24" s="9"/>
      <c r="AJ24" s="9"/>
      <c r="AK24" s="9"/>
      <c r="AL24" s="11" t="str">
        <f aca="false">IF(COUNT(AI24,AJ24,AK24)=0,"",SUM(AI24,AJ24,AK24))</f>
        <v/>
      </c>
      <c r="AM24" s="6" t="str">
        <f aca="false">IF(N(AC24)=0,"",IF(COUNT($AC$6:$AC$105)&lt;5,"Too early",IF(AC24&gt;=1.5*MEDIAN($AC$6:$AC$105),"Top",IF(AC24&lt;=0.5*MEDIAN($AC$6:$AC$105),"Low","Average"))))</f>
        <v/>
      </c>
      <c r="AN24" s="7"/>
      <c r="AO24" s="7" t="s">
        <v>122</v>
      </c>
      <c r="AP24" s="12"/>
      <c r="AQ24" s="12"/>
      <c r="AR24" s="12"/>
      <c r="AS24" s="12"/>
      <c r="AT24" s="12"/>
      <c r="AU24" s="12"/>
      <c r="AV24" s="2" t="s">
        <v>96</v>
      </c>
    </row>
    <row r="25" customFormat="false" ht="60" hidden="false" customHeight="true" outlineLevel="0" collapsed="false">
      <c r="A25" s="6" t="n">
        <v>20</v>
      </c>
      <c r="B25" s="6" t="s">
        <v>154</v>
      </c>
      <c r="C25" s="6" t="s">
        <v>227</v>
      </c>
      <c r="D25" s="6" t="s">
        <v>228</v>
      </c>
      <c r="E25" s="6" t="s">
        <v>229</v>
      </c>
      <c r="F25" s="6" t="s">
        <v>230</v>
      </c>
      <c r="G25" s="6" t="n">
        <v>45</v>
      </c>
      <c r="H25" s="6" t="s">
        <v>133</v>
      </c>
      <c r="I25" s="7" t="n">
        <v>70</v>
      </c>
      <c r="J25" s="7" t="s">
        <v>64</v>
      </c>
      <c r="K25" s="7"/>
      <c r="L25" s="8"/>
      <c r="M25" s="6" t="str">
        <f aca="false">IF(L25="","",TEXT(L25,"ddd"))</f>
        <v/>
      </c>
      <c r="N25" s="7"/>
      <c r="O25" s="7"/>
      <c r="P25" s="7"/>
      <c r="Q25" s="7"/>
      <c r="R25" s="7"/>
      <c r="S25" s="9"/>
      <c r="T25" s="7"/>
      <c r="U25" s="10" t="str">
        <f aca="false">IF(OR(T25="",N(O25)=0),"",T25/O25)</f>
        <v/>
      </c>
      <c r="V25" s="7"/>
      <c r="W25" s="7"/>
      <c r="X25" s="7"/>
      <c r="Y25" s="9"/>
      <c r="Z25" s="7"/>
      <c r="AA25" s="9"/>
      <c r="AB25" s="7"/>
      <c r="AC25" s="11" t="str">
        <f aca="false">IF(COUNT(S25,Y25,AA25)=0,"",SUM(S25,Y25,AA25))</f>
        <v/>
      </c>
      <c r="AD25" s="10" t="str">
        <f aca="false">IF(N(AC25)=0,"",SUM(V25,W25,X25,Z25,AB25)/AC25)</f>
        <v/>
      </c>
      <c r="AE25" s="9"/>
      <c r="AF25" s="9"/>
      <c r="AG25" s="9"/>
      <c r="AH25" s="11" t="str">
        <f aca="false">IF(COUNT(AE25,AF25,AG25)=0,"",SUM(AE25,AF25,AG25))</f>
        <v/>
      </c>
      <c r="AI25" s="9"/>
      <c r="AJ25" s="9"/>
      <c r="AK25" s="9"/>
      <c r="AL25" s="11" t="str">
        <f aca="false">IF(COUNT(AI25,AJ25,AK25)=0,"",SUM(AI25,AJ25,AK25))</f>
        <v/>
      </c>
      <c r="AM25" s="6" t="str">
        <f aca="false">IF(N(AC25)=0,"",IF(COUNT($AC$6:$AC$105)&lt;5,"Too early",IF(AC25&gt;=1.5*MEDIAN($AC$6:$AC$105),"Top",IF(AC25&lt;=0.5*MEDIAN($AC$6:$AC$105),"Low","Average"))))</f>
        <v/>
      </c>
      <c r="AN25" s="7"/>
      <c r="AO25" s="7" t="s">
        <v>231</v>
      </c>
      <c r="AP25" s="12"/>
      <c r="AQ25" s="12"/>
      <c r="AR25" s="12"/>
      <c r="AS25" s="12"/>
      <c r="AT25" s="12"/>
      <c r="AU25" s="12"/>
      <c r="AV25" s="2" t="s">
        <v>113</v>
      </c>
    </row>
    <row r="26" customFormat="false" ht="60" hidden="false" customHeight="true" outlineLevel="0" collapsed="false">
      <c r="A26" s="6" t="n">
        <v>21</v>
      </c>
      <c r="B26" s="6" t="s">
        <v>232</v>
      </c>
      <c r="C26" s="6" t="s">
        <v>233</v>
      </c>
      <c r="D26" s="6" t="s">
        <v>234</v>
      </c>
      <c r="E26" s="6" t="s">
        <v>235</v>
      </c>
      <c r="F26" s="6" t="s">
        <v>236</v>
      </c>
      <c r="G26" s="6" t="n">
        <v>45</v>
      </c>
      <c r="H26" s="6" t="s">
        <v>110</v>
      </c>
      <c r="I26" s="7" t="n">
        <v>72</v>
      </c>
      <c r="J26" s="7" t="s">
        <v>237</v>
      </c>
      <c r="K26" s="7" t="s">
        <v>238</v>
      </c>
      <c r="L26" s="8"/>
      <c r="M26" s="6" t="str">
        <f aca="false">IF(L26="","",TEXT(L26,"ddd"))</f>
        <v/>
      </c>
      <c r="N26" s="7" t="s">
        <v>214</v>
      </c>
      <c r="O26" s="7"/>
      <c r="P26" s="7"/>
      <c r="Q26" s="7" t="s">
        <v>239</v>
      </c>
      <c r="R26" s="7"/>
      <c r="S26" s="9"/>
      <c r="T26" s="7"/>
      <c r="U26" s="10" t="str">
        <f aca="false">IF(OR(T26="",N(O26)=0),"",T26/O26)</f>
        <v/>
      </c>
      <c r="V26" s="7"/>
      <c r="W26" s="7"/>
      <c r="X26" s="7"/>
      <c r="Y26" s="9"/>
      <c r="Z26" s="7"/>
      <c r="AA26" s="9"/>
      <c r="AB26" s="7"/>
      <c r="AC26" s="11" t="str">
        <f aca="false">IF(COUNT(S26,Y26,AA26)=0,"",SUM(S26,Y26,AA26))</f>
        <v/>
      </c>
      <c r="AD26" s="10" t="str">
        <f aca="false">IF(N(AC26)=0,"",SUM(V26,W26,X26,Z26,AB26)/AC26)</f>
        <v/>
      </c>
      <c r="AE26" s="9"/>
      <c r="AF26" s="9"/>
      <c r="AG26" s="9"/>
      <c r="AH26" s="11" t="str">
        <f aca="false">IF(COUNT(AE26,AF26,AG26)=0,"",SUM(AE26,AF26,AG26))</f>
        <v/>
      </c>
      <c r="AI26" s="9"/>
      <c r="AJ26" s="9"/>
      <c r="AK26" s="9"/>
      <c r="AL26" s="11" t="str">
        <f aca="false">IF(COUNT(AI26,AJ26,AK26)=0,"",SUM(AI26,AJ26,AK26))</f>
        <v/>
      </c>
      <c r="AM26" s="6" t="str">
        <f aca="false">IF(N(AC26)=0,"",IF(COUNT($AC$6:$AC$105)&lt;5,"Too early",IF(AC26&gt;=1.5*MEDIAN($AC$6:$AC$105),"Top",IF(AC26&lt;=0.5*MEDIAN($AC$6:$AC$105),"Low","Average"))))</f>
        <v/>
      </c>
      <c r="AN26" s="7" t="s">
        <v>240</v>
      </c>
      <c r="AO26" s="7" t="s">
        <v>241</v>
      </c>
      <c r="AP26" s="12" t="s">
        <v>123</v>
      </c>
      <c r="AQ26" s="12" t="s">
        <v>242</v>
      </c>
      <c r="AR26" s="12" t="s">
        <v>243</v>
      </c>
      <c r="AS26" s="12" t="s">
        <v>244</v>
      </c>
      <c r="AT26" s="12" t="s">
        <v>245</v>
      </c>
      <c r="AU26" s="12" t="s">
        <v>246</v>
      </c>
      <c r="AV26" s="2" t="s">
        <v>85</v>
      </c>
    </row>
    <row r="27" customFormat="false" ht="60" hidden="false" customHeight="true" outlineLevel="0" collapsed="false">
      <c r="A27" s="6" t="n">
        <v>22</v>
      </c>
      <c r="B27" s="6" t="s">
        <v>232</v>
      </c>
      <c r="C27" s="6" t="s">
        <v>247</v>
      </c>
      <c r="D27" s="6" t="s">
        <v>248</v>
      </c>
      <c r="E27" s="6" t="s">
        <v>249</v>
      </c>
      <c r="F27" s="6" t="s">
        <v>250</v>
      </c>
      <c r="G27" s="6" t="n">
        <v>45</v>
      </c>
      <c r="H27" s="6" t="s">
        <v>63</v>
      </c>
      <c r="I27" s="7" t="n">
        <v>3</v>
      </c>
      <c r="J27" s="7" t="s">
        <v>64</v>
      </c>
      <c r="K27" s="7" t="s">
        <v>251</v>
      </c>
      <c r="L27" s="8" t="n">
        <v>46308</v>
      </c>
      <c r="M27" s="6" t="str">
        <f aca="false">IF(L27="","",TEXT(L27,"ddd"))</f>
        <v>Tue</v>
      </c>
      <c r="N27" s="7" t="s">
        <v>79</v>
      </c>
      <c r="O27" s="7" t="n">
        <v>27</v>
      </c>
      <c r="P27" s="7" t="s">
        <v>252</v>
      </c>
      <c r="Q27" s="7" t="s">
        <v>253</v>
      </c>
      <c r="R27" s="7" t="s">
        <v>254</v>
      </c>
      <c r="S27" s="9"/>
      <c r="T27" s="7"/>
      <c r="U27" s="10" t="str">
        <f aca="false">IF(OR(T27="",N(O27)=0),"",T27/O27)</f>
        <v/>
      </c>
      <c r="V27" s="7"/>
      <c r="W27" s="7"/>
      <c r="X27" s="7"/>
      <c r="Y27" s="9"/>
      <c r="Z27" s="7"/>
      <c r="AA27" s="9"/>
      <c r="AB27" s="7"/>
      <c r="AC27" s="11" t="str">
        <f aca="false">IF(COUNT(S27,Y27,AA27)=0,"",SUM(S27,Y27,AA27))</f>
        <v/>
      </c>
      <c r="AD27" s="10" t="str">
        <f aca="false">IF(N(AC27)=0,"",SUM(V27,W27,X27,Z27,AB27)/AC27)</f>
        <v/>
      </c>
      <c r="AE27" s="9"/>
      <c r="AF27" s="9"/>
      <c r="AG27" s="9"/>
      <c r="AH27" s="11" t="str">
        <f aca="false">IF(COUNT(AE27,AF27,AG27)=0,"",SUM(AE27,AF27,AG27))</f>
        <v/>
      </c>
      <c r="AI27" s="9"/>
      <c r="AJ27" s="9"/>
      <c r="AK27" s="9"/>
      <c r="AL27" s="11" t="str">
        <f aca="false">IF(COUNT(AI27,AJ27,AK27)=0,"",SUM(AI27,AJ27,AK27))</f>
        <v/>
      </c>
      <c r="AM27" s="6" t="str">
        <f aca="false">IF(N(AC27)=0,"",IF(COUNT($AC$6:$AC$105)&lt;5,"Too early",IF(AC27&gt;=1.5*MEDIAN($AC$6:$AC$105),"Top",IF(AC27&lt;=0.5*MEDIAN($AC$6:$AC$105),"Low","Average"))))</f>
        <v/>
      </c>
      <c r="AN27" s="7" t="s">
        <v>255</v>
      </c>
      <c r="AO27" s="7" t="s">
        <v>71</v>
      </c>
      <c r="AP27" s="12"/>
      <c r="AQ27" s="12"/>
      <c r="AR27" s="12"/>
      <c r="AS27" s="12"/>
      <c r="AT27" s="12"/>
      <c r="AU27" s="12"/>
      <c r="AV27" s="2" t="s">
        <v>85</v>
      </c>
    </row>
    <row r="28" customFormat="false" ht="60" hidden="false" customHeight="true" outlineLevel="0" collapsed="false">
      <c r="A28" s="6" t="n">
        <v>23</v>
      </c>
      <c r="B28" s="6" t="s">
        <v>232</v>
      </c>
      <c r="C28" s="6" t="s">
        <v>256</v>
      </c>
      <c r="D28" s="6" t="s">
        <v>257</v>
      </c>
      <c r="E28" s="6" t="s">
        <v>258</v>
      </c>
      <c r="F28" s="6" t="s">
        <v>259</v>
      </c>
      <c r="G28" s="6" t="n">
        <v>45</v>
      </c>
      <c r="H28" s="6" t="s">
        <v>133</v>
      </c>
      <c r="I28" s="7" t="n">
        <v>79</v>
      </c>
      <c r="J28" s="7" t="s">
        <v>237</v>
      </c>
      <c r="K28" s="7"/>
      <c r="L28" s="8"/>
      <c r="M28" s="6" t="str">
        <f aca="false">IF(L28="","",TEXT(L28,"ddd"))</f>
        <v/>
      </c>
      <c r="N28" s="7"/>
      <c r="O28" s="7"/>
      <c r="P28" s="7"/>
      <c r="Q28" s="7"/>
      <c r="R28" s="7"/>
      <c r="S28" s="9"/>
      <c r="T28" s="7"/>
      <c r="U28" s="10" t="str">
        <f aca="false">IF(OR(T28="",N(O28)=0),"",T28/O28)</f>
        <v/>
      </c>
      <c r="V28" s="7"/>
      <c r="W28" s="7"/>
      <c r="X28" s="7"/>
      <c r="Y28" s="9"/>
      <c r="Z28" s="7"/>
      <c r="AA28" s="9"/>
      <c r="AB28" s="7"/>
      <c r="AC28" s="11" t="str">
        <f aca="false">IF(COUNT(S28,Y28,AA28)=0,"",SUM(S28,Y28,AA28))</f>
        <v/>
      </c>
      <c r="AD28" s="10" t="str">
        <f aca="false">IF(N(AC28)=0,"",SUM(V28,W28,X28,Z28,AB28)/AC28)</f>
        <v/>
      </c>
      <c r="AE28" s="9"/>
      <c r="AF28" s="9"/>
      <c r="AG28" s="9"/>
      <c r="AH28" s="11" t="str">
        <f aca="false">IF(COUNT(AE28,AF28,AG28)=0,"",SUM(AE28,AF28,AG28))</f>
        <v/>
      </c>
      <c r="AI28" s="9"/>
      <c r="AJ28" s="9"/>
      <c r="AK28" s="9"/>
      <c r="AL28" s="11" t="str">
        <f aca="false">IF(COUNT(AI28,AJ28,AK28)=0,"",SUM(AI28,AJ28,AK28))</f>
        <v/>
      </c>
      <c r="AM28" s="6" t="str">
        <f aca="false">IF(N(AC28)=0,"",IF(COUNT($AC$6:$AC$105)&lt;5,"Too early",IF(AC28&gt;=1.5*MEDIAN($AC$6:$AC$105),"Top",IF(AC28&lt;=0.5*MEDIAN($AC$6:$AC$105),"Low","Average"))))</f>
        <v/>
      </c>
      <c r="AN28" s="7"/>
      <c r="AO28" s="7" t="s">
        <v>134</v>
      </c>
      <c r="AP28" s="12" t="s">
        <v>123</v>
      </c>
      <c r="AQ28" s="12" t="s">
        <v>260</v>
      </c>
      <c r="AR28" s="12" t="s">
        <v>261</v>
      </c>
      <c r="AS28" s="12" t="s">
        <v>262</v>
      </c>
      <c r="AT28" s="12" t="s">
        <v>263</v>
      </c>
      <c r="AU28" s="12" t="s">
        <v>264</v>
      </c>
      <c r="AV28" s="2" t="s">
        <v>96</v>
      </c>
    </row>
    <row r="29" customFormat="false" ht="60" hidden="false" customHeight="true" outlineLevel="0" collapsed="false">
      <c r="A29" s="6" t="n">
        <v>24</v>
      </c>
      <c r="B29" s="6" t="s">
        <v>232</v>
      </c>
      <c r="C29" s="6" t="s">
        <v>265</v>
      </c>
      <c r="D29" s="6" t="s">
        <v>266</v>
      </c>
      <c r="E29" s="6" t="s">
        <v>267</v>
      </c>
      <c r="F29" s="6" t="s">
        <v>268</v>
      </c>
      <c r="G29" s="6" t="n">
        <v>45</v>
      </c>
      <c r="H29" s="6" t="s">
        <v>77</v>
      </c>
      <c r="I29" s="7" t="n">
        <v>13</v>
      </c>
      <c r="J29" s="7" t="s">
        <v>64</v>
      </c>
      <c r="K29" s="7" t="s">
        <v>269</v>
      </c>
      <c r="L29" s="8" t="n">
        <v>46310</v>
      </c>
      <c r="M29" s="6" t="str">
        <f aca="false">IF(L29="","",TEXT(L29,"ddd"))</f>
        <v>Thu</v>
      </c>
      <c r="N29" s="7" t="s">
        <v>79</v>
      </c>
      <c r="O29" s="7" t="n">
        <v>26</v>
      </c>
      <c r="P29" s="7" t="s">
        <v>270</v>
      </c>
      <c r="Q29" s="7" t="s">
        <v>271</v>
      </c>
      <c r="R29" s="7" t="s">
        <v>272</v>
      </c>
      <c r="S29" s="9"/>
      <c r="T29" s="7"/>
      <c r="U29" s="10" t="str">
        <f aca="false">IF(OR(T29="",N(O29)=0),"",T29/O29)</f>
        <v/>
      </c>
      <c r="V29" s="7"/>
      <c r="W29" s="7"/>
      <c r="X29" s="7"/>
      <c r="Y29" s="9"/>
      <c r="Z29" s="7"/>
      <c r="AA29" s="9"/>
      <c r="AB29" s="7"/>
      <c r="AC29" s="11" t="str">
        <f aca="false">IF(COUNT(S29,Y29,AA29)=0,"",SUM(S29,Y29,AA29))</f>
        <v/>
      </c>
      <c r="AD29" s="10" t="str">
        <f aca="false">IF(N(AC29)=0,"",SUM(V29,W29,X29,Z29,AB29)/AC29)</f>
        <v/>
      </c>
      <c r="AE29" s="9"/>
      <c r="AF29" s="9"/>
      <c r="AG29" s="9"/>
      <c r="AH29" s="11" t="str">
        <f aca="false">IF(COUNT(AE29,AF29,AG29)=0,"",SUM(AE29,AF29,AG29))</f>
        <v/>
      </c>
      <c r="AI29" s="9"/>
      <c r="AJ29" s="9"/>
      <c r="AK29" s="9"/>
      <c r="AL29" s="11" t="str">
        <f aca="false">IF(COUNT(AI29,AJ29,AK29)=0,"",SUM(AI29,AJ29,AK29))</f>
        <v/>
      </c>
      <c r="AM29" s="6" t="str">
        <f aca="false">IF(N(AC29)=0,"",IF(COUNT($AC$6:$AC$105)&lt;5,"Too early",IF(AC29&gt;=1.5*MEDIAN($AC$6:$AC$105),"Top",IF(AC29&lt;=0.5*MEDIAN($AC$6:$AC$105),"Low","Average"))))</f>
        <v/>
      </c>
      <c r="AN29" s="7" t="s">
        <v>83</v>
      </c>
      <c r="AO29" s="7" t="s">
        <v>273</v>
      </c>
      <c r="AP29" s="12"/>
      <c r="AQ29" s="12"/>
      <c r="AR29" s="12"/>
      <c r="AS29" s="12"/>
      <c r="AT29" s="12"/>
      <c r="AU29" s="12"/>
      <c r="AV29" s="2" t="s">
        <v>85</v>
      </c>
    </row>
    <row r="30" customFormat="false" ht="60" hidden="false" customHeight="true" outlineLevel="0" collapsed="false">
      <c r="A30" s="6" t="n">
        <v>25</v>
      </c>
      <c r="B30" s="6" t="s">
        <v>232</v>
      </c>
      <c r="C30" s="6" t="s">
        <v>274</v>
      </c>
      <c r="D30" s="6" t="s">
        <v>275</v>
      </c>
      <c r="E30" s="6" t="s">
        <v>276</v>
      </c>
      <c r="F30" s="6" t="s">
        <v>277</v>
      </c>
      <c r="G30" s="6" t="n">
        <v>45</v>
      </c>
      <c r="H30" s="6" t="s">
        <v>90</v>
      </c>
      <c r="I30" s="7" t="n">
        <v>23</v>
      </c>
      <c r="J30" s="7" t="s">
        <v>64</v>
      </c>
      <c r="K30" s="7" t="s">
        <v>278</v>
      </c>
      <c r="L30" s="8" t="n">
        <v>46312</v>
      </c>
      <c r="M30" s="6" t="str">
        <f aca="false">IF(L30="","",TEXT(L30,"ddd"))</f>
        <v>Sat</v>
      </c>
      <c r="N30" s="7"/>
      <c r="O30" s="7" t="n">
        <v>34</v>
      </c>
      <c r="P30" s="7" t="s">
        <v>279</v>
      </c>
      <c r="Q30" s="7" t="s">
        <v>280</v>
      </c>
      <c r="R30" s="7" t="s">
        <v>281</v>
      </c>
      <c r="S30" s="9"/>
      <c r="T30" s="7"/>
      <c r="U30" s="10" t="str">
        <f aca="false">IF(OR(T30="",N(O30)=0),"",T30/O30)</f>
        <v/>
      </c>
      <c r="V30" s="7"/>
      <c r="W30" s="7"/>
      <c r="X30" s="7"/>
      <c r="Y30" s="9"/>
      <c r="Z30" s="7"/>
      <c r="AA30" s="9"/>
      <c r="AB30" s="7"/>
      <c r="AC30" s="11" t="str">
        <f aca="false">IF(COUNT(S30,Y30,AA30)=0,"",SUM(S30,Y30,AA30))</f>
        <v/>
      </c>
      <c r="AD30" s="10" t="str">
        <f aca="false">IF(N(AC30)=0,"",SUM(V30,W30,X30,Z30,AB30)/AC30)</f>
        <v/>
      </c>
      <c r="AE30" s="9"/>
      <c r="AF30" s="9"/>
      <c r="AG30" s="9"/>
      <c r="AH30" s="11" t="str">
        <f aca="false">IF(COUNT(AE30,AF30,AG30)=0,"",SUM(AE30,AF30,AG30))</f>
        <v/>
      </c>
      <c r="AI30" s="9"/>
      <c r="AJ30" s="9"/>
      <c r="AK30" s="9"/>
      <c r="AL30" s="11" t="str">
        <f aca="false">IF(COUNT(AI30,AJ30,AK30)=0,"",SUM(AI30,AJ30,AK30))</f>
        <v/>
      </c>
      <c r="AM30" s="6" t="str">
        <f aca="false">IF(N(AC30)=0,"",IF(COUNT($AC$6:$AC$105)&lt;5,"Too early",IF(AC30&gt;=1.5*MEDIAN($AC$6:$AC$105),"Top",IF(AC30&lt;=0.5*MEDIAN($AC$6:$AC$105),"Low","Average"))))</f>
        <v/>
      </c>
      <c r="AN30" s="7"/>
      <c r="AO30" s="7" t="s">
        <v>95</v>
      </c>
      <c r="AP30" s="12"/>
      <c r="AQ30" s="12"/>
      <c r="AR30" s="12"/>
      <c r="AS30" s="12"/>
      <c r="AT30" s="12"/>
      <c r="AU30" s="12"/>
      <c r="AV30" s="2" t="s">
        <v>72</v>
      </c>
    </row>
    <row r="31" customFormat="false" ht="60" hidden="false" customHeight="true" outlineLevel="0" collapsed="false">
      <c r="A31" s="6" t="n">
        <v>26</v>
      </c>
      <c r="B31" s="6" t="s">
        <v>232</v>
      </c>
      <c r="C31" s="6" t="s">
        <v>282</v>
      </c>
      <c r="D31" s="6" t="s">
        <v>283</v>
      </c>
      <c r="E31" s="6" t="s">
        <v>284</v>
      </c>
      <c r="F31" s="6" t="s">
        <v>285</v>
      </c>
      <c r="G31" s="6" t="n">
        <v>45</v>
      </c>
      <c r="H31" s="6" t="s">
        <v>133</v>
      </c>
      <c r="I31" s="7" t="n">
        <v>84</v>
      </c>
      <c r="J31" s="7" t="s">
        <v>237</v>
      </c>
      <c r="K31" s="7"/>
      <c r="L31" s="8"/>
      <c r="M31" s="6" t="str">
        <f aca="false">IF(L31="","",TEXT(L31,"ddd"))</f>
        <v/>
      </c>
      <c r="N31" s="7"/>
      <c r="O31" s="7"/>
      <c r="P31" s="7"/>
      <c r="Q31" s="7"/>
      <c r="R31" s="7"/>
      <c r="S31" s="9"/>
      <c r="T31" s="7"/>
      <c r="U31" s="10" t="str">
        <f aca="false">IF(OR(T31="",N(O31)=0),"",T31/O31)</f>
        <v/>
      </c>
      <c r="V31" s="7"/>
      <c r="W31" s="7"/>
      <c r="X31" s="7"/>
      <c r="Y31" s="9"/>
      <c r="Z31" s="7"/>
      <c r="AA31" s="9"/>
      <c r="AB31" s="7"/>
      <c r="AC31" s="11" t="str">
        <f aca="false">IF(COUNT(S31,Y31,AA31)=0,"",SUM(S31,Y31,AA31))</f>
        <v/>
      </c>
      <c r="AD31" s="10" t="str">
        <f aca="false">IF(N(AC31)=0,"",SUM(V31,W31,X31,Z31,AB31)/AC31)</f>
        <v/>
      </c>
      <c r="AE31" s="9"/>
      <c r="AF31" s="9"/>
      <c r="AG31" s="9"/>
      <c r="AH31" s="11" t="str">
        <f aca="false">IF(COUNT(AE31,AF31,AG31)=0,"",SUM(AE31,AF31,AG31))</f>
        <v/>
      </c>
      <c r="AI31" s="9"/>
      <c r="AJ31" s="9"/>
      <c r="AK31" s="9"/>
      <c r="AL31" s="11" t="str">
        <f aca="false">IF(COUNT(AI31,AJ31,AK31)=0,"",SUM(AI31,AJ31,AK31))</f>
        <v/>
      </c>
      <c r="AM31" s="6" t="str">
        <f aca="false">IF(N(AC31)=0,"",IF(COUNT($AC$6:$AC$105)&lt;5,"Too early",IF(AC31&gt;=1.5*MEDIAN($AC$6:$AC$105),"Top",IF(AC31&lt;=0.5*MEDIAN($AC$6:$AC$105),"Low","Average"))))</f>
        <v/>
      </c>
      <c r="AN31" s="7"/>
      <c r="AO31" s="7" t="s">
        <v>286</v>
      </c>
      <c r="AP31" s="12"/>
      <c r="AQ31" s="12"/>
      <c r="AR31" s="12"/>
      <c r="AS31" s="12"/>
      <c r="AT31" s="12"/>
      <c r="AU31" s="12"/>
      <c r="AV31" s="2" t="s">
        <v>85</v>
      </c>
    </row>
    <row r="32" customFormat="false" ht="60" hidden="false" customHeight="true" outlineLevel="0" collapsed="false">
      <c r="A32" s="6" t="n">
        <v>27</v>
      </c>
      <c r="B32" s="6" t="s">
        <v>232</v>
      </c>
      <c r="C32" s="6" t="s">
        <v>287</v>
      </c>
      <c r="D32" s="6" t="s">
        <v>288</v>
      </c>
      <c r="E32" s="6" t="s">
        <v>289</v>
      </c>
      <c r="F32" s="6" t="s">
        <v>290</v>
      </c>
      <c r="G32" s="6" t="n">
        <v>45</v>
      </c>
      <c r="H32" s="6" t="s">
        <v>133</v>
      </c>
      <c r="I32" s="7" t="n">
        <v>88</v>
      </c>
      <c r="J32" s="7" t="s">
        <v>237</v>
      </c>
      <c r="K32" s="7"/>
      <c r="L32" s="8"/>
      <c r="M32" s="6" t="str">
        <f aca="false">IF(L32="","",TEXT(L32,"ddd"))</f>
        <v/>
      </c>
      <c r="N32" s="7"/>
      <c r="O32" s="7"/>
      <c r="P32" s="7"/>
      <c r="Q32" s="7"/>
      <c r="R32" s="7"/>
      <c r="S32" s="9"/>
      <c r="T32" s="7"/>
      <c r="U32" s="10" t="str">
        <f aca="false">IF(OR(T32="",N(O32)=0),"",T32/O32)</f>
        <v/>
      </c>
      <c r="V32" s="7"/>
      <c r="W32" s="7"/>
      <c r="X32" s="7"/>
      <c r="Y32" s="9"/>
      <c r="Z32" s="7"/>
      <c r="AA32" s="9"/>
      <c r="AB32" s="7"/>
      <c r="AC32" s="11" t="str">
        <f aca="false">IF(COUNT(S32,Y32,AA32)=0,"",SUM(S32,Y32,AA32))</f>
        <v/>
      </c>
      <c r="AD32" s="10" t="str">
        <f aca="false">IF(N(AC32)=0,"",SUM(V32,W32,X32,Z32,AB32)/AC32)</f>
        <v/>
      </c>
      <c r="AE32" s="9"/>
      <c r="AF32" s="9"/>
      <c r="AG32" s="9"/>
      <c r="AH32" s="11" t="str">
        <f aca="false">IF(COUNT(AE32,AF32,AG32)=0,"",SUM(AE32,AF32,AG32))</f>
        <v/>
      </c>
      <c r="AI32" s="9"/>
      <c r="AJ32" s="9"/>
      <c r="AK32" s="9"/>
      <c r="AL32" s="11" t="str">
        <f aca="false">IF(COUNT(AI32,AJ32,AK32)=0,"",SUM(AI32,AJ32,AK32))</f>
        <v/>
      </c>
      <c r="AM32" s="6" t="str">
        <f aca="false">IF(N(AC32)=0,"",IF(COUNT($AC$6:$AC$105)&lt;5,"Too early",IF(AC32&gt;=1.5*MEDIAN($AC$6:$AC$105),"Top",IF(AC32&lt;=0.5*MEDIAN($AC$6:$AC$105),"Low","Average"))))</f>
        <v/>
      </c>
      <c r="AN32" s="7"/>
      <c r="AO32" s="7" t="s">
        <v>139</v>
      </c>
      <c r="AP32" s="12"/>
      <c r="AQ32" s="12"/>
      <c r="AR32" s="12"/>
      <c r="AS32" s="12"/>
      <c r="AT32" s="12"/>
      <c r="AU32" s="12"/>
      <c r="AV32" s="2" t="s">
        <v>164</v>
      </c>
    </row>
    <row r="33" customFormat="false" ht="60" hidden="false" customHeight="true" outlineLevel="0" collapsed="false">
      <c r="A33" s="6" t="n">
        <v>28</v>
      </c>
      <c r="B33" s="6" t="s">
        <v>232</v>
      </c>
      <c r="C33" s="6" t="s">
        <v>291</v>
      </c>
      <c r="D33" s="6" t="s">
        <v>292</v>
      </c>
      <c r="E33" s="6" t="s">
        <v>293</v>
      </c>
      <c r="F33" s="6" t="s">
        <v>294</v>
      </c>
      <c r="G33" s="6" t="n">
        <v>45</v>
      </c>
      <c r="H33" s="6" t="s">
        <v>133</v>
      </c>
      <c r="I33" s="7" t="n">
        <v>32</v>
      </c>
      <c r="J33" s="7" t="s">
        <v>64</v>
      </c>
      <c r="K33" s="7"/>
      <c r="L33" s="8"/>
      <c r="M33" s="6" t="str">
        <f aca="false">IF(L33="","",TEXT(L33,"ddd"))</f>
        <v/>
      </c>
      <c r="N33" s="7"/>
      <c r="O33" s="7"/>
      <c r="P33" s="7"/>
      <c r="Q33" s="7"/>
      <c r="R33" s="7"/>
      <c r="S33" s="9"/>
      <c r="T33" s="7"/>
      <c r="U33" s="10" t="str">
        <f aca="false">IF(OR(T33="",N(O33)=0),"",T33/O33)</f>
        <v/>
      </c>
      <c r="V33" s="7"/>
      <c r="W33" s="7"/>
      <c r="X33" s="7"/>
      <c r="Y33" s="9"/>
      <c r="Z33" s="7"/>
      <c r="AA33" s="9"/>
      <c r="AB33" s="7"/>
      <c r="AC33" s="11" t="str">
        <f aca="false">IF(COUNT(S33,Y33,AA33)=0,"",SUM(S33,Y33,AA33))</f>
        <v/>
      </c>
      <c r="AD33" s="10" t="str">
        <f aca="false">IF(N(AC33)=0,"",SUM(V33,W33,X33,Z33,AB33)/AC33)</f>
        <v/>
      </c>
      <c r="AE33" s="9"/>
      <c r="AF33" s="9"/>
      <c r="AG33" s="9"/>
      <c r="AH33" s="11" t="str">
        <f aca="false">IF(COUNT(AE33,AF33,AG33)=0,"",SUM(AE33,AF33,AG33))</f>
        <v/>
      </c>
      <c r="AI33" s="9"/>
      <c r="AJ33" s="9"/>
      <c r="AK33" s="9"/>
      <c r="AL33" s="11" t="str">
        <f aca="false">IF(COUNT(AI33,AJ33,AK33)=0,"",SUM(AI33,AJ33,AK33))</f>
        <v/>
      </c>
      <c r="AM33" s="6" t="str">
        <f aca="false">IF(N(AC33)=0,"",IF(COUNT($AC$6:$AC$105)&lt;5,"Too early",IF(AC33&gt;=1.5*MEDIAN($AC$6:$AC$105),"Top",IF(AC33&lt;=0.5*MEDIAN($AC$6:$AC$105),"Low","Average"))))</f>
        <v/>
      </c>
      <c r="AN33" s="7"/>
      <c r="AO33" s="7" t="s">
        <v>153</v>
      </c>
      <c r="AP33" s="12"/>
      <c r="AQ33" s="12"/>
      <c r="AR33" s="12"/>
      <c r="AS33" s="12"/>
      <c r="AT33" s="12"/>
      <c r="AU33" s="12"/>
      <c r="AV33" s="2" t="s">
        <v>72</v>
      </c>
    </row>
    <row r="34" customFormat="false" ht="60" hidden="false" customHeight="true" outlineLevel="0" collapsed="false">
      <c r="A34" s="6" t="n">
        <v>29</v>
      </c>
      <c r="B34" s="6" t="s">
        <v>232</v>
      </c>
      <c r="C34" s="6" t="s">
        <v>295</v>
      </c>
      <c r="D34" s="6" t="s">
        <v>296</v>
      </c>
      <c r="E34" s="6" t="s">
        <v>297</v>
      </c>
      <c r="F34" s="6" t="s">
        <v>298</v>
      </c>
      <c r="G34" s="6" t="n">
        <v>45</v>
      </c>
      <c r="H34" s="6" t="s">
        <v>133</v>
      </c>
      <c r="I34" s="7" t="n">
        <v>40</v>
      </c>
      <c r="J34" s="7" t="s">
        <v>64</v>
      </c>
      <c r="K34" s="7"/>
      <c r="L34" s="8"/>
      <c r="M34" s="6" t="str">
        <f aca="false">IF(L34="","",TEXT(L34,"ddd"))</f>
        <v/>
      </c>
      <c r="N34" s="7"/>
      <c r="O34" s="7"/>
      <c r="P34" s="7"/>
      <c r="Q34" s="7"/>
      <c r="R34" s="7"/>
      <c r="S34" s="9"/>
      <c r="T34" s="7"/>
      <c r="U34" s="10" t="str">
        <f aca="false">IF(OR(T34="",N(O34)=0),"",T34/O34)</f>
        <v/>
      </c>
      <c r="V34" s="7"/>
      <c r="W34" s="7"/>
      <c r="X34" s="7"/>
      <c r="Y34" s="9"/>
      <c r="Z34" s="7"/>
      <c r="AA34" s="9"/>
      <c r="AB34" s="7"/>
      <c r="AC34" s="11" t="str">
        <f aca="false">IF(COUNT(S34,Y34,AA34)=0,"",SUM(S34,Y34,AA34))</f>
        <v/>
      </c>
      <c r="AD34" s="10" t="str">
        <f aca="false">IF(N(AC34)=0,"",SUM(V34,W34,X34,Z34,AB34)/AC34)</f>
        <v/>
      </c>
      <c r="AE34" s="9"/>
      <c r="AF34" s="9"/>
      <c r="AG34" s="9"/>
      <c r="AH34" s="11" t="str">
        <f aca="false">IF(COUNT(AE34,AF34,AG34)=0,"",SUM(AE34,AF34,AG34))</f>
        <v/>
      </c>
      <c r="AI34" s="9"/>
      <c r="AJ34" s="9"/>
      <c r="AK34" s="9"/>
      <c r="AL34" s="11" t="str">
        <f aca="false">IF(COUNT(AI34,AJ34,AK34)=0,"",SUM(AI34,AJ34,AK34))</f>
        <v/>
      </c>
      <c r="AM34" s="6" t="str">
        <f aca="false">IF(N(AC34)=0,"",IF(COUNT($AC$6:$AC$105)&lt;5,"Too early",IF(AC34&gt;=1.5*MEDIAN($AC$6:$AC$105),"Top",IF(AC34&lt;=0.5*MEDIAN($AC$6:$AC$105),"Low","Average"))))</f>
        <v/>
      </c>
      <c r="AN34" s="7"/>
      <c r="AO34" s="7" t="s">
        <v>299</v>
      </c>
      <c r="AP34" s="12"/>
      <c r="AQ34" s="12"/>
      <c r="AR34" s="12"/>
      <c r="AS34" s="12"/>
      <c r="AT34" s="12"/>
      <c r="AU34" s="12"/>
      <c r="AV34" s="2" t="s">
        <v>96</v>
      </c>
    </row>
    <row r="35" customFormat="false" ht="60" hidden="false" customHeight="true" outlineLevel="0" collapsed="false">
      <c r="A35" s="6" t="n">
        <v>30</v>
      </c>
      <c r="B35" s="6" t="s">
        <v>232</v>
      </c>
      <c r="C35" s="6" t="s">
        <v>300</v>
      </c>
      <c r="D35" s="6" t="s">
        <v>301</v>
      </c>
      <c r="E35" s="6" t="s">
        <v>302</v>
      </c>
      <c r="F35" s="6" t="s">
        <v>303</v>
      </c>
      <c r="G35" s="6" t="n">
        <v>45</v>
      </c>
      <c r="H35" s="6" t="s">
        <v>133</v>
      </c>
      <c r="I35" s="7" t="n">
        <v>47</v>
      </c>
      <c r="J35" s="7" t="s">
        <v>64</v>
      </c>
      <c r="K35" s="7"/>
      <c r="L35" s="8"/>
      <c r="M35" s="6" t="str">
        <f aca="false">IF(L35="","",TEXT(L35,"ddd"))</f>
        <v/>
      </c>
      <c r="N35" s="7"/>
      <c r="O35" s="7"/>
      <c r="P35" s="7"/>
      <c r="Q35" s="7"/>
      <c r="R35" s="7"/>
      <c r="S35" s="9"/>
      <c r="T35" s="7"/>
      <c r="U35" s="10" t="str">
        <f aca="false">IF(OR(T35="",N(O35)=0),"",T35/O35)</f>
        <v/>
      </c>
      <c r="V35" s="7"/>
      <c r="W35" s="7"/>
      <c r="X35" s="7"/>
      <c r="Y35" s="9"/>
      <c r="Z35" s="7"/>
      <c r="AA35" s="9"/>
      <c r="AB35" s="7"/>
      <c r="AC35" s="11" t="str">
        <f aca="false">IF(COUNT(S35,Y35,AA35)=0,"",SUM(S35,Y35,AA35))</f>
        <v/>
      </c>
      <c r="AD35" s="10" t="str">
        <f aca="false">IF(N(AC35)=0,"",SUM(V35,W35,X35,Z35,AB35)/AC35)</f>
        <v/>
      </c>
      <c r="AE35" s="9"/>
      <c r="AF35" s="9"/>
      <c r="AG35" s="9"/>
      <c r="AH35" s="11" t="str">
        <f aca="false">IF(COUNT(AE35,AF35,AG35)=0,"",SUM(AE35,AF35,AG35))</f>
        <v/>
      </c>
      <c r="AI35" s="9"/>
      <c r="AJ35" s="9"/>
      <c r="AK35" s="9"/>
      <c r="AL35" s="11" t="str">
        <f aca="false">IF(COUNT(AI35,AJ35,AK35)=0,"",SUM(AI35,AJ35,AK35))</f>
        <v/>
      </c>
      <c r="AM35" s="6" t="str">
        <f aca="false">IF(N(AC35)=0,"",IF(COUNT($AC$6:$AC$105)&lt;5,"Too early",IF(AC35&gt;=1.5*MEDIAN($AC$6:$AC$105),"Top",IF(AC35&lt;=0.5*MEDIAN($AC$6:$AC$105),"Low","Average"))))</f>
        <v/>
      </c>
      <c r="AN35" s="7"/>
      <c r="AO35" s="7" t="s">
        <v>273</v>
      </c>
      <c r="AP35" s="12"/>
      <c r="AQ35" s="12"/>
      <c r="AR35" s="12"/>
      <c r="AS35" s="12"/>
      <c r="AT35" s="12"/>
      <c r="AU35" s="12"/>
      <c r="AV35" s="2" t="s">
        <v>96</v>
      </c>
    </row>
    <row r="36" customFormat="false" ht="60" hidden="false" customHeight="true" outlineLevel="0" collapsed="false">
      <c r="A36" s="6" t="n">
        <v>31</v>
      </c>
      <c r="B36" s="6" t="s">
        <v>304</v>
      </c>
      <c r="C36" s="6" t="s">
        <v>305</v>
      </c>
      <c r="D36" s="6" t="s">
        <v>306</v>
      </c>
      <c r="E36" s="6" t="s">
        <v>307</v>
      </c>
      <c r="F36" s="6" t="s">
        <v>308</v>
      </c>
      <c r="G36" s="6" t="n">
        <v>45</v>
      </c>
      <c r="H36" s="6" t="s">
        <v>133</v>
      </c>
      <c r="I36" s="7" t="n">
        <v>73</v>
      </c>
      <c r="J36" s="7" t="s">
        <v>237</v>
      </c>
      <c r="K36" s="7"/>
      <c r="L36" s="8"/>
      <c r="M36" s="6" t="str">
        <f aca="false">IF(L36="","",TEXT(L36,"ddd"))</f>
        <v/>
      </c>
      <c r="N36" s="7"/>
      <c r="O36" s="7"/>
      <c r="P36" s="7"/>
      <c r="Q36" s="7"/>
      <c r="R36" s="7"/>
      <c r="S36" s="9"/>
      <c r="T36" s="7"/>
      <c r="U36" s="10" t="str">
        <f aca="false">IF(OR(T36="",N(O36)=0),"",T36/O36)</f>
        <v/>
      </c>
      <c r="V36" s="7"/>
      <c r="W36" s="7"/>
      <c r="X36" s="7"/>
      <c r="Y36" s="9"/>
      <c r="Z36" s="7"/>
      <c r="AA36" s="9"/>
      <c r="AB36" s="7"/>
      <c r="AC36" s="11" t="str">
        <f aca="false">IF(COUNT(S36,Y36,AA36)=0,"",SUM(S36,Y36,AA36))</f>
        <v/>
      </c>
      <c r="AD36" s="10" t="str">
        <f aca="false">IF(N(AC36)=0,"",SUM(V36,W36,X36,Z36,AB36)/AC36)</f>
        <v/>
      </c>
      <c r="AE36" s="9"/>
      <c r="AF36" s="9"/>
      <c r="AG36" s="9"/>
      <c r="AH36" s="11" t="str">
        <f aca="false">IF(COUNT(AE36,AF36,AG36)=0,"",SUM(AE36,AF36,AG36))</f>
        <v/>
      </c>
      <c r="AI36" s="9"/>
      <c r="AJ36" s="9"/>
      <c r="AK36" s="9"/>
      <c r="AL36" s="11" t="str">
        <f aca="false">IF(COUNT(AI36,AJ36,AK36)=0,"",SUM(AI36,AJ36,AK36))</f>
        <v/>
      </c>
      <c r="AM36" s="6" t="str">
        <f aca="false">IF(N(AC36)=0,"",IF(COUNT($AC$6:$AC$105)&lt;5,"Too early",IF(AC36&gt;=1.5*MEDIAN($AC$6:$AC$105),"Top",IF(AC36&lt;=0.5*MEDIAN($AC$6:$AC$105),"Low","Average"))))</f>
        <v/>
      </c>
      <c r="AN36" s="7"/>
      <c r="AO36" s="7" t="s">
        <v>231</v>
      </c>
      <c r="AP36" s="12"/>
      <c r="AQ36" s="12"/>
      <c r="AR36" s="12"/>
      <c r="AS36" s="12"/>
      <c r="AT36" s="12"/>
      <c r="AU36" s="12"/>
      <c r="AV36" s="2" t="s">
        <v>96</v>
      </c>
    </row>
    <row r="37" customFormat="false" ht="60" hidden="false" customHeight="true" outlineLevel="0" collapsed="false">
      <c r="A37" s="6" t="n">
        <v>32</v>
      </c>
      <c r="B37" s="6" t="s">
        <v>304</v>
      </c>
      <c r="C37" s="6" t="s">
        <v>309</v>
      </c>
      <c r="D37" s="6" t="s">
        <v>310</v>
      </c>
      <c r="E37" s="6" t="s">
        <v>311</v>
      </c>
      <c r="F37" s="6" t="s">
        <v>312</v>
      </c>
      <c r="G37" s="6" t="n">
        <v>45</v>
      </c>
      <c r="H37" s="6" t="s">
        <v>90</v>
      </c>
      <c r="I37" s="7" t="n">
        <v>4</v>
      </c>
      <c r="J37" s="7" t="s">
        <v>64</v>
      </c>
      <c r="K37" s="7" t="s">
        <v>313</v>
      </c>
      <c r="L37" s="8" t="n">
        <v>46309</v>
      </c>
      <c r="M37" s="6" t="str">
        <f aca="false">IF(L37="","",TEXT(L37,"ddd"))</f>
        <v>Wed</v>
      </c>
      <c r="N37" s="7" t="s">
        <v>79</v>
      </c>
      <c r="O37" s="7" t="n">
        <v>42</v>
      </c>
      <c r="P37" s="7" t="s">
        <v>314</v>
      </c>
      <c r="Q37" s="7" t="s">
        <v>315</v>
      </c>
      <c r="R37" s="7" t="s">
        <v>316</v>
      </c>
      <c r="S37" s="9"/>
      <c r="T37" s="7"/>
      <c r="U37" s="10" t="str">
        <f aca="false">IF(OR(T37="",N(O37)=0),"",T37/O37)</f>
        <v/>
      </c>
      <c r="V37" s="7"/>
      <c r="W37" s="7"/>
      <c r="X37" s="7"/>
      <c r="Y37" s="9"/>
      <c r="Z37" s="7"/>
      <c r="AA37" s="9"/>
      <c r="AB37" s="7"/>
      <c r="AC37" s="11" t="str">
        <f aca="false">IF(COUNT(S37,Y37,AA37)=0,"",SUM(S37,Y37,AA37))</f>
        <v/>
      </c>
      <c r="AD37" s="10" t="str">
        <f aca="false">IF(N(AC37)=0,"",SUM(V37,W37,X37,Z37,AB37)/AC37)</f>
        <v/>
      </c>
      <c r="AE37" s="9"/>
      <c r="AF37" s="9"/>
      <c r="AG37" s="9"/>
      <c r="AH37" s="11" t="str">
        <f aca="false">IF(COUNT(AE37,AF37,AG37)=0,"",SUM(AE37,AF37,AG37))</f>
        <v/>
      </c>
      <c r="AI37" s="9"/>
      <c r="AJ37" s="9"/>
      <c r="AK37" s="9"/>
      <c r="AL37" s="11" t="str">
        <f aca="false">IF(COUNT(AI37,AJ37,AK37)=0,"",SUM(AI37,AJ37,AK37))</f>
        <v/>
      </c>
      <c r="AM37" s="6" t="str">
        <f aca="false">IF(N(AC37)=0,"",IF(COUNT($AC$6:$AC$105)&lt;5,"Too early",IF(AC37&gt;=1.5*MEDIAN($AC$6:$AC$105),"Top",IF(AC37&lt;=0.5*MEDIAN($AC$6:$AC$105),"Low","Average"))))</f>
        <v/>
      </c>
      <c r="AN37" s="7"/>
      <c r="AO37" s="7" t="s">
        <v>173</v>
      </c>
      <c r="AP37" s="12"/>
      <c r="AQ37" s="12"/>
      <c r="AR37" s="12"/>
      <c r="AS37" s="12"/>
      <c r="AT37" s="12"/>
      <c r="AU37" s="12"/>
      <c r="AV37" s="2" t="s">
        <v>317</v>
      </c>
    </row>
    <row r="38" customFormat="false" ht="60" hidden="false" customHeight="true" outlineLevel="0" collapsed="false">
      <c r="A38" s="6" t="n">
        <v>33</v>
      </c>
      <c r="B38" s="6" t="s">
        <v>304</v>
      </c>
      <c r="C38" s="6" t="s">
        <v>318</v>
      </c>
      <c r="D38" s="6" t="s">
        <v>319</v>
      </c>
      <c r="E38" s="6" t="s">
        <v>320</v>
      </c>
      <c r="F38" s="6" t="s">
        <v>321</v>
      </c>
      <c r="G38" s="6" t="n">
        <v>45</v>
      </c>
      <c r="H38" s="6" t="s">
        <v>133</v>
      </c>
      <c r="I38" s="7" t="n">
        <v>80</v>
      </c>
      <c r="J38" s="7" t="s">
        <v>237</v>
      </c>
      <c r="K38" s="7"/>
      <c r="L38" s="8"/>
      <c r="M38" s="6" t="str">
        <f aca="false">IF(L38="","",TEXT(L38,"ddd"))</f>
        <v/>
      </c>
      <c r="N38" s="7"/>
      <c r="O38" s="7"/>
      <c r="P38" s="7"/>
      <c r="Q38" s="7"/>
      <c r="R38" s="7"/>
      <c r="S38" s="9"/>
      <c r="T38" s="7"/>
      <c r="U38" s="10" t="str">
        <f aca="false">IF(OR(T38="",N(O38)=0),"",T38/O38)</f>
        <v/>
      </c>
      <c r="V38" s="7"/>
      <c r="W38" s="7"/>
      <c r="X38" s="7"/>
      <c r="Y38" s="9"/>
      <c r="Z38" s="7"/>
      <c r="AA38" s="9"/>
      <c r="AB38" s="7"/>
      <c r="AC38" s="11" t="str">
        <f aca="false">IF(COUNT(S38,Y38,AA38)=0,"",SUM(S38,Y38,AA38))</f>
        <v/>
      </c>
      <c r="AD38" s="10" t="str">
        <f aca="false">IF(N(AC38)=0,"",SUM(V38,W38,X38,Z38,AB38)/AC38)</f>
        <v/>
      </c>
      <c r="AE38" s="9"/>
      <c r="AF38" s="9"/>
      <c r="AG38" s="9"/>
      <c r="AH38" s="11" t="str">
        <f aca="false">IF(COUNT(AE38,AF38,AG38)=0,"",SUM(AE38,AF38,AG38))</f>
        <v/>
      </c>
      <c r="AI38" s="9"/>
      <c r="AJ38" s="9"/>
      <c r="AK38" s="9"/>
      <c r="AL38" s="11" t="str">
        <f aca="false">IF(COUNT(AI38,AJ38,AK38)=0,"",SUM(AI38,AJ38,AK38))</f>
        <v/>
      </c>
      <c r="AM38" s="6" t="str">
        <f aca="false">IF(N(AC38)=0,"",IF(COUNT($AC$6:$AC$105)&lt;5,"Too early",IF(AC38&gt;=1.5*MEDIAN($AC$6:$AC$105),"Top",IF(AC38&lt;=0.5*MEDIAN($AC$6:$AC$105),"Low","Average"))))</f>
        <v/>
      </c>
      <c r="AN38" s="7"/>
      <c r="AO38" s="7" t="s">
        <v>322</v>
      </c>
      <c r="AP38" s="12"/>
      <c r="AQ38" s="12"/>
      <c r="AR38" s="12"/>
      <c r="AS38" s="12"/>
      <c r="AT38" s="12"/>
      <c r="AU38" s="12"/>
      <c r="AV38" s="2" t="s">
        <v>96</v>
      </c>
    </row>
    <row r="39" customFormat="false" ht="60" hidden="false" customHeight="true" outlineLevel="0" collapsed="false">
      <c r="A39" s="6" t="n">
        <v>34</v>
      </c>
      <c r="B39" s="6" t="s">
        <v>304</v>
      </c>
      <c r="C39" s="6" t="s">
        <v>323</v>
      </c>
      <c r="D39" s="6" t="s">
        <v>324</v>
      </c>
      <c r="E39" s="6" t="s">
        <v>325</v>
      </c>
      <c r="F39" s="6" t="s">
        <v>326</v>
      </c>
      <c r="G39" s="6" t="n">
        <v>45</v>
      </c>
      <c r="H39" s="6" t="s">
        <v>133</v>
      </c>
      <c r="I39" s="7" t="n">
        <v>85</v>
      </c>
      <c r="J39" s="7" t="s">
        <v>237</v>
      </c>
      <c r="K39" s="7"/>
      <c r="L39" s="8"/>
      <c r="M39" s="6" t="str">
        <f aca="false">IF(L39="","",TEXT(L39,"ddd"))</f>
        <v/>
      </c>
      <c r="N39" s="7"/>
      <c r="O39" s="7"/>
      <c r="P39" s="7"/>
      <c r="Q39" s="7"/>
      <c r="R39" s="7"/>
      <c r="S39" s="9"/>
      <c r="T39" s="7"/>
      <c r="U39" s="10" t="str">
        <f aca="false">IF(OR(T39="",N(O39)=0),"",T39/O39)</f>
        <v/>
      </c>
      <c r="V39" s="7"/>
      <c r="W39" s="7"/>
      <c r="X39" s="7"/>
      <c r="Y39" s="9"/>
      <c r="Z39" s="7"/>
      <c r="AA39" s="9"/>
      <c r="AB39" s="7"/>
      <c r="AC39" s="11" t="str">
        <f aca="false">IF(COUNT(S39,Y39,AA39)=0,"",SUM(S39,Y39,AA39))</f>
        <v/>
      </c>
      <c r="AD39" s="10" t="str">
        <f aca="false">IF(N(AC39)=0,"",SUM(V39,W39,X39,Z39,AB39)/AC39)</f>
        <v/>
      </c>
      <c r="AE39" s="9"/>
      <c r="AF39" s="9"/>
      <c r="AG39" s="9"/>
      <c r="AH39" s="11" t="str">
        <f aca="false">IF(COUNT(AE39,AF39,AG39)=0,"",SUM(AE39,AF39,AG39))</f>
        <v/>
      </c>
      <c r="AI39" s="9"/>
      <c r="AJ39" s="9"/>
      <c r="AK39" s="9"/>
      <c r="AL39" s="11" t="str">
        <f aca="false">IF(COUNT(AI39,AJ39,AK39)=0,"",SUM(AI39,AJ39,AK39))</f>
        <v/>
      </c>
      <c r="AM39" s="6" t="str">
        <f aca="false">IF(N(AC39)=0,"",IF(COUNT($AC$6:$AC$105)&lt;5,"Too early",IF(AC39&gt;=1.5*MEDIAN($AC$6:$AC$105),"Top",IF(AC39&lt;=0.5*MEDIAN($AC$6:$AC$105),"Low","Average"))))</f>
        <v/>
      </c>
      <c r="AN39" s="7"/>
      <c r="AO39" s="7" t="s">
        <v>231</v>
      </c>
      <c r="AP39" s="12"/>
      <c r="AQ39" s="12"/>
      <c r="AR39" s="12"/>
      <c r="AS39" s="12"/>
      <c r="AT39" s="12"/>
      <c r="AU39" s="12"/>
      <c r="AV39" s="2" t="s">
        <v>96</v>
      </c>
    </row>
    <row r="40" customFormat="false" ht="60" hidden="false" customHeight="true" outlineLevel="0" collapsed="false">
      <c r="A40" s="6" t="n">
        <v>35</v>
      </c>
      <c r="B40" s="6" t="s">
        <v>304</v>
      </c>
      <c r="C40" s="6" t="s">
        <v>327</v>
      </c>
      <c r="D40" s="6" t="s">
        <v>328</v>
      </c>
      <c r="E40" s="6" t="s">
        <v>329</v>
      </c>
      <c r="F40" s="6" t="s">
        <v>330</v>
      </c>
      <c r="G40" s="6" t="n">
        <v>45</v>
      </c>
      <c r="H40" s="6" t="s">
        <v>90</v>
      </c>
      <c r="I40" s="7" t="n">
        <v>14</v>
      </c>
      <c r="J40" s="7" t="s">
        <v>64</v>
      </c>
      <c r="K40" s="7" t="s">
        <v>331</v>
      </c>
      <c r="L40" s="8" t="n">
        <v>46311</v>
      </c>
      <c r="M40" s="6" t="str">
        <f aca="false">IF(L40="","",TEXT(L40,"ddd"))</f>
        <v>Fri</v>
      </c>
      <c r="N40" s="7"/>
      <c r="O40" s="7" t="n">
        <v>30</v>
      </c>
      <c r="P40" s="7" t="s">
        <v>332</v>
      </c>
      <c r="Q40" s="7" t="s">
        <v>333</v>
      </c>
      <c r="R40" s="7" t="s">
        <v>334</v>
      </c>
      <c r="S40" s="9"/>
      <c r="T40" s="7"/>
      <c r="U40" s="10" t="str">
        <f aca="false">IF(OR(T40="",N(O40)=0),"",T40/O40)</f>
        <v/>
      </c>
      <c r="V40" s="7"/>
      <c r="W40" s="7"/>
      <c r="X40" s="7"/>
      <c r="Y40" s="9"/>
      <c r="Z40" s="7"/>
      <c r="AA40" s="9"/>
      <c r="AB40" s="7"/>
      <c r="AC40" s="11" t="str">
        <f aca="false">IF(COUNT(S40,Y40,AA40)=0,"",SUM(S40,Y40,AA40))</f>
        <v/>
      </c>
      <c r="AD40" s="10" t="str">
        <f aca="false">IF(N(AC40)=0,"",SUM(V40,W40,X40,Z40,AB40)/AC40)</f>
        <v/>
      </c>
      <c r="AE40" s="9"/>
      <c r="AF40" s="9"/>
      <c r="AG40" s="9"/>
      <c r="AH40" s="11" t="str">
        <f aca="false">IF(COUNT(AE40,AF40,AG40)=0,"",SUM(AE40,AF40,AG40))</f>
        <v/>
      </c>
      <c r="AI40" s="9"/>
      <c r="AJ40" s="9"/>
      <c r="AK40" s="9"/>
      <c r="AL40" s="11" t="str">
        <f aca="false">IF(COUNT(AI40,AJ40,AK40)=0,"",SUM(AI40,AJ40,AK40))</f>
        <v/>
      </c>
      <c r="AM40" s="6" t="str">
        <f aca="false">IF(N(AC40)=0,"",IF(COUNT($AC$6:$AC$105)&lt;5,"Too early",IF(AC40&gt;=1.5*MEDIAN($AC$6:$AC$105),"Top",IF(AC40&lt;=0.5*MEDIAN($AC$6:$AC$105),"Low","Average"))))</f>
        <v/>
      </c>
      <c r="AN40" s="7"/>
      <c r="AO40" s="7" t="s">
        <v>95</v>
      </c>
      <c r="AP40" s="12"/>
      <c r="AQ40" s="12"/>
      <c r="AR40" s="12"/>
      <c r="AS40" s="12"/>
      <c r="AT40" s="12"/>
      <c r="AU40" s="12"/>
      <c r="AV40" s="2" t="s">
        <v>113</v>
      </c>
    </row>
    <row r="41" customFormat="false" ht="60" hidden="false" customHeight="true" outlineLevel="0" collapsed="false">
      <c r="A41" s="6" t="n">
        <v>36</v>
      </c>
      <c r="B41" s="6" t="s">
        <v>304</v>
      </c>
      <c r="C41" s="6" t="s">
        <v>335</v>
      </c>
      <c r="D41" s="6" t="s">
        <v>336</v>
      </c>
      <c r="E41" s="6" t="s">
        <v>337</v>
      </c>
      <c r="F41" s="6" t="s">
        <v>338</v>
      </c>
      <c r="G41" s="6" t="n">
        <v>45</v>
      </c>
      <c r="H41" s="6" t="s">
        <v>90</v>
      </c>
      <c r="I41" s="7" t="n">
        <v>24</v>
      </c>
      <c r="J41" s="7" t="s">
        <v>64</v>
      </c>
      <c r="K41" s="7" t="s">
        <v>339</v>
      </c>
      <c r="L41" s="8" t="n">
        <v>46312</v>
      </c>
      <c r="M41" s="6" t="str">
        <f aca="false">IF(L41="","",TEXT(L41,"ddd"))</f>
        <v>Sat</v>
      </c>
      <c r="N41" s="7"/>
      <c r="O41" s="7" t="n">
        <v>37</v>
      </c>
      <c r="P41" s="7" t="s">
        <v>340</v>
      </c>
      <c r="Q41" s="7" t="s">
        <v>341</v>
      </c>
      <c r="R41" s="7" t="s">
        <v>342</v>
      </c>
      <c r="S41" s="9"/>
      <c r="T41" s="7"/>
      <c r="U41" s="10" t="str">
        <f aca="false">IF(OR(T41="",N(O41)=0),"",T41/O41)</f>
        <v/>
      </c>
      <c r="V41" s="7"/>
      <c r="W41" s="7"/>
      <c r="X41" s="7"/>
      <c r="Y41" s="9"/>
      <c r="Z41" s="7"/>
      <c r="AA41" s="9"/>
      <c r="AB41" s="7"/>
      <c r="AC41" s="11" t="str">
        <f aca="false">IF(COUNT(S41,Y41,AA41)=0,"",SUM(S41,Y41,AA41))</f>
        <v/>
      </c>
      <c r="AD41" s="10" t="str">
        <f aca="false">IF(N(AC41)=0,"",SUM(V41,W41,X41,Z41,AB41)/AC41)</f>
        <v/>
      </c>
      <c r="AE41" s="9"/>
      <c r="AF41" s="9"/>
      <c r="AG41" s="9"/>
      <c r="AH41" s="11" t="str">
        <f aca="false">IF(COUNT(AE41,AF41,AG41)=0,"",SUM(AE41,AF41,AG41))</f>
        <v/>
      </c>
      <c r="AI41" s="9"/>
      <c r="AJ41" s="9"/>
      <c r="AK41" s="9"/>
      <c r="AL41" s="11" t="str">
        <f aca="false">IF(COUNT(AI41,AJ41,AK41)=0,"",SUM(AI41,AJ41,AK41))</f>
        <v/>
      </c>
      <c r="AM41" s="6" t="str">
        <f aca="false">IF(N(AC41)=0,"",IF(COUNT($AC$6:$AC$105)&lt;5,"Too early",IF(AC41&gt;=1.5*MEDIAN($AC$6:$AC$105),"Top",IF(AC41&lt;=0.5*MEDIAN($AC$6:$AC$105),"Low","Average"))))</f>
        <v/>
      </c>
      <c r="AN41" s="7"/>
      <c r="AO41" s="7" t="s">
        <v>95</v>
      </c>
      <c r="AP41" s="12"/>
      <c r="AQ41" s="12"/>
      <c r="AR41" s="12"/>
      <c r="AS41" s="12"/>
      <c r="AT41" s="12"/>
      <c r="AU41" s="12"/>
      <c r="AV41" s="2" t="s">
        <v>164</v>
      </c>
    </row>
    <row r="42" customFormat="false" ht="60" hidden="false" customHeight="true" outlineLevel="0" collapsed="false">
      <c r="A42" s="6" t="n">
        <v>37</v>
      </c>
      <c r="B42" s="6" t="s">
        <v>304</v>
      </c>
      <c r="C42" s="6" t="s">
        <v>343</v>
      </c>
      <c r="D42" s="6" t="s">
        <v>344</v>
      </c>
      <c r="E42" s="6" t="s">
        <v>345</v>
      </c>
      <c r="F42" s="6" t="s">
        <v>346</v>
      </c>
      <c r="G42" s="6" t="n">
        <v>45</v>
      </c>
      <c r="H42" s="6" t="s">
        <v>110</v>
      </c>
      <c r="I42" s="7" t="n">
        <v>33</v>
      </c>
      <c r="J42" s="7" t="s">
        <v>64</v>
      </c>
      <c r="K42" s="7" t="s">
        <v>347</v>
      </c>
      <c r="L42" s="8"/>
      <c r="M42" s="6" t="str">
        <f aca="false">IF(L42="","",TEXT(L42,"ddd"))</f>
        <v/>
      </c>
      <c r="N42" s="7" t="s">
        <v>79</v>
      </c>
      <c r="O42" s="7"/>
      <c r="P42" s="7"/>
      <c r="Q42" s="7" t="s">
        <v>348</v>
      </c>
      <c r="R42" s="7"/>
      <c r="S42" s="9"/>
      <c r="T42" s="7"/>
      <c r="U42" s="10" t="str">
        <f aca="false">IF(OR(T42="",N(O42)=0),"",T42/O42)</f>
        <v/>
      </c>
      <c r="V42" s="7"/>
      <c r="W42" s="7"/>
      <c r="X42" s="7"/>
      <c r="Y42" s="9"/>
      <c r="Z42" s="7"/>
      <c r="AA42" s="9"/>
      <c r="AB42" s="7"/>
      <c r="AC42" s="11" t="str">
        <f aca="false">IF(COUNT(S42,Y42,AA42)=0,"",SUM(S42,Y42,AA42))</f>
        <v/>
      </c>
      <c r="AD42" s="10" t="str">
        <f aca="false">IF(N(AC42)=0,"",SUM(V42,W42,X42,Z42,AB42)/AC42)</f>
        <v/>
      </c>
      <c r="AE42" s="9"/>
      <c r="AF42" s="9"/>
      <c r="AG42" s="9"/>
      <c r="AH42" s="11" t="str">
        <f aca="false">IF(COUNT(AE42,AF42,AG42)=0,"",SUM(AE42,AF42,AG42))</f>
        <v/>
      </c>
      <c r="AI42" s="9"/>
      <c r="AJ42" s="9"/>
      <c r="AK42" s="9"/>
      <c r="AL42" s="11" t="str">
        <f aca="false">IF(COUNT(AI42,AJ42,AK42)=0,"",SUM(AI42,AJ42,AK42))</f>
        <v/>
      </c>
      <c r="AM42" s="6" t="str">
        <f aca="false">IF(N(AC42)=0,"",IF(COUNT($AC$6:$AC$105)&lt;5,"Too early",IF(AC42&gt;=1.5*MEDIAN($AC$6:$AC$105),"Top",IF(AC42&lt;=0.5*MEDIAN($AC$6:$AC$105),"Low","Average"))))</f>
        <v/>
      </c>
      <c r="AN42" s="7"/>
      <c r="AO42" s="7" t="s">
        <v>95</v>
      </c>
      <c r="AP42" s="12"/>
      <c r="AQ42" s="12"/>
      <c r="AR42" s="12"/>
      <c r="AS42" s="12"/>
      <c r="AT42" s="12"/>
      <c r="AU42" s="12"/>
      <c r="AV42" s="2" t="s">
        <v>96</v>
      </c>
    </row>
    <row r="43" customFormat="false" ht="60" hidden="false" customHeight="true" outlineLevel="0" collapsed="false">
      <c r="A43" s="6" t="n">
        <v>38</v>
      </c>
      <c r="B43" s="6" t="s">
        <v>304</v>
      </c>
      <c r="C43" s="6" t="s">
        <v>349</v>
      </c>
      <c r="D43" s="6" t="s">
        <v>350</v>
      </c>
      <c r="E43" s="6" t="s">
        <v>351</v>
      </c>
      <c r="F43" s="6" t="s">
        <v>352</v>
      </c>
      <c r="G43" s="6" t="n">
        <v>45</v>
      </c>
      <c r="H43" s="6" t="s">
        <v>133</v>
      </c>
      <c r="I43" s="7" t="n">
        <v>89</v>
      </c>
      <c r="J43" s="7" t="s">
        <v>237</v>
      </c>
      <c r="K43" s="7"/>
      <c r="L43" s="8"/>
      <c r="M43" s="6" t="str">
        <f aca="false">IF(L43="","",TEXT(L43,"ddd"))</f>
        <v/>
      </c>
      <c r="N43" s="7"/>
      <c r="O43" s="7"/>
      <c r="P43" s="7"/>
      <c r="Q43" s="7"/>
      <c r="R43" s="7"/>
      <c r="S43" s="9"/>
      <c r="T43" s="7"/>
      <c r="U43" s="10" t="str">
        <f aca="false">IF(OR(T43="",N(O43)=0),"",T43/O43)</f>
        <v/>
      </c>
      <c r="V43" s="7"/>
      <c r="W43" s="7"/>
      <c r="X43" s="7"/>
      <c r="Y43" s="9"/>
      <c r="Z43" s="7"/>
      <c r="AA43" s="9"/>
      <c r="AB43" s="7"/>
      <c r="AC43" s="11" t="str">
        <f aca="false">IF(COUNT(S43,Y43,AA43)=0,"",SUM(S43,Y43,AA43))</f>
        <v/>
      </c>
      <c r="AD43" s="10" t="str">
        <f aca="false">IF(N(AC43)=0,"",SUM(V43,W43,X43,Z43,AB43)/AC43)</f>
        <v/>
      </c>
      <c r="AE43" s="9"/>
      <c r="AF43" s="9"/>
      <c r="AG43" s="9"/>
      <c r="AH43" s="11" t="str">
        <f aca="false">IF(COUNT(AE43,AF43,AG43)=0,"",SUM(AE43,AF43,AG43))</f>
        <v/>
      </c>
      <c r="AI43" s="9"/>
      <c r="AJ43" s="9"/>
      <c r="AK43" s="9"/>
      <c r="AL43" s="11" t="str">
        <f aca="false">IF(COUNT(AI43,AJ43,AK43)=0,"",SUM(AI43,AJ43,AK43))</f>
        <v/>
      </c>
      <c r="AM43" s="6" t="str">
        <f aca="false">IF(N(AC43)=0,"",IF(COUNT($AC$6:$AC$105)&lt;5,"Too early",IF(AC43&gt;=1.5*MEDIAN($AC$6:$AC$105),"Top",IF(AC43&lt;=0.5*MEDIAN($AC$6:$AC$105),"Low","Average"))))</f>
        <v/>
      </c>
      <c r="AN43" s="7"/>
      <c r="AO43" s="7" t="s">
        <v>139</v>
      </c>
      <c r="AP43" s="12"/>
      <c r="AQ43" s="12"/>
      <c r="AR43" s="12"/>
      <c r="AS43" s="12"/>
      <c r="AT43" s="12"/>
      <c r="AU43" s="12"/>
      <c r="AV43" s="2" t="s">
        <v>164</v>
      </c>
    </row>
    <row r="44" customFormat="false" ht="60" hidden="false" customHeight="true" outlineLevel="0" collapsed="false">
      <c r="A44" s="6" t="n">
        <v>39</v>
      </c>
      <c r="B44" s="6" t="s">
        <v>304</v>
      </c>
      <c r="C44" s="6" t="s">
        <v>353</v>
      </c>
      <c r="D44" s="6" t="s">
        <v>354</v>
      </c>
      <c r="E44" s="6" t="s">
        <v>355</v>
      </c>
      <c r="F44" s="6" t="s">
        <v>356</v>
      </c>
      <c r="G44" s="6" t="n">
        <v>45</v>
      </c>
      <c r="H44" s="6" t="s">
        <v>133</v>
      </c>
      <c r="I44" s="7" t="n">
        <v>92</v>
      </c>
      <c r="J44" s="7" t="s">
        <v>237</v>
      </c>
      <c r="K44" s="7"/>
      <c r="L44" s="8"/>
      <c r="M44" s="6" t="str">
        <f aca="false">IF(L44="","",TEXT(L44,"ddd"))</f>
        <v/>
      </c>
      <c r="N44" s="7"/>
      <c r="O44" s="7"/>
      <c r="P44" s="7"/>
      <c r="Q44" s="7"/>
      <c r="R44" s="7"/>
      <c r="S44" s="9"/>
      <c r="T44" s="7"/>
      <c r="U44" s="10" t="str">
        <f aca="false">IF(OR(T44="",N(O44)=0),"",T44/O44)</f>
        <v/>
      </c>
      <c r="V44" s="7"/>
      <c r="W44" s="7"/>
      <c r="X44" s="7"/>
      <c r="Y44" s="9"/>
      <c r="Z44" s="7"/>
      <c r="AA44" s="9"/>
      <c r="AB44" s="7"/>
      <c r="AC44" s="11" t="str">
        <f aca="false">IF(COUNT(S44,Y44,AA44)=0,"",SUM(S44,Y44,AA44))</f>
        <v/>
      </c>
      <c r="AD44" s="10" t="str">
        <f aca="false">IF(N(AC44)=0,"",SUM(V44,W44,X44,Z44,AB44)/AC44)</f>
        <v/>
      </c>
      <c r="AE44" s="9"/>
      <c r="AF44" s="9"/>
      <c r="AG44" s="9"/>
      <c r="AH44" s="11" t="str">
        <f aca="false">IF(COUNT(AE44,AF44,AG44)=0,"",SUM(AE44,AF44,AG44))</f>
        <v/>
      </c>
      <c r="AI44" s="9"/>
      <c r="AJ44" s="9"/>
      <c r="AK44" s="9"/>
      <c r="AL44" s="11" t="str">
        <f aca="false">IF(COUNT(AI44,AJ44,AK44)=0,"",SUM(AI44,AJ44,AK44))</f>
        <v/>
      </c>
      <c r="AM44" s="6" t="str">
        <f aca="false">IF(N(AC44)=0,"",IF(COUNT($AC$6:$AC$105)&lt;5,"Too early",IF(AC44&gt;=1.5*MEDIAN($AC$6:$AC$105),"Top",IF(AC44&lt;=0.5*MEDIAN($AC$6:$AC$105),"Low","Average"))))</f>
        <v/>
      </c>
      <c r="AN44" s="7"/>
      <c r="AO44" s="7" t="s">
        <v>299</v>
      </c>
      <c r="AP44" s="12"/>
      <c r="AQ44" s="12"/>
      <c r="AR44" s="12"/>
      <c r="AS44" s="12"/>
      <c r="AT44" s="12"/>
      <c r="AU44" s="12"/>
      <c r="AV44" s="2" t="s">
        <v>96</v>
      </c>
    </row>
    <row r="45" customFormat="false" ht="60" hidden="false" customHeight="true" outlineLevel="0" collapsed="false">
      <c r="A45" s="6" t="n">
        <v>40</v>
      </c>
      <c r="B45" s="6" t="s">
        <v>304</v>
      </c>
      <c r="C45" s="6" t="s">
        <v>357</v>
      </c>
      <c r="D45" s="6" t="s">
        <v>358</v>
      </c>
      <c r="E45" s="6" t="s">
        <v>359</v>
      </c>
      <c r="F45" s="6" t="s">
        <v>360</v>
      </c>
      <c r="G45" s="6" t="n">
        <v>45</v>
      </c>
      <c r="H45" s="6" t="s">
        <v>133</v>
      </c>
      <c r="I45" s="7" t="n">
        <v>95</v>
      </c>
      <c r="J45" s="7" t="s">
        <v>237</v>
      </c>
      <c r="K45" s="7"/>
      <c r="L45" s="8"/>
      <c r="M45" s="6" t="str">
        <f aca="false">IF(L45="","",TEXT(L45,"ddd"))</f>
        <v/>
      </c>
      <c r="N45" s="7"/>
      <c r="O45" s="7"/>
      <c r="P45" s="7"/>
      <c r="Q45" s="7"/>
      <c r="R45" s="7"/>
      <c r="S45" s="9"/>
      <c r="T45" s="7"/>
      <c r="U45" s="10" t="str">
        <f aca="false">IF(OR(T45="",N(O45)=0),"",T45/O45)</f>
        <v/>
      </c>
      <c r="V45" s="7"/>
      <c r="W45" s="7"/>
      <c r="X45" s="7"/>
      <c r="Y45" s="9"/>
      <c r="Z45" s="7"/>
      <c r="AA45" s="9"/>
      <c r="AB45" s="7"/>
      <c r="AC45" s="11" t="str">
        <f aca="false">IF(COUNT(S45,Y45,AA45)=0,"",SUM(S45,Y45,AA45))</f>
        <v/>
      </c>
      <c r="AD45" s="10" t="str">
        <f aca="false">IF(N(AC45)=0,"",SUM(V45,W45,X45,Z45,AB45)/AC45)</f>
        <v/>
      </c>
      <c r="AE45" s="9"/>
      <c r="AF45" s="9"/>
      <c r="AG45" s="9"/>
      <c r="AH45" s="11" t="str">
        <f aca="false">IF(COUNT(AE45,AF45,AG45)=0,"",SUM(AE45,AF45,AG45))</f>
        <v/>
      </c>
      <c r="AI45" s="9"/>
      <c r="AJ45" s="9"/>
      <c r="AK45" s="9"/>
      <c r="AL45" s="11" t="str">
        <f aca="false">IF(COUNT(AI45,AJ45,AK45)=0,"",SUM(AI45,AJ45,AK45))</f>
        <v/>
      </c>
      <c r="AM45" s="6" t="str">
        <f aca="false">IF(N(AC45)=0,"",IF(COUNT($AC$6:$AC$105)&lt;5,"Too early",IF(AC45&gt;=1.5*MEDIAN($AC$6:$AC$105),"Top",IF(AC45&lt;=0.5*MEDIAN($AC$6:$AC$105),"Low","Average"))))</f>
        <v/>
      </c>
      <c r="AN45" s="7"/>
      <c r="AO45" s="7" t="s">
        <v>217</v>
      </c>
      <c r="AP45" s="12"/>
      <c r="AQ45" s="12"/>
      <c r="AR45" s="12"/>
      <c r="AS45" s="12"/>
      <c r="AT45" s="12"/>
      <c r="AU45" s="12"/>
      <c r="AV45" s="2" t="s">
        <v>96</v>
      </c>
    </row>
    <row r="46" customFormat="false" ht="60" hidden="false" customHeight="true" outlineLevel="0" collapsed="false">
      <c r="A46" s="6" t="n">
        <v>41</v>
      </c>
      <c r="B46" s="6" t="s">
        <v>361</v>
      </c>
      <c r="C46" s="6" t="s">
        <v>362</v>
      </c>
      <c r="D46" s="6" t="s">
        <v>363</v>
      </c>
      <c r="E46" s="6" t="s">
        <v>364</v>
      </c>
      <c r="F46" s="6" t="s">
        <v>365</v>
      </c>
      <c r="G46" s="6" t="n">
        <v>45</v>
      </c>
      <c r="H46" s="6" t="s">
        <v>133</v>
      </c>
      <c r="I46" s="7" t="n">
        <v>74</v>
      </c>
      <c r="J46" s="7" t="s">
        <v>237</v>
      </c>
      <c r="K46" s="7"/>
      <c r="L46" s="8"/>
      <c r="M46" s="6" t="str">
        <f aca="false">IF(L46="","",TEXT(L46,"ddd"))</f>
        <v/>
      </c>
      <c r="N46" s="7"/>
      <c r="O46" s="7"/>
      <c r="P46" s="7"/>
      <c r="Q46" s="7"/>
      <c r="R46" s="7"/>
      <c r="S46" s="9"/>
      <c r="T46" s="7"/>
      <c r="U46" s="10" t="str">
        <f aca="false">IF(OR(T46="",N(O46)=0),"",T46/O46)</f>
        <v/>
      </c>
      <c r="V46" s="7"/>
      <c r="W46" s="7"/>
      <c r="X46" s="7"/>
      <c r="Y46" s="9"/>
      <c r="Z46" s="7"/>
      <c r="AA46" s="9"/>
      <c r="AB46" s="7"/>
      <c r="AC46" s="11" t="str">
        <f aca="false">IF(COUNT(S46,Y46,AA46)=0,"",SUM(S46,Y46,AA46))</f>
        <v/>
      </c>
      <c r="AD46" s="10" t="str">
        <f aca="false">IF(N(AC46)=0,"",SUM(V46,W46,X46,Z46,AB46)/AC46)</f>
        <v/>
      </c>
      <c r="AE46" s="9"/>
      <c r="AF46" s="9"/>
      <c r="AG46" s="9"/>
      <c r="AH46" s="11" t="str">
        <f aca="false">IF(COUNT(AE46,AF46,AG46)=0,"",SUM(AE46,AF46,AG46))</f>
        <v/>
      </c>
      <c r="AI46" s="9"/>
      <c r="AJ46" s="9"/>
      <c r="AK46" s="9"/>
      <c r="AL46" s="11" t="str">
        <f aca="false">IF(COUNT(AI46,AJ46,AK46)=0,"",SUM(AI46,AJ46,AK46))</f>
        <v/>
      </c>
      <c r="AM46" s="6" t="str">
        <f aca="false">IF(N(AC46)=0,"",IF(COUNT($AC$6:$AC$105)&lt;5,"Too early",IF(AC46&gt;=1.5*MEDIAN($AC$6:$AC$105),"Top",IF(AC46&lt;=0.5*MEDIAN($AC$6:$AC$105),"Low","Average"))))</f>
        <v/>
      </c>
      <c r="AN46" s="7"/>
      <c r="AO46" s="7" t="s">
        <v>208</v>
      </c>
      <c r="AP46" s="12"/>
      <c r="AQ46" s="12"/>
      <c r="AR46" s="12"/>
      <c r="AS46" s="12"/>
      <c r="AT46" s="12"/>
      <c r="AU46" s="12"/>
      <c r="AV46" s="2" t="s">
        <v>96</v>
      </c>
    </row>
    <row r="47" customFormat="false" ht="60" hidden="false" customHeight="true" outlineLevel="0" collapsed="false">
      <c r="A47" s="6" t="n">
        <v>42</v>
      </c>
      <c r="B47" s="6" t="s">
        <v>361</v>
      </c>
      <c r="C47" s="6" t="s">
        <v>366</v>
      </c>
      <c r="D47" s="6" t="s">
        <v>367</v>
      </c>
      <c r="E47" s="6" t="s">
        <v>368</v>
      </c>
      <c r="F47" s="6" t="s">
        <v>369</v>
      </c>
      <c r="G47" s="6" t="n">
        <v>45</v>
      </c>
      <c r="H47" s="6" t="s">
        <v>90</v>
      </c>
      <c r="I47" s="7" t="n">
        <v>5</v>
      </c>
      <c r="J47" s="7" t="s">
        <v>64</v>
      </c>
      <c r="K47" s="7" t="s">
        <v>370</v>
      </c>
      <c r="L47" s="8" t="n">
        <v>46309</v>
      </c>
      <c r="M47" s="6" t="str">
        <f aca="false">IF(L47="","",TEXT(L47,"ddd"))</f>
        <v>Wed</v>
      </c>
      <c r="N47" s="7" t="s">
        <v>79</v>
      </c>
      <c r="O47" s="7" t="n">
        <v>46</v>
      </c>
      <c r="P47" s="7" t="s">
        <v>371</v>
      </c>
      <c r="Q47" s="7" t="s">
        <v>372</v>
      </c>
      <c r="R47" s="7" t="s">
        <v>373</v>
      </c>
      <c r="S47" s="9"/>
      <c r="T47" s="7"/>
      <c r="U47" s="10" t="str">
        <f aca="false">IF(OR(T47="",N(O47)=0),"",T47/O47)</f>
        <v/>
      </c>
      <c r="V47" s="7"/>
      <c r="W47" s="7"/>
      <c r="X47" s="7"/>
      <c r="Y47" s="9"/>
      <c r="Z47" s="7"/>
      <c r="AA47" s="9"/>
      <c r="AB47" s="7"/>
      <c r="AC47" s="11" t="str">
        <f aca="false">IF(COUNT(S47,Y47,AA47)=0,"",SUM(S47,Y47,AA47))</f>
        <v/>
      </c>
      <c r="AD47" s="10" t="str">
        <f aca="false">IF(N(AC47)=0,"",SUM(V47,W47,X47,Z47,AB47)/AC47)</f>
        <v/>
      </c>
      <c r="AE47" s="9"/>
      <c r="AF47" s="9"/>
      <c r="AG47" s="9"/>
      <c r="AH47" s="11" t="str">
        <f aca="false">IF(COUNT(AE47,AF47,AG47)=0,"",SUM(AE47,AF47,AG47))</f>
        <v/>
      </c>
      <c r="AI47" s="9"/>
      <c r="AJ47" s="9"/>
      <c r="AK47" s="9"/>
      <c r="AL47" s="11" t="str">
        <f aca="false">IF(COUNT(AI47,AJ47,AK47)=0,"",SUM(AI47,AJ47,AK47))</f>
        <v/>
      </c>
      <c r="AM47" s="6" t="str">
        <f aca="false">IF(N(AC47)=0,"",IF(COUNT($AC$6:$AC$105)&lt;5,"Too early",IF(AC47&gt;=1.5*MEDIAN($AC$6:$AC$105),"Top",IF(AC47&lt;=0.5*MEDIAN($AC$6:$AC$105),"Low","Average"))))</f>
        <v/>
      </c>
      <c r="AN47" s="7"/>
      <c r="AO47" s="7" t="s">
        <v>286</v>
      </c>
      <c r="AP47" s="12"/>
      <c r="AQ47" s="12"/>
      <c r="AR47" s="12"/>
      <c r="AS47" s="12"/>
      <c r="AT47" s="12"/>
      <c r="AU47" s="12"/>
      <c r="AV47" s="2" t="s">
        <v>72</v>
      </c>
    </row>
    <row r="48" customFormat="false" ht="60" hidden="false" customHeight="true" outlineLevel="0" collapsed="false">
      <c r="A48" s="6" t="n">
        <v>43</v>
      </c>
      <c r="B48" s="6" t="s">
        <v>361</v>
      </c>
      <c r="C48" s="6" t="s">
        <v>374</v>
      </c>
      <c r="D48" s="6" t="s">
        <v>375</v>
      </c>
      <c r="E48" s="6" t="s">
        <v>376</v>
      </c>
      <c r="F48" s="6" t="s">
        <v>377</v>
      </c>
      <c r="G48" s="6" t="n">
        <v>45</v>
      </c>
      <c r="H48" s="6" t="s">
        <v>90</v>
      </c>
      <c r="I48" s="7" t="n">
        <v>15</v>
      </c>
      <c r="J48" s="7" t="s">
        <v>64</v>
      </c>
      <c r="K48" s="7" t="s">
        <v>378</v>
      </c>
      <c r="L48" s="8" t="n">
        <v>46309</v>
      </c>
      <c r="M48" s="6" t="str">
        <f aca="false">IF(L48="","",TEXT(L48,"ddd"))</f>
        <v>Wed</v>
      </c>
      <c r="N48" s="7"/>
      <c r="O48" s="7" t="n">
        <v>27</v>
      </c>
      <c r="P48" s="7" t="s">
        <v>379</v>
      </c>
      <c r="Q48" s="7" t="s">
        <v>380</v>
      </c>
      <c r="R48" s="7" t="s">
        <v>381</v>
      </c>
      <c r="S48" s="9"/>
      <c r="T48" s="7"/>
      <c r="U48" s="10" t="str">
        <f aca="false">IF(OR(T48="",N(O48)=0),"",T48/O48)</f>
        <v/>
      </c>
      <c r="V48" s="7"/>
      <c r="W48" s="7"/>
      <c r="X48" s="7"/>
      <c r="Y48" s="9"/>
      <c r="Z48" s="7"/>
      <c r="AA48" s="9"/>
      <c r="AB48" s="7"/>
      <c r="AC48" s="11" t="str">
        <f aca="false">IF(COUNT(S48,Y48,AA48)=0,"",SUM(S48,Y48,AA48))</f>
        <v/>
      </c>
      <c r="AD48" s="10" t="str">
        <f aca="false">IF(N(AC48)=0,"",SUM(V48,W48,X48,Z48,AB48)/AC48)</f>
        <v/>
      </c>
      <c r="AE48" s="9"/>
      <c r="AF48" s="9"/>
      <c r="AG48" s="9"/>
      <c r="AH48" s="11" t="str">
        <f aca="false">IF(COUNT(AE48,AF48,AG48)=0,"",SUM(AE48,AF48,AG48))</f>
        <v/>
      </c>
      <c r="AI48" s="9"/>
      <c r="AJ48" s="9"/>
      <c r="AK48" s="9"/>
      <c r="AL48" s="11" t="str">
        <f aca="false">IF(COUNT(AI48,AJ48,AK48)=0,"",SUM(AI48,AJ48,AK48))</f>
        <v/>
      </c>
      <c r="AM48" s="6" t="str">
        <f aca="false">IF(N(AC48)=0,"",IF(COUNT($AC$6:$AC$105)&lt;5,"Too early",IF(AC48&gt;=1.5*MEDIAN($AC$6:$AC$105),"Top",IF(AC48&lt;=0.5*MEDIAN($AC$6:$AC$105),"Low","Average"))))</f>
        <v/>
      </c>
      <c r="AN48" s="7"/>
      <c r="AO48" s="7" t="s">
        <v>382</v>
      </c>
      <c r="AP48" s="12"/>
      <c r="AQ48" s="12"/>
      <c r="AR48" s="12"/>
      <c r="AS48" s="12"/>
      <c r="AT48" s="12"/>
      <c r="AU48" s="12"/>
      <c r="AV48" s="2" t="s">
        <v>96</v>
      </c>
    </row>
    <row r="49" customFormat="false" ht="60" hidden="false" customHeight="true" outlineLevel="0" collapsed="false">
      <c r="A49" s="6" t="n">
        <v>44</v>
      </c>
      <c r="B49" s="6" t="s">
        <v>361</v>
      </c>
      <c r="C49" s="6" t="s">
        <v>383</v>
      </c>
      <c r="D49" s="6" t="s">
        <v>384</v>
      </c>
      <c r="E49" s="6" t="s">
        <v>385</v>
      </c>
      <c r="F49" s="6" t="s">
        <v>386</v>
      </c>
      <c r="G49" s="6" t="n">
        <v>45</v>
      </c>
      <c r="H49" s="6" t="s">
        <v>133</v>
      </c>
      <c r="I49" s="7" t="n">
        <v>81</v>
      </c>
      <c r="J49" s="7" t="s">
        <v>237</v>
      </c>
      <c r="K49" s="7"/>
      <c r="L49" s="8"/>
      <c r="M49" s="6" t="str">
        <f aca="false">IF(L49="","",TEXT(L49,"ddd"))</f>
        <v/>
      </c>
      <c r="N49" s="7"/>
      <c r="O49" s="7"/>
      <c r="P49" s="7"/>
      <c r="Q49" s="7"/>
      <c r="R49" s="7"/>
      <c r="S49" s="9"/>
      <c r="T49" s="7"/>
      <c r="U49" s="10" t="str">
        <f aca="false">IF(OR(T49="",N(O49)=0),"",T49/O49)</f>
        <v/>
      </c>
      <c r="V49" s="7"/>
      <c r="W49" s="7"/>
      <c r="X49" s="7"/>
      <c r="Y49" s="9"/>
      <c r="Z49" s="7"/>
      <c r="AA49" s="9"/>
      <c r="AB49" s="7"/>
      <c r="AC49" s="11" t="str">
        <f aca="false">IF(COUNT(S49,Y49,AA49)=0,"",SUM(S49,Y49,AA49))</f>
        <v/>
      </c>
      <c r="AD49" s="10" t="str">
        <f aca="false">IF(N(AC49)=0,"",SUM(V49,W49,X49,Z49,AB49)/AC49)</f>
        <v/>
      </c>
      <c r="AE49" s="9"/>
      <c r="AF49" s="9"/>
      <c r="AG49" s="9"/>
      <c r="AH49" s="11" t="str">
        <f aca="false">IF(COUNT(AE49,AF49,AG49)=0,"",SUM(AE49,AF49,AG49))</f>
        <v/>
      </c>
      <c r="AI49" s="9"/>
      <c r="AJ49" s="9"/>
      <c r="AK49" s="9"/>
      <c r="AL49" s="11" t="str">
        <f aca="false">IF(COUNT(AI49,AJ49,AK49)=0,"",SUM(AI49,AJ49,AK49))</f>
        <v/>
      </c>
      <c r="AM49" s="6" t="str">
        <f aca="false">IF(N(AC49)=0,"",IF(COUNT($AC$6:$AC$105)&lt;5,"Too early",IF(AC49&gt;=1.5*MEDIAN($AC$6:$AC$105),"Top",IF(AC49&lt;=0.5*MEDIAN($AC$6:$AC$105),"Low","Average"))))</f>
        <v/>
      </c>
      <c r="AN49" s="7"/>
      <c r="AO49" s="7" t="s">
        <v>208</v>
      </c>
      <c r="AP49" s="12"/>
      <c r="AQ49" s="12"/>
      <c r="AR49" s="12"/>
      <c r="AS49" s="12"/>
      <c r="AT49" s="12"/>
      <c r="AU49" s="12"/>
      <c r="AV49" s="2" t="s">
        <v>72</v>
      </c>
    </row>
    <row r="50" customFormat="false" ht="60" hidden="false" customHeight="true" outlineLevel="0" collapsed="false">
      <c r="A50" s="6" t="n">
        <v>45</v>
      </c>
      <c r="B50" s="6" t="s">
        <v>361</v>
      </c>
      <c r="C50" s="6" t="s">
        <v>387</v>
      </c>
      <c r="D50" s="6" t="s">
        <v>388</v>
      </c>
      <c r="E50" s="6" t="s">
        <v>389</v>
      </c>
      <c r="F50" s="6" t="s">
        <v>390</v>
      </c>
      <c r="G50" s="6" t="n">
        <v>45</v>
      </c>
      <c r="H50" s="6" t="s">
        <v>133</v>
      </c>
      <c r="I50" s="7" t="n">
        <v>86</v>
      </c>
      <c r="J50" s="7" t="s">
        <v>237</v>
      </c>
      <c r="K50" s="7"/>
      <c r="L50" s="8"/>
      <c r="M50" s="6" t="str">
        <f aca="false">IF(L50="","",TEXT(L50,"ddd"))</f>
        <v/>
      </c>
      <c r="N50" s="7"/>
      <c r="O50" s="7"/>
      <c r="P50" s="7"/>
      <c r="Q50" s="7"/>
      <c r="R50" s="7"/>
      <c r="S50" s="9"/>
      <c r="T50" s="7"/>
      <c r="U50" s="10" t="str">
        <f aca="false">IF(OR(T50="",N(O50)=0),"",T50/O50)</f>
        <v/>
      </c>
      <c r="V50" s="7"/>
      <c r="W50" s="7"/>
      <c r="X50" s="7"/>
      <c r="Y50" s="9"/>
      <c r="Z50" s="7"/>
      <c r="AA50" s="9"/>
      <c r="AB50" s="7"/>
      <c r="AC50" s="11" t="str">
        <f aca="false">IF(COUNT(S50,Y50,AA50)=0,"",SUM(S50,Y50,AA50))</f>
        <v/>
      </c>
      <c r="AD50" s="10" t="str">
        <f aca="false">IF(N(AC50)=0,"",SUM(V50,W50,X50,Z50,AB50)/AC50)</f>
        <v/>
      </c>
      <c r="AE50" s="9"/>
      <c r="AF50" s="9"/>
      <c r="AG50" s="9"/>
      <c r="AH50" s="11" t="str">
        <f aca="false">IF(COUNT(AE50,AF50,AG50)=0,"",SUM(AE50,AF50,AG50))</f>
        <v/>
      </c>
      <c r="AI50" s="9"/>
      <c r="AJ50" s="9"/>
      <c r="AK50" s="9"/>
      <c r="AL50" s="11" t="str">
        <f aca="false">IF(COUNT(AI50,AJ50,AK50)=0,"",SUM(AI50,AJ50,AK50))</f>
        <v/>
      </c>
      <c r="AM50" s="6" t="str">
        <f aca="false">IF(N(AC50)=0,"",IF(COUNT($AC$6:$AC$105)&lt;5,"Too early",IF(AC50&gt;=1.5*MEDIAN($AC$6:$AC$105),"Top",IF(AC50&lt;=0.5*MEDIAN($AC$6:$AC$105),"Low","Average"))))</f>
        <v/>
      </c>
      <c r="AN50" s="7"/>
      <c r="AO50" s="7" t="s">
        <v>286</v>
      </c>
      <c r="AP50" s="12"/>
      <c r="AQ50" s="12"/>
      <c r="AR50" s="12"/>
      <c r="AS50" s="12"/>
      <c r="AT50" s="12"/>
      <c r="AU50" s="12"/>
      <c r="AV50" s="2" t="s">
        <v>72</v>
      </c>
    </row>
    <row r="51" customFormat="false" ht="60" hidden="false" customHeight="true" outlineLevel="0" collapsed="false">
      <c r="A51" s="6" t="n">
        <v>46</v>
      </c>
      <c r="B51" s="6" t="s">
        <v>361</v>
      </c>
      <c r="C51" s="6" t="s">
        <v>391</v>
      </c>
      <c r="D51" s="6" t="s">
        <v>392</v>
      </c>
      <c r="E51" s="6" t="s">
        <v>393</v>
      </c>
      <c r="F51" s="6" t="s">
        <v>394</v>
      </c>
      <c r="G51" s="6" t="n">
        <v>45</v>
      </c>
      <c r="H51" s="6" t="s">
        <v>133</v>
      </c>
      <c r="I51" s="7" t="n">
        <v>90</v>
      </c>
      <c r="J51" s="7" t="s">
        <v>237</v>
      </c>
      <c r="K51" s="7"/>
      <c r="L51" s="8"/>
      <c r="M51" s="6" t="str">
        <f aca="false">IF(L51="","",TEXT(L51,"ddd"))</f>
        <v/>
      </c>
      <c r="N51" s="7"/>
      <c r="O51" s="7"/>
      <c r="P51" s="7"/>
      <c r="Q51" s="7"/>
      <c r="R51" s="7"/>
      <c r="S51" s="9"/>
      <c r="T51" s="7"/>
      <c r="U51" s="10" t="str">
        <f aca="false">IF(OR(T51="",N(O51)=0),"",T51/O51)</f>
        <v/>
      </c>
      <c r="V51" s="7"/>
      <c r="W51" s="7"/>
      <c r="X51" s="7"/>
      <c r="Y51" s="9"/>
      <c r="Z51" s="7"/>
      <c r="AA51" s="9"/>
      <c r="AB51" s="7"/>
      <c r="AC51" s="11" t="str">
        <f aca="false">IF(COUNT(S51,Y51,AA51)=0,"",SUM(S51,Y51,AA51))</f>
        <v/>
      </c>
      <c r="AD51" s="10" t="str">
        <f aca="false">IF(N(AC51)=0,"",SUM(V51,W51,X51,Z51,AB51)/AC51)</f>
        <v/>
      </c>
      <c r="AE51" s="9"/>
      <c r="AF51" s="9"/>
      <c r="AG51" s="9"/>
      <c r="AH51" s="11" t="str">
        <f aca="false">IF(COUNT(AE51,AF51,AG51)=0,"",SUM(AE51,AF51,AG51))</f>
        <v/>
      </c>
      <c r="AI51" s="9"/>
      <c r="AJ51" s="9"/>
      <c r="AK51" s="9"/>
      <c r="AL51" s="11" t="str">
        <f aca="false">IF(COUNT(AI51,AJ51,AK51)=0,"",SUM(AI51,AJ51,AK51))</f>
        <v/>
      </c>
      <c r="AM51" s="6" t="str">
        <f aca="false">IF(N(AC51)=0,"",IF(COUNT($AC$6:$AC$105)&lt;5,"Too early",IF(AC51&gt;=1.5*MEDIAN($AC$6:$AC$105),"Top",IF(AC51&lt;=0.5*MEDIAN($AC$6:$AC$105),"Low","Average"))))</f>
        <v/>
      </c>
      <c r="AN51" s="7"/>
      <c r="AO51" s="7" t="s">
        <v>173</v>
      </c>
      <c r="AP51" s="12"/>
      <c r="AQ51" s="12"/>
      <c r="AR51" s="12"/>
      <c r="AS51" s="12"/>
      <c r="AT51" s="12"/>
      <c r="AU51" s="12"/>
      <c r="AV51" s="2" t="s">
        <v>317</v>
      </c>
    </row>
    <row r="52" customFormat="false" ht="60" hidden="false" customHeight="true" outlineLevel="0" collapsed="false">
      <c r="A52" s="6" t="n">
        <v>47</v>
      </c>
      <c r="B52" s="6" t="s">
        <v>361</v>
      </c>
      <c r="C52" s="6" t="s">
        <v>395</v>
      </c>
      <c r="D52" s="6" t="s">
        <v>396</v>
      </c>
      <c r="E52" s="6" t="s">
        <v>397</v>
      </c>
      <c r="F52" s="6" t="s">
        <v>398</v>
      </c>
      <c r="G52" s="6" t="n">
        <v>45</v>
      </c>
      <c r="H52" s="6" t="s">
        <v>90</v>
      </c>
      <c r="I52" s="7" t="n">
        <v>25</v>
      </c>
      <c r="J52" s="7" t="s">
        <v>64</v>
      </c>
      <c r="K52" s="7" t="s">
        <v>399</v>
      </c>
      <c r="L52" s="8" t="n">
        <v>46313</v>
      </c>
      <c r="M52" s="6" t="str">
        <f aca="false">IF(L52="","",TEXT(L52,"ddd"))</f>
        <v>Sun</v>
      </c>
      <c r="N52" s="7"/>
      <c r="O52" s="7" t="n">
        <v>38</v>
      </c>
      <c r="P52" s="7" t="s">
        <v>400</v>
      </c>
      <c r="Q52" s="7" t="s">
        <v>401</v>
      </c>
      <c r="R52" s="7" t="s">
        <v>402</v>
      </c>
      <c r="S52" s="9"/>
      <c r="T52" s="7"/>
      <c r="U52" s="10" t="str">
        <f aca="false">IF(OR(T52="",N(O52)=0),"",T52/O52)</f>
        <v/>
      </c>
      <c r="V52" s="7"/>
      <c r="W52" s="7"/>
      <c r="X52" s="7"/>
      <c r="Y52" s="9"/>
      <c r="Z52" s="7"/>
      <c r="AA52" s="9"/>
      <c r="AB52" s="7"/>
      <c r="AC52" s="11" t="str">
        <f aca="false">IF(COUNT(S52,Y52,AA52)=0,"",SUM(S52,Y52,AA52))</f>
        <v/>
      </c>
      <c r="AD52" s="10" t="str">
        <f aca="false">IF(N(AC52)=0,"",SUM(V52,W52,X52,Z52,AB52)/AC52)</f>
        <v/>
      </c>
      <c r="AE52" s="9"/>
      <c r="AF52" s="9"/>
      <c r="AG52" s="9"/>
      <c r="AH52" s="11" t="str">
        <f aca="false">IF(COUNT(AE52,AF52,AG52)=0,"",SUM(AE52,AF52,AG52))</f>
        <v/>
      </c>
      <c r="AI52" s="9"/>
      <c r="AJ52" s="9"/>
      <c r="AK52" s="9"/>
      <c r="AL52" s="11" t="str">
        <f aca="false">IF(COUNT(AI52,AJ52,AK52)=0,"",SUM(AI52,AJ52,AK52))</f>
        <v/>
      </c>
      <c r="AM52" s="6" t="str">
        <f aca="false">IF(N(AC52)=0,"",IF(COUNT($AC$6:$AC$105)&lt;5,"Too early",IF(AC52&gt;=1.5*MEDIAN($AC$6:$AC$105),"Top",IF(AC52&lt;=0.5*MEDIAN($AC$6:$AC$105),"Low","Average"))))</f>
        <v/>
      </c>
      <c r="AN52" s="7"/>
      <c r="AO52" s="7" t="s">
        <v>95</v>
      </c>
      <c r="AP52" s="12"/>
      <c r="AQ52" s="12"/>
      <c r="AR52" s="12"/>
      <c r="AS52" s="12"/>
      <c r="AT52" s="12"/>
      <c r="AU52" s="12"/>
      <c r="AV52" s="2" t="s">
        <v>96</v>
      </c>
    </row>
    <row r="53" customFormat="false" ht="60" hidden="false" customHeight="true" outlineLevel="0" collapsed="false">
      <c r="A53" s="6" t="n">
        <v>48</v>
      </c>
      <c r="B53" s="6" t="s">
        <v>361</v>
      </c>
      <c r="C53" s="6" t="s">
        <v>403</v>
      </c>
      <c r="D53" s="6" t="s">
        <v>404</v>
      </c>
      <c r="E53" s="6" t="s">
        <v>405</v>
      </c>
      <c r="F53" s="6" t="s">
        <v>406</v>
      </c>
      <c r="G53" s="6" t="n">
        <v>45</v>
      </c>
      <c r="H53" s="6" t="s">
        <v>133</v>
      </c>
      <c r="I53" s="7" t="n">
        <v>93</v>
      </c>
      <c r="J53" s="7" t="s">
        <v>237</v>
      </c>
      <c r="K53" s="7"/>
      <c r="L53" s="8"/>
      <c r="M53" s="6" t="str">
        <f aca="false">IF(L53="","",TEXT(L53,"ddd"))</f>
        <v/>
      </c>
      <c r="N53" s="7"/>
      <c r="O53" s="7"/>
      <c r="P53" s="7"/>
      <c r="Q53" s="7"/>
      <c r="R53" s="7"/>
      <c r="S53" s="9"/>
      <c r="T53" s="7"/>
      <c r="U53" s="10" t="str">
        <f aca="false">IF(OR(T53="",N(O53)=0),"",T53/O53)</f>
        <v/>
      </c>
      <c r="V53" s="7"/>
      <c r="W53" s="7"/>
      <c r="X53" s="7"/>
      <c r="Y53" s="9"/>
      <c r="Z53" s="7"/>
      <c r="AA53" s="9"/>
      <c r="AB53" s="7"/>
      <c r="AC53" s="11" t="str">
        <f aca="false">IF(COUNT(S53,Y53,AA53)=0,"",SUM(S53,Y53,AA53))</f>
        <v/>
      </c>
      <c r="AD53" s="10" t="str">
        <f aca="false">IF(N(AC53)=0,"",SUM(V53,W53,X53,Z53,AB53)/AC53)</f>
        <v/>
      </c>
      <c r="AE53" s="9"/>
      <c r="AF53" s="9"/>
      <c r="AG53" s="9"/>
      <c r="AH53" s="11" t="str">
        <f aca="false">IF(COUNT(AE53,AF53,AG53)=0,"",SUM(AE53,AF53,AG53))</f>
        <v/>
      </c>
      <c r="AI53" s="9"/>
      <c r="AJ53" s="9"/>
      <c r="AK53" s="9"/>
      <c r="AL53" s="11" t="str">
        <f aca="false">IF(COUNT(AI53,AJ53,AK53)=0,"",SUM(AI53,AJ53,AK53))</f>
        <v/>
      </c>
      <c r="AM53" s="6" t="str">
        <f aca="false">IF(N(AC53)=0,"",IF(COUNT($AC$6:$AC$105)&lt;5,"Too early",IF(AC53&gt;=1.5*MEDIAN($AC$6:$AC$105),"Top",IF(AC53&lt;=0.5*MEDIAN($AC$6:$AC$105),"Low","Average"))))</f>
        <v/>
      </c>
      <c r="AN53" s="7"/>
      <c r="AO53" s="7" t="s">
        <v>208</v>
      </c>
      <c r="AP53" s="12"/>
      <c r="AQ53" s="12"/>
      <c r="AR53" s="12"/>
      <c r="AS53" s="12"/>
      <c r="AT53" s="12"/>
      <c r="AU53" s="12"/>
      <c r="AV53" s="2" t="s">
        <v>96</v>
      </c>
    </row>
    <row r="54" customFormat="false" ht="60" hidden="false" customHeight="true" outlineLevel="0" collapsed="false">
      <c r="A54" s="6" t="n">
        <v>49</v>
      </c>
      <c r="B54" s="6" t="s">
        <v>361</v>
      </c>
      <c r="C54" s="6" t="s">
        <v>407</v>
      </c>
      <c r="D54" s="6" t="s">
        <v>408</v>
      </c>
      <c r="E54" s="6" t="s">
        <v>409</v>
      </c>
      <c r="F54" s="6" t="s">
        <v>410</v>
      </c>
      <c r="G54" s="6" t="n">
        <v>45</v>
      </c>
      <c r="H54" s="6" t="s">
        <v>133</v>
      </c>
      <c r="I54" s="7" t="n">
        <v>96</v>
      </c>
      <c r="J54" s="7" t="s">
        <v>237</v>
      </c>
      <c r="K54" s="7"/>
      <c r="L54" s="8"/>
      <c r="M54" s="6" t="str">
        <f aca="false">IF(L54="","",TEXT(L54,"ddd"))</f>
        <v/>
      </c>
      <c r="N54" s="7"/>
      <c r="O54" s="7"/>
      <c r="P54" s="7"/>
      <c r="Q54" s="7"/>
      <c r="R54" s="7"/>
      <c r="S54" s="9"/>
      <c r="T54" s="7"/>
      <c r="U54" s="10" t="str">
        <f aca="false">IF(OR(T54="",N(O54)=0),"",T54/O54)</f>
        <v/>
      </c>
      <c r="V54" s="7"/>
      <c r="W54" s="7"/>
      <c r="X54" s="7"/>
      <c r="Y54" s="9"/>
      <c r="Z54" s="7"/>
      <c r="AA54" s="9"/>
      <c r="AB54" s="7"/>
      <c r="AC54" s="11" t="str">
        <f aca="false">IF(COUNT(S54,Y54,AA54)=0,"",SUM(S54,Y54,AA54))</f>
        <v/>
      </c>
      <c r="AD54" s="10" t="str">
        <f aca="false">IF(N(AC54)=0,"",SUM(V54,W54,X54,Z54,AB54)/AC54)</f>
        <v/>
      </c>
      <c r="AE54" s="9"/>
      <c r="AF54" s="9"/>
      <c r="AG54" s="9"/>
      <c r="AH54" s="11" t="str">
        <f aca="false">IF(COUNT(AE54,AF54,AG54)=0,"",SUM(AE54,AF54,AG54))</f>
        <v/>
      </c>
      <c r="AI54" s="9"/>
      <c r="AJ54" s="9"/>
      <c r="AK54" s="9"/>
      <c r="AL54" s="11" t="str">
        <f aca="false">IF(COUNT(AI54,AJ54,AK54)=0,"",SUM(AI54,AJ54,AK54))</f>
        <v/>
      </c>
      <c r="AM54" s="6" t="str">
        <f aca="false">IF(N(AC54)=0,"",IF(COUNT($AC$6:$AC$105)&lt;5,"Too early",IF(AC54&gt;=1.5*MEDIAN($AC$6:$AC$105),"Top",IF(AC54&lt;=0.5*MEDIAN($AC$6:$AC$105),"Low","Average"))))</f>
        <v/>
      </c>
      <c r="AN54" s="7"/>
      <c r="AO54" s="7" t="s">
        <v>299</v>
      </c>
      <c r="AP54" s="12"/>
      <c r="AQ54" s="12"/>
      <c r="AR54" s="12"/>
      <c r="AS54" s="12"/>
      <c r="AT54" s="12"/>
      <c r="AU54" s="12"/>
      <c r="AV54" s="2" t="s">
        <v>96</v>
      </c>
    </row>
    <row r="55" customFormat="false" ht="60" hidden="false" customHeight="true" outlineLevel="0" collapsed="false">
      <c r="A55" s="6" t="n">
        <v>50</v>
      </c>
      <c r="B55" s="6" t="s">
        <v>361</v>
      </c>
      <c r="C55" s="6" t="s">
        <v>411</v>
      </c>
      <c r="D55" s="6" t="s">
        <v>412</v>
      </c>
      <c r="E55" s="6" t="s">
        <v>413</v>
      </c>
      <c r="F55" s="6" t="s">
        <v>414</v>
      </c>
      <c r="G55" s="6" t="n">
        <v>45</v>
      </c>
      <c r="H55" s="6" t="s">
        <v>133</v>
      </c>
      <c r="I55" s="7" t="n">
        <v>98</v>
      </c>
      <c r="J55" s="7" t="s">
        <v>237</v>
      </c>
      <c r="K55" s="7"/>
      <c r="L55" s="8"/>
      <c r="M55" s="6" t="str">
        <f aca="false">IF(L55="","",TEXT(L55,"ddd"))</f>
        <v/>
      </c>
      <c r="N55" s="7"/>
      <c r="O55" s="7"/>
      <c r="P55" s="7"/>
      <c r="Q55" s="7"/>
      <c r="R55" s="7"/>
      <c r="S55" s="9"/>
      <c r="T55" s="7"/>
      <c r="U55" s="10" t="str">
        <f aca="false">IF(OR(T55="",N(O55)=0),"",T55/O55)</f>
        <v/>
      </c>
      <c r="V55" s="7"/>
      <c r="W55" s="7"/>
      <c r="X55" s="7"/>
      <c r="Y55" s="9"/>
      <c r="Z55" s="7"/>
      <c r="AA55" s="9"/>
      <c r="AB55" s="7"/>
      <c r="AC55" s="11" t="str">
        <f aca="false">IF(COUNT(S55,Y55,AA55)=0,"",SUM(S55,Y55,AA55))</f>
        <v/>
      </c>
      <c r="AD55" s="10" t="str">
        <f aca="false">IF(N(AC55)=0,"",SUM(V55,W55,X55,Z55,AB55)/AC55)</f>
        <v/>
      </c>
      <c r="AE55" s="9"/>
      <c r="AF55" s="9"/>
      <c r="AG55" s="9"/>
      <c r="AH55" s="11" t="str">
        <f aca="false">IF(COUNT(AE55,AF55,AG55)=0,"",SUM(AE55,AF55,AG55))</f>
        <v/>
      </c>
      <c r="AI55" s="9"/>
      <c r="AJ55" s="9"/>
      <c r="AK55" s="9"/>
      <c r="AL55" s="11" t="str">
        <f aca="false">IF(COUNT(AI55,AJ55,AK55)=0,"",SUM(AI55,AJ55,AK55))</f>
        <v/>
      </c>
      <c r="AM55" s="6" t="str">
        <f aca="false">IF(N(AC55)=0,"",IF(COUNT($AC$6:$AC$105)&lt;5,"Too early",IF(AC55&gt;=1.5*MEDIAN($AC$6:$AC$105),"Top",IF(AC55&lt;=0.5*MEDIAN($AC$6:$AC$105),"Low","Average"))))</f>
        <v/>
      </c>
      <c r="AN55" s="7"/>
      <c r="AO55" s="7" t="s">
        <v>84</v>
      </c>
      <c r="AP55" s="12"/>
      <c r="AQ55" s="12"/>
      <c r="AR55" s="12"/>
      <c r="AS55" s="12"/>
      <c r="AT55" s="12"/>
      <c r="AU55" s="12"/>
      <c r="AV55" s="2" t="s">
        <v>96</v>
      </c>
    </row>
    <row r="56" customFormat="false" ht="60" hidden="false" customHeight="true" outlineLevel="0" collapsed="false">
      <c r="A56" s="6" t="n">
        <v>51</v>
      </c>
      <c r="B56" s="6" t="s">
        <v>415</v>
      </c>
      <c r="C56" s="6" t="s">
        <v>416</v>
      </c>
      <c r="D56" s="6" t="s">
        <v>417</v>
      </c>
      <c r="E56" s="6" t="s">
        <v>418</v>
      </c>
      <c r="F56" s="6" t="s">
        <v>419</v>
      </c>
      <c r="G56" s="6" t="n">
        <v>45</v>
      </c>
      <c r="H56" s="6" t="s">
        <v>133</v>
      </c>
      <c r="I56" s="7" t="n">
        <v>75</v>
      </c>
      <c r="J56" s="7" t="s">
        <v>237</v>
      </c>
      <c r="K56" s="7"/>
      <c r="L56" s="8"/>
      <c r="M56" s="6" t="str">
        <f aca="false">IF(L56="","",TEXT(L56,"ddd"))</f>
        <v/>
      </c>
      <c r="N56" s="7"/>
      <c r="O56" s="7"/>
      <c r="P56" s="7"/>
      <c r="Q56" s="7"/>
      <c r="R56" s="7"/>
      <c r="S56" s="9"/>
      <c r="T56" s="7"/>
      <c r="U56" s="10" t="str">
        <f aca="false">IF(OR(T56="",N(O56)=0),"",T56/O56)</f>
        <v/>
      </c>
      <c r="V56" s="7"/>
      <c r="W56" s="7"/>
      <c r="X56" s="7"/>
      <c r="Y56" s="9"/>
      <c r="Z56" s="7"/>
      <c r="AA56" s="9"/>
      <c r="AB56" s="7"/>
      <c r="AC56" s="11" t="str">
        <f aca="false">IF(COUNT(S56,Y56,AA56)=0,"",SUM(S56,Y56,AA56))</f>
        <v/>
      </c>
      <c r="AD56" s="10" t="str">
        <f aca="false">IF(N(AC56)=0,"",SUM(V56,W56,X56,Z56,AB56)/AC56)</f>
        <v/>
      </c>
      <c r="AE56" s="9"/>
      <c r="AF56" s="9"/>
      <c r="AG56" s="9"/>
      <c r="AH56" s="11" t="str">
        <f aca="false">IF(COUNT(AE56,AF56,AG56)=0,"",SUM(AE56,AF56,AG56))</f>
        <v/>
      </c>
      <c r="AI56" s="9"/>
      <c r="AJ56" s="9"/>
      <c r="AK56" s="9"/>
      <c r="AL56" s="11" t="str">
        <f aca="false">IF(COUNT(AI56,AJ56,AK56)=0,"",SUM(AI56,AJ56,AK56))</f>
        <v/>
      </c>
      <c r="AM56" s="6" t="str">
        <f aca="false">IF(N(AC56)=0,"",IF(COUNT($AC$6:$AC$105)&lt;5,"Too early",IF(AC56&gt;=1.5*MEDIAN($AC$6:$AC$105),"Top",IF(AC56&lt;=0.5*MEDIAN($AC$6:$AC$105),"Low","Average"))))</f>
        <v/>
      </c>
      <c r="AN56" s="7"/>
      <c r="AO56" s="7" t="s">
        <v>299</v>
      </c>
      <c r="AP56" s="12"/>
      <c r="AQ56" s="12"/>
      <c r="AR56" s="12"/>
      <c r="AS56" s="12"/>
      <c r="AT56" s="12"/>
      <c r="AU56" s="12"/>
      <c r="AV56" s="2" t="s">
        <v>96</v>
      </c>
    </row>
    <row r="57" customFormat="false" ht="60" hidden="false" customHeight="true" outlineLevel="0" collapsed="false">
      <c r="A57" s="6" t="n">
        <v>52</v>
      </c>
      <c r="B57" s="6" t="s">
        <v>415</v>
      </c>
      <c r="C57" s="6" t="s">
        <v>420</v>
      </c>
      <c r="D57" s="6" t="s">
        <v>421</v>
      </c>
      <c r="E57" s="6" t="s">
        <v>422</v>
      </c>
      <c r="F57" s="6" t="s">
        <v>423</v>
      </c>
      <c r="G57" s="6" t="n">
        <v>45</v>
      </c>
      <c r="H57" s="6" t="s">
        <v>133</v>
      </c>
      <c r="I57" s="7" t="n">
        <v>82</v>
      </c>
      <c r="J57" s="7" t="s">
        <v>237</v>
      </c>
      <c r="K57" s="7"/>
      <c r="L57" s="8"/>
      <c r="M57" s="6" t="str">
        <f aca="false">IF(L57="","",TEXT(L57,"ddd"))</f>
        <v/>
      </c>
      <c r="N57" s="7"/>
      <c r="O57" s="7"/>
      <c r="P57" s="7"/>
      <c r="Q57" s="7"/>
      <c r="R57" s="7"/>
      <c r="S57" s="9"/>
      <c r="T57" s="7"/>
      <c r="U57" s="10" t="str">
        <f aca="false">IF(OR(T57="",N(O57)=0),"",T57/O57)</f>
        <v/>
      </c>
      <c r="V57" s="7"/>
      <c r="W57" s="7"/>
      <c r="X57" s="7"/>
      <c r="Y57" s="9"/>
      <c r="Z57" s="7"/>
      <c r="AA57" s="9"/>
      <c r="AB57" s="7"/>
      <c r="AC57" s="11" t="str">
        <f aca="false">IF(COUNT(S57,Y57,AA57)=0,"",SUM(S57,Y57,AA57))</f>
        <v/>
      </c>
      <c r="AD57" s="10" t="str">
        <f aca="false">IF(N(AC57)=0,"",SUM(V57,W57,X57,Z57,AB57)/AC57)</f>
        <v/>
      </c>
      <c r="AE57" s="9"/>
      <c r="AF57" s="9"/>
      <c r="AG57" s="9"/>
      <c r="AH57" s="11" t="str">
        <f aca="false">IF(COUNT(AE57,AF57,AG57)=0,"",SUM(AE57,AF57,AG57))</f>
        <v/>
      </c>
      <c r="AI57" s="9"/>
      <c r="AJ57" s="9"/>
      <c r="AK57" s="9"/>
      <c r="AL57" s="11" t="str">
        <f aca="false">IF(COUNT(AI57,AJ57,AK57)=0,"",SUM(AI57,AJ57,AK57))</f>
        <v/>
      </c>
      <c r="AM57" s="6" t="str">
        <f aca="false">IF(N(AC57)=0,"",IF(COUNT($AC$6:$AC$105)&lt;5,"Too early",IF(AC57&gt;=1.5*MEDIAN($AC$6:$AC$105),"Top",IF(AC57&lt;=0.5*MEDIAN($AC$6:$AC$105),"Low","Average"))))</f>
        <v/>
      </c>
      <c r="AN57" s="7"/>
      <c r="AO57" s="7" t="s">
        <v>286</v>
      </c>
      <c r="AP57" s="12"/>
      <c r="AQ57" s="12"/>
      <c r="AR57" s="12"/>
      <c r="AS57" s="12"/>
      <c r="AT57" s="12"/>
      <c r="AU57" s="12"/>
      <c r="AV57" s="2" t="s">
        <v>164</v>
      </c>
    </row>
    <row r="58" customFormat="false" ht="60" hidden="false" customHeight="true" outlineLevel="0" collapsed="false">
      <c r="A58" s="6" t="n">
        <v>53</v>
      </c>
      <c r="B58" s="6" t="s">
        <v>415</v>
      </c>
      <c r="C58" s="6" t="s">
        <v>424</v>
      </c>
      <c r="D58" s="6" t="s">
        <v>425</v>
      </c>
      <c r="E58" s="6" t="s">
        <v>426</v>
      </c>
      <c r="F58" s="6" t="s">
        <v>427</v>
      </c>
      <c r="G58" s="6" t="n">
        <v>45</v>
      </c>
      <c r="H58" s="6" t="s">
        <v>133</v>
      </c>
      <c r="I58" s="7" t="n">
        <v>87</v>
      </c>
      <c r="J58" s="7" t="s">
        <v>237</v>
      </c>
      <c r="K58" s="7"/>
      <c r="L58" s="8"/>
      <c r="M58" s="6" t="str">
        <f aca="false">IF(L58="","",TEXT(L58,"ddd"))</f>
        <v/>
      </c>
      <c r="N58" s="7"/>
      <c r="O58" s="7"/>
      <c r="P58" s="7"/>
      <c r="Q58" s="7"/>
      <c r="R58" s="7"/>
      <c r="S58" s="9"/>
      <c r="T58" s="7"/>
      <c r="U58" s="10" t="str">
        <f aca="false">IF(OR(T58="",N(O58)=0),"",T58/O58)</f>
        <v/>
      </c>
      <c r="V58" s="7"/>
      <c r="W58" s="7"/>
      <c r="X58" s="7"/>
      <c r="Y58" s="9"/>
      <c r="Z58" s="7"/>
      <c r="AA58" s="9"/>
      <c r="AB58" s="7"/>
      <c r="AC58" s="11" t="str">
        <f aca="false">IF(COUNT(S58,Y58,AA58)=0,"",SUM(S58,Y58,AA58))</f>
        <v/>
      </c>
      <c r="AD58" s="10" t="str">
        <f aca="false">IF(N(AC58)=0,"",SUM(V58,W58,X58,Z58,AB58)/AC58)</f>
        <v/>
      </c>
      <c r="AE58" s="9"/>
      <c r="AF58" s="9"/>
      <c r="AG58" s="9"/>
      <c r="AH58" s="11" t="str">
        <f aca="false">IF(COUNT(AE58,AF58,AG58)=0,"",SUM(AE58,AF58,AG58))</f>
        <v/>
      </c>
      <c r="AI58" s="9"/>
      <c r="AJ58" s="9"/>
      <c r="AK58" s="9"/>
      <c r="AL58" s="11" t="str">
        <f aca="false">IF(COUNT(AI58,AJ58,AK58)=0,"",SUM(AI58,AJ58,AK58))</f>
        <v/>
      </c>
      <c r="AM58" s="6" t="str">
        <f aca="false">IF(N(AC58)=0,"",IF(COUNT($AC$6:$AC$105)&lt;5,"Too early",IF(AC58&gt;=1.5*MEDIAN($AC$6:$AC$105),"Top",IF(AC58&lt;=0.5*MEDIAN($AC$6:$AC$105),"Low","Average"))))</f>
        <v/>
      </c>
      <c r="AN58" s="7"/>
      <c r="AO58" s="7" t="s">
        <v>134</v>
      </c>
      <c r="AP58" s="12"/>
      <c r="AQ58" s="12"/>
      <c r="AR58" s="12"/>
      <c r="AS58" s="12"/>
      <c r="AT58" s="12"/>
      <c r="AU58" s="12"/>
      <c r="AV58" s="2" t="s">
        <v>96</v>
      </c>
    </row>
    <row r="59" customFormat="false" ht="60" hidden="false" customHeight="true" outlineLevel="0" collapsed="false">
      <c r="A59" s="6" t="n">
        <v>54</v>
      </c>
      <c r="B59" s="6" t="s">
        <v>415</v>
      </c>
      <c r="C59" s="6" t="s">
        <v>428</v>
      </c>
      <c r="D59" s="6" t="s">
        <v>429</v>
      </c>
      <c r="E59" s="6" t="s">
        <v>430</v>
      </c>
      <c r="F59" s="6" t="s">
        <v>431</v>
      </c>
      <c r="G59" s="6" t="n">
        <v>45</v>
      </c>
      <c r="H59" s="6" t="s">
        <v>133</v>
      </c>
      <c r="I59" s="7" t="n">
        <v>91</v>
      </c>
      <c r="J59" s="7" t="s">
        <v>237</v>
      </c>
      <c r="K59" s="7"/>
      <c r="L59" s="8"/>
      <c r="M59" s="6" t="str">
        <f aca="false">IF(L59="","",TEXT(L59,"ddd"))</f>
        <v/>
      </c>
      <c r="N59" s="7"/>
      <c r="O59" s="7"/>
      <c r="P59" s="7"/>
      <c r="Q59" s="7"/>
      <c r="R59" s="7"/>
      <c r="S59" s="9"/>
      <c r="T59" s="7"/>
      <c r="U59" s="10" t="str">
        <f aca="false">IF(OR(T59="",N(O59)=0),"",T59/O59)</f>
        <v/>
      </c>
      <c r="V59" s="7"/>
      <c r="W59" s="7"/>
      <c r="X59" s="7"/>
      <c r="Y59" s="9"/>
      <c r="Z59" s="7"/>
      <c r="AA59" s="9"/>
      <c r="AB59" s="7"/>
      <c r="AC59" s="11" t="str">
        <f aca="false">IF(COUNT(S59,Y59,AA59)=0,"",SUM(S59,Y59,AA59))</f>
        <v/>
      </c>
      <c r="AD59" s="10" t="str">
        <f aca="false">IF(N(AC59)=0,"",SUM(V59,W59,X59,Z59,AB59)/AC59)</f>
        <v/>
      </c>
      <c r="AE59" s="9"/>
      <c r="AF59" s="9"/>
      <c r="AG59" s="9"/>
      <c r="AH59" s="11" t="str">
        <f aca="false">IF(COUNT(AE59,AF59,AG59)=0,"",SUM(AE59,AF59,AG59))</f>
        <v/>
      </c>
      <c r="AI59" s="9"/>
      <c r="AJ59" s="9"/>
      <c r="AK59" s="9"/>
      <c r="AL59" s="11" t="str">
        <f aca="false">IF(COUNT(AI59,AJ59,AK59)=0,"",SUM(AI59,AJ59,AK59))</f>
        <v/>
      </c>
      <c r="AM59" s="6" t="str">
        <f aca="false">IF(N(AC59)=0,"",IF(COUNT($AC$6:$AC$105)&lt;5,"Too early",IF(AC59&gt;=1.5*MEDIAN($AC$6:$AC$105),"Top",IF(AC59&lt;=0.5*MEDIAN($AC$6:$AC$105),"Low","Average"))))</f>
        <v/>
      </c>
      <c r="AN59" s="7"/>
      <c r="AO59" s="7" t="s">
        <v>299</v>
      </c>
      <c r="AP59" s="12"/>
      <c r="AQ59" s="12"/>
      <c r="AR59" s="12"/>
      <c r="AS59" s="12"/>
      <c r="AT59" s="12"/>
      <c r="AU59" s="12"/>
      <c r="AV59" s="2" t="s">
        <v>96</v>
      </c>
    </row>
    <row r="60" customFormat="false" ht="60" hidden="false" customHeight="true" outlineLevel="0" collapsed="false">
      <c r="A60" s="6" t="n">
        <v>55</v>
      </c>
      <c r="B60" s="6" t="s">
        <v>415</v>
      </c>
      <c r="C60" s="6" t="s">
        <v>432</v>
      </c>
      <c r="D60" s="6" t="s">
        <v>433</v>
      </c>
      <c r="E60" s="6" t="s">
        <v>434</v>
      </c>
      <c r="F60" s="6" t="s">
        <v>435</v>
      </c>
      <c r="G60" s="6" t="n">
        <v>45</v>
      </c>
      <c r="H60" s="6" t="s">
        <v>133</v>
      </c>
      <c r="I60" s="7" t="n">
        <v>94</v>
      </c>
      <c r="J60" s="7" t="s">
        <v>237</v>
      </c>
      <c r="K60" s="7"/>
      <c r="L60" s="8"/>
      <c r="M60" s="6" t="str">
        <f aca="false">IF(L60="","",TEXT(L60,"ddd"))</f>
        <v/>
      </c>
      <c r="N60" s="7"/>
      <c r="O60" s="7"/>
      <c r="P60" s="7"/>
      <c r="Q60" s="7"/>
      <c r="R60" s="7"/>
      <c r="S60" s="9"/>
      <c r="T60" s="7"/>
      <c r="U60" s="10" t="str">
        <f aca="false">IF(OR(T60="",N(O60)=0),"",T60/O60)</f>
        <v/>
      </c>
      <c r="V60" s="7"/>
      <c r="W60" s="7"/>
      <c r="X60" s="7"/>
      <c r="Y60" s="9"/>
      <c r="Z60" s="7"/>
      <c r="AA60" s="9"/>
      <c r="AB60" s="7"/>
      <c r="AC60" s="11" t="str">
        <f aca="false">IF(COUNT(S60,Y60,AA60)=0,"",SUM(S60,Y60,AA60))</f>
        <v/>
      </c>
      <c r="AD60" s="10" t="str">
        <f aca="false">IF(N(AC60)=0,"",SUM(V60,W60,X60,Z60,AB60)/AC60)</f>
        <v/>
      </c>
      <c r="AE60" s="9"/>
      <c r="AF60" s="9"/>
      <c r="AG60" s="9"/>
      <c r="AH60" s="11" t="str">
        <f aca="false">IF(COUNT(AE60,AF60,AG60)=0,"",SUM(AE60,AF60,AG60))</f>
        <v/>
      </c>
      <c r="AI60" s="9"/>
      <c r="AJ60" s="9"/>
      <c r="AK60" s="9"/>
      <c r="AL60" s="11" t="str">
        <f aca="false">IF(COUNT(AI60,AJ60,AK60)=0,"",SUM(AI60,AJ60,AK60))</f>
        <v/>
      </c>
      <c r="AM60" s="6" t="str">
        <f aca="false">IF(N(AC60)=0,"",IF(COUNT($AC$6:$AC$105)&lt;5,"Too early",IF(AC60&gt;=1.5*MEDIAN($AC$6:$AC$105),"Top",IF(AC60&lt;=0.5*MEDIAN($AC$6:$AC$105),"Low","Average"))))</f>
        <v/>
      </c>
      <c r="AN60" s="7"/>
      <c r="AO60" s="7" t="s">
        <v>139</v>
      </c>
      <c r="AP60" s="12"/>
      <c r="AQ60" s="12"/>
      <c r="AR60" s="12"/>
      <c r="AS60" s="12"/>
      <c r="AT60" s="12"/>
      <c r="AU60" s="12"/>
      <c r="AV60" s="2" t="s">
        <v>96</v>
      </c>
    </row>
    <row r="61" customFormat="false" ht="60" hidden="false" customHeight="true" outlineLevel="0" collapsed="false">
      <c r="A61" s="6" t="n">
        <v>56</v>
      </c>
      <c r="B61" s="6" t="s">
        <v>415</v>
      </c>
      <c r="C61" s="6" t="s">
        <v>436</v>
      </c>
      <c r="D61" s="6" t="s">
        <v>437</v>
      </c>
      <c r="E61" s="6" t="s">
        <v>438</v>
      </c>
      <c r="F61" s="6" t="s">
        <v>439</v>
      </c>
      <c r="G61" s="6" t="n">
        <v>45</v>
      </c>
      <c r="H61" s="6" t="s">
        <v>133</v>
      </c>
      <c r="I61" s="7" t="n">
        <v>97</v>
      </c>
      <c r="J61" s="7" t="s">
        <v>237</v>
      </c>
      <c r="K61" s="7"/>
      <c r="L61" s="8"/>
      <c r="M61" s="6" t="str">
        <f aca="false">IF(L61="","",TEXT(L61,"ddd"))</f>
        <v/>
      </c>
      <c r="N61" s="7"/>
      <c r="O61" s="7"/>
      <c r="P61" s="7"/>
      <c r="Q61" s="7"/>
      <c r="R61" s="7"/>
      <c r="S61" s="9"/>
      <c r="T61" s="7"/>
      <c r="U61" s="10" t="str">
        <f aca="false">IF(OR(T61="",N(O61)=0),"",T61/O61)</f>
        <v/>
      </c>
      <c r="V61" s="7"/>
      <c r="W61" s="7"/>
      <c r="X61" s="7"/>
      <c r="Y61" s="9"/>
      <c r="Z61" s="7"/>
      <c r="AA61" s="9"/>
      <c r="AB61" s="7"/>
      <c r="AC61" s="11" t="str">
        <f aca="false">IF(COUNT(S61,Y61,AA61)=0,"",SUM(S61,Y61,AA61))</f>
        <v/>
      </c>
      <c r="AD61" s="10" t="str">
        <f aca="false">IF(N(AC61)=0,"",SUM(V61,W61,X61,Z61,AB61)/AC61)</f>
        <v/>
      </c>
      <c r="AE61" s="9"/>
      <c r="AF61" s="9"/>
      <c r="AG61" s="9"/>
      <c r="AH61" s="11" t="str">
        <f aca="false">IF(COUNT(AE61,AF61,AG61)=0,"",SUM(AE61,AF61,AG61))</f>
        <v/>
      </c>
      <c r="AI61" s="9"/>
      <c r="AJ61" s="9"/>
      <c r="AK61" s="9"/>
      <c r="AL61" s="11" t="str">
        <f aca="false">IF(COUNT(AI61,AJ61,AK61)=0,"",SUM(AI61,AJ61,AK61))</f>
        <v/>
      </c>
      <c r="AM61" s="6" t="str">
        <f aca="false">IF(N(AC61)=0,"",IF(COUNT($AC$6:$AC$105)&lt;5,"Too early",IF(AC61&gt;=1.5*MEDIAN($AC$6:$AC$105),"Top",IF(AC61&lt;=0.5*MEDIAN($AC$6:$AC$105),"Low","Average"))))</f>
        <v/>
      </c>
      <c r="AN61" s="7"/>
      <c r="AO61" s="7" t="s">
        <v>208</v>
      </c>
      <c r="AP61" s="12"/>
      <c r="AQ61" s="12"/>
      <c r="AR61" s="12"/>
      <c r="AS61" s="12"/>
      <c r="AT61" s="12"/>
      <c r="AU61" s="12"/>
      <c r="AV61" s="2" t="s">
        <v>317</v>
      </c>
    </row>
    <row r="62" customFormat="false" ht="60" hidden="false" customHeight="true" outlineLevel="0" collapsed="false">
      <c r="A62" s="6" t="n">
        <v>57</v>
      </c>
      <c r="B62" s="6" t="s">
        <v>415</v>
      </c>
      <c r="C62" s="6" t="s">
        <v>440</v>
      </c>
      <c r="D62" s="6" t="s">
        <v>441</v>
      </c>
      <c r="E62" s="6" t="s">
        <v>442</v>
      </c>
      <c r="F62" s="6" t="s">
        <v>443</v>
      </c>
      <c r="G62" s="6" t="n">
        <v>45</v>
      </c>
      <c r="H62" s="6" t="s">
        <v>133</v>
      </c>
      <c r="I62" s="7" t="n">
        <v>99</v>
      </c>
      <c r="J62" s="7" t="s">
        <v>237</v>
      </c>
      <c r="K62" s="7"/>
      <c r="L62" s="8"/>
      <c r="M62" s="6" t="str">
        <f aca="false">IF(L62="","",TEXT(L62,"ddd"))</f>
        <v/>
      </c>
      <c r="N62" s="7"/>
      <c r="O62" s="7"/>
      <c r="P62" s="7"/>
      <c r="Q62" s="7"/>
      <c r="R62" s="7"/>
      <c r="S62" s="9"/>
      <c r="T62" s="7"/>
      <c r="U62" s="10" t="str">
        <f aca="false">IF(OR(T62="",N(O62)=0),"",T62/O62)</f>
        <v/>
      </c>
      <c r="V62" s="7"/>
      <c r="W62" s="7"/>
      <c r="X62" s="7"/>
      <c r="Y62" s="9"/>
      <c r="Z62" s="7"/>
      <c r="AA62" s="9"/>
      <c r="AB62" s="7"/>
      <c r="AC62" s="11" t="str">
        <f aca="false">IF(COUNT(S62,Y62,AA62)=0,"",SUM(S62,Y62,AA62))</f>
        <v/>
      </c>
      <c r="AD62" s="10" t="str">
        <f aca="false">IF(N(AC62)=0,"",SUM(V62,W62,X62,Z62,AB62)/AC62)</f>
        <v/>
      </c>
      <c r="AE62" s="9"/>
      <c r="AF62" s="9"/>
      <c r="AG62" s="9"/>
      <c r="AH62" s="11" t="str">
        <f aca="false">IF(COUNT(AE62,AF62,AG62)=0,"",SUM(AE62,AF62,AG62))</f>
        <v/>
      </c>
      <c r="AI62" s="9"/>
      <c r="AJ62" s="9"/>
      <c r="AK62" s="9"/>
      <c r="AL62" s="11" t="str">
        <f aca="false">IF(COUNT(AI62,AJ62,AK62)=0,"",SUM(AI62,AJ62,AK62))</f>
        <v/>
      </c>
      <c r="AM62" s="6" t="str">
        <f aca="false">IF(N(AC62)=0,"",IF(COUNT($AC$6:$AC$105)&lt;5,"Too early",IF(AC62&gt;=1.5*MEDIAN($AC$6:$AC$105),"Top",IF(AC62&lt;=0.5*MEDIAN($AC$6:$AC$105),"Low","Average"))))</f>
        <v/>
      </c>
      <c r="AN62" s="7"/>
      <c r="AO62" s="7" t="s">
        <v>153</v>
      </c>
      <c r="AP62" s="12"/>
      <c r="AQ62" s="12"/>
      <c r="AR62" s="12"/>
      <c r="AS62" s="12"/>
      <c r="AT62" s="12"/>
      <c r="AU62" s="12"/>
      <c r="AV62" s="2" t="s">
        <v>164</v>
      </c>
    </row>
    <row r="63" customFormat="false" ht="60" hidden="false" customHeight="true" outlineLevel="0" collapsed="false">
      <c r="A63" s="6" t="n">
        <v>58</v>
      </c>
      <c r="B63" s="6" t="s">
        <v>415</v>
      </c>
      <c r="C63" s="6" t="s">
        <v>444</v>
      </c>
      <c r="D63" s="6" t="s">
        <v>445</v>
      </c>
      <c r="E63" s="6" t="s">
        <v>446</v>
      </c>
      <c r="F63" s="6" t="s">
        <v>447</v>
      </c>
      <c r="G63" s="6" t="n">
        <v>45</v>
      </c>
      <c r="H63" s="6" t="s">
        <v>90</v>
      </c>
      <c r="I63" s="7" t="n">
        <v>6</v>
      </c>
      <c r="J63" s="7" t="s">
        <v>64</v>
      </c>
      <c r="K63" s="7" t="s">
        <v>448</v>
      </c>
      <c r="L63" s="8" t="n">
        <v>46309</v>
      </c>
      <c r="M63" s="6" t="str">
        <f aca="false">IF(L63="","",TEXT(L63,"ddd"))</f>
        <v>Wed</v>
      </c>
      <c r="N63" s="7" t="s">
        <v>66</v>
      </c>
      <c r="O63" s="7" t="n">
        <v>42</v>
      </c>
      <c r="P63" s="7" t="s">
        <v>449</v>
      </c>
      <c r="Q63" s="7" t="s">
        <v>450</v>
      </c>
      <c r="R63" s="7" t="s">
        <v>451</v>
      </c>
      <c r="S63" s="9"/>
      <c r="T63" s="7"/>
      <c r="U63" s="10" t="str">
        <f aca="false">IF(OR(T63="",N(O63)=0),"",T63/O63)</f>
        <v/>
      </c>
      <c r="V63" s="7"/>
      <c r="W63" s="7"/>
      <c r="X63" s="7"/>
      <c r="Y63" s="9"/>
      <c r="Z63" s="7"/>
      <c r="AA63" s="9"/>
      <c r="AB63" s="7"/>
      <c r="AC63" s="11" t="str">
        <f aca="false">IF(COUNT(S63,Y63,AA63)=0,"",SUM(S63,Y63,AA63))</f>
        <v/>
      </c>
      <c r="AD63" s="10" t="str">
        <f aca="false">IF(N(AC63)=0,"",SUM(V63,W63,X63,Z63,AB63)/AC63)</f>
        <v/>
      </c>
      <c r="AE63" s="9"/>
      <c r="AF63" s="9"/>
      <c r="AG63" s="9"/>
      <c r="AH63" s="11" t="str">
        <f aca="false">IF(COUNT(AE63,AF63,AG63)=0,"",SUM(AE63,AF63,AG63))</f>
        <v/>
      </c>
      <c r="AI63" s="9"/>
      <c r="AJ63" s="9"/>
      <c r="AK63" s="9"/>
      <c r="AL63" s="11" t="str">
        <f aca="false">IF(COUNT(AI63,AJ63,AK63)=0,"",SUM(AI63,AJ63,AK63))</f>
        <v/>
      </c>
      <c r="AM63" s="6" t="str">
        <f aca="false">IF(N(AC63)=0,"",IF(COUNT($AC$6:$AC$105)&lt;5,"Too early",IF(AC63&gt;=1.5*MEDIAN($AC$6:$AC$105),"Top",IF(AC63&lt;=0.5*MEDIAN($AC$6:$AC$105),"Low","Average"))))</f>
        <v/>
      </c>
      <c r="AN63" s="7"/>
      <c r="AO63" s="7" t="s">
        <v>241</v>
      </c>
      <c r="AP63" s="12"/>
      <c r="AQ63" s="12"/>
      <c r="AR63" s="12"/>
      <c r="AS63" s="12"/>
      <c r="AT63" s="12"/>
      <c r="AU63" s="12"/>
      <c r="AV63" s="2" t="s">
        <v>96</v>
      </c>
    </row>
    <row r="64" customFormat="false" ht="60" hidden="false" customHeight="true" outlineLevel="0" collapsed="false">
      <c r="A64" s="6" t="n">
        <v>59</v>
      </c>
      <c r="B64" s="6" t="s">
        <v>415</v>
      </c>
      <c r="C64" s="6" t="s">
        <v>452</v>
      </c>
      <c r="D64" s="6" t="s">
        <v>453</v>
      </c>
      <c r="E64" s="6" t="s">
        <v>454</v>
      </c>
      <c r="F64" s="6" t="s">
        <v>455</v>
      </c>
      <c r="G64" s="6" t="n">
        <v>45</v>
      </c>
      <c r="H64" s="6" t="s">
        <v>90</v>
      </c>
      <c r="I64" s="7" t="n">
        <v>16</v>
      </c>
      <c r="J64" s="7" t="s">
        <v>64</v>
      </c>
      <c r="K64" s="7" t="s">
        <v>456</v>
      </c>
      <c r="L64" s="8" t="n">
        <v>46311</v>
      </c>
      <c r="M64" s="6" t="str">
        <f aca="false">IF(L64="","",TEXT(L64,"ddd"))</f>
        <v>Fri</v>
      </c>
      <c r="N64" s="7"/>
      <c r="O64" s="7" t="n">
        <v>31</v>
      </c>
      <c r="P64" s="7" t="s">
        <v>457</v>
      </c>
      <c r="Q64" s="7" t="s">
        <v>458</v>
      </c>
      <c r="R64" s="7" t="s">
        <v>459</v>
      </c>
      <c r="S64" s="9"/>
      <c r="T64" s="7"/>
      <c r="U64" s="10" t="str">
        <f aca="false">IF(OR(T64="",N(O64)=0),"",T64/O64)</f>
        <v/>
      </c>
      <c r="V64" s="7"/>
      <c r="W64" s="7"/>
      <c r="X64" s="7"/>
      <c r="Y64" s="9"/>
      <c r="Z64" s="7"/>
      <c r="AA64" s="9"/>
      <c r="AB64" s="7"/>
      <c r="AC64" s="11" t="str">
        <f aca="false">IF(COUNT(S64,Y64,AA64)=0,"",SUM(S64,Y64,AA64))</f>
        <v/>
      </c>
      <c r="AD64" s="10" t="str">
        <f aca="false">IF(N(AC64)=0,"",SUM(V64,W64,X64,Z64,AB64)/AC64)</f>
        <v/>
      </c>
      <c r="AE64" s="9"/>
      <c r="AF64" s="9"/>
      <c r="AG64" s="9"/>
      <c r="AH64" s="11" t="str">
        <f aca="false">IF(COUNT(AE64,AF64,AG64)=0,"",SUM(AE64,AF64,AG64))</f>
        <v/>
      </c>
      <c r="AI64" s="9"/>
      <c r="AJ64" s="9"/>
      <c r="AK64" s="9"/>
      <c r="AL64" s="11" t="str">
        <f aca="false">IF(COUNT(AI64,AJ64,AK64)=0,"",SUM(AI64,AJ64,AK64))</f>
        <v/>
      </c>
      <c r="AM64" s="6" t="str">
        <f aca="false">IF(N(AC64)=0,"",IF(COUNT($AC$6:$AC$105)&lt;5,"Too early",IF(AC64&gt;=1.5*MEDIAN($AC$6:$AC$105),"Top",IF(AC64&lt;=0.5*MEDIAN($AC$6:$AC$105),"Low","Average"))))</f>
        <v/>
      </c>
      <c r="AN64" s="7"/>
      <c r="AO64" s="7" t="s">
        <v>95</v>
      </c>
      <c r="AP64" s="12"/>
      <c r="AQ64" s="12"/>
      <c r="AR64" s="12"/>
      <c r="AS64" s="12"/>
      <c r="AT64" s="12"/>
      <c r="AU64" s="12"/>
      <c r="AV64" s="2" t="s">
        <v>96</v>
      </c>
    </row>
    <row r="65" customFormat="false" ht="60" hidden="false" customHeight="true" outlineLevel="0" collapsed="false">
      <c r="A65" s="6" t="n">
        <v>60</v>
      </c>
      <c r="B65" s="6" t="s">
        <v>415</v>
      </c>
      <c r="C65" s="6" t="s">
        <v>460</v>
      </c>
      <c r="D65" s="6" t="s">
        <v>461</v>
      </c>
      <c r="E65" s="6" t="s">
        <v>462</v>
      </c>
      <c r="F65" s="6" t="s">
        <v>463</v>
      </c>
      <c r="G65" s="6" t="n">
        <v>45</v>
      </c>
      <c r="H65" s="6" t="s">
        <v>133</v>
      </c>
      <c r="I65" s="7" t="n">
        <v>100</v>
      </c>
      <c r="J65" s="7" t="s">
        <v>237</v>
      </c>
      <c r="K65" s="7"/>
      <c r="L65" s="8"/>
      <c r="M65" s="6" t="str">
        <f aca="false">IF(L65="","",TEXT(L65,"ddd"))</f>
        <v/>
      </c>
      <c r="N65" s="7"/>
      <c r="O65" s="7"/>
      <c r="P65" s="7"/>
      <c r="Q65" s="7"/>
      <c r="R65" s="7"/>
      <c r="S65" s="9"/>
      <c r="T65" s="7"/>
      <c r="U65" s="10" t="str">
        <f aca="false">IF(OR(T65="",N(O65)=0),"",T65/O65)</f>
        <v/>
      </c>
      <c r="V65" s="7"/>
      <c r="W65" s="7"/>
      <c r="X65" s="7"/>
      <c r="Y65" s="9"/>
      <c r="Z65" s="7"/>
      <c r="AA65" s="9"/>
      <c r="AB65" s="7"/>
      <c r="AC65" s="11" t="str">
        <f aca="false">IF(COUNT(S65,Y65,AA65)=0,"",SUM(S65,Y65,AA65))</f>
        <v/>
      </c>
      <c r="AD65" s="10" t="str">
        <f aca="false">IF(N(AC65)=0,"",SUM(V65,W65,X65,Z65,AB65)/AC65)</f>
        <v/>
      </c>
      <c r="AE65" s="9"/>
      <c r="AF65" s="9"/>
      <c r="AG65" s="9"/>
      <c r="AH65" s="11" t="str">
        <f aca="false">IF(COUNT(AE65,AF65,AG65)=0,"",SUM(AE65,AF65,AG65))</f>
        <v/>
      </c>
      <c r="AI65" s="9"/>
      <c r="AJ65" s="9"/>
      <c r="AK65" s="9"/>
      <c r="AL65" s="11" t="str">
        <f aca="false">IF(COUNT(AI65,AJ65,AK65)=0,"",SUM(AI65,AJ65,AK65))</f>
        <v/>
      </c>
      <c r="AM65" s="6" t="str">
        <f aca="false">IF(N(AC65)=0,"",IF(COUNT($AC$6:$AC$105)&lt;5,"Too early",IF(AC65&gt;=1.5*MEDIAN($AC$6:$AC$105),"Top",IF(AC65&lt;=0.5*MEDIAN($AC$6:$AC$105),"Low","Average"))))</f>
        <v/>
      </c>
      <c r="AN65" s="7"/>
      <c r="AO65" s="7" t="s">
        <v>273</v>
      </c>
      <c r="AP65" s="12"/>
      <c r="AQ65" s="12"/>
      <c r="AR65" s="12"/>
      <c r="AS65" s="12"/>
      <c r="AT65" s="12"/>
      <c r="AU65" s="12"/>
      <c r="AV65" s="2" t="s">
        <v>164</v>
      </c>
    </row>
    <row r="66" customFormat="false" ht="60" hidden="false" customHeight="true" outlineLevel="0" collapsed="false">
      <c r="A66" s="6" t="n">
        <v>61</v>
      </c>
      <c r="B66" s="6" t="s">
        <v>464</v>
      </c>
      <c r="C66" s="6" t="s">
        <v>465</v>
      </c>
      <c r="D66" s="6" t="s">
        <v>466</v>
      </c>
      <c r="E66" s="6" t="s">
        <v>467</v>
      </c>
      <c r="F66" s="6" t="s">
        <v>468</v>
      </c>
      <c r="G66" s="6" t="n">
        <v>45</v>
      </c>
      <c r="H66" s="6" t="s">
        <v>90</v>
      </c>
      <c r="I66" s="7" t="n">
        <v>7</v>
      </c>
      <c r="J66" s="7" t="s">
        <v>64</v>
      </c>
      <c r="K66" s="7" t="s">
        <v>469</v>
      </c>
      <c r="L66" s="8" t="n">
        <v>46309</v>
      </c>
      <c r="M66" s="6" t="str">
        <f aca="false">IF(L66="","",TEXT(L66,"ddd"))</f>
        <v>Wed</v>
      </c>
      <c r="N66" s="7" t="s">
        <v>66</v>
      </c>
      <c r="O66" s="7" t="n">
        <v>27</v>
      </c>
      <c r="P66" s="7" t="s">
        <v>470</v>
      </c>
      <c r="Q66" s="7" t="s">
        <v>471</v>
      </c>
      <c r="R66" s="7" t="s">
        <v>472</v>
      </c>
      <c r="S66" s="9"/>
      <c r="T66" s="7"/>
      <c r="U66" s="10" t="str">
        <f aca="false">IF(OR(T66="",N(O66)=0),"",T66/O66)</f>
        <v/>
      </c>
      <c r="V66" s="7"/>
      <c r="W66" s="7"/>
      <c r="X66" s="7"/>
      <c r="Y66" s="9"/>
      <c r="Z66" s="7"/>
      <c r="AA66" s="9"/>
      <c r="AB66" s="7"/>
      <c r="AC66" s="11" t="str">
        <f aca="false">IF(COUNT(S66,Y66,AA66)=0,"",SUM(S66,Y66,AA66))</f>
        <v/>
      </c>
      <c r="AD66" s="10" t="str">
        <f aca="false">IF(N(AC66)=0,"",SUM(V66,W66,X66,Z66,AB66)/AC66)</f>
        <v/>
      </c>
      <c r="AE66" s="9"/>
      <c r="AF66" s="9"/>
      <c r="AG66" s="9"/>
      <c r="AH66" s="11" t="str">
        <f aca="false">IF(COUNT(AE66,AF66,AG66)=0,"",SUM(AE66,AF66,AG66))</f>
        <v/>
      </c>
      <c r="AI66" s="9"/>
      <c r="AJ66" s="9"/>
      <c r="AK66" s="9"/>
      <c r="AL66" s="11" t="str">
        <f aca="false">IF(COUNT(AI66,AJ66,AK66)=0,"",SUM(AI66,AJ66,AK66))</f>
        <v/>
      </c>
      <c r="AM66" s="6" t="str">
        <f aca="false">IF(N(AC66)=0,"",IF(COUNT($AC$6:$AC$105)&lt;5,"Too early",IF(AC66&gt;=1.5*MEDIAN($AC$6:$AC$105),"Top",IF(AC66&lt;=0.5*MEDIAN($AC$6:$AC$105),"Low","Average"))))</f>
        <v/>
      </c>
      <c r="AN66" s="7"/>
      <c r="AO66" s="7" t="s">
        <v>153</v>
      </c>
      <c r="AP66" s="12"/>
      <c r="AQ66" s="12"/>
      <c r="AR66" s="12"/>
      <c r="AS66" s="12"/>
      <c r="AT66" s="12"/>
      <c r="AU66" s="12"/>
      <c r="AV66" s="2" t="s">
        <v>113</v>
      </c>
    </row>
    <row r="67" customFormat="false" ht="60" hidden="false" customHeight="true" outlineLevel="0" collapsed="false">
      <c r="A67" s="6" t="n">
        <v>62</v>
      </c>
      <c r="B67" s="6" t="s">
        <v>464</v>
      </c>
      <c r="C67" s="6" t="s">
        <v>473</v>
      </c>
      <c r="D67" s="6" t="s">
        <v>474</v>
      </c>
      <c r="E67" s="6" t="s">
        <v>475</v>
      </c>
      <c r="F67" s="6" t="s">
        <v>476</v>
      </c>
      <c r="G67" s="6" t="n">
        <v>45</v>
      </c>
      <c r="H67" s="6" t="s">
        <v>90</v>
      </c>
      <c r="I67" s="7" t="n">
        <v>17</v>
      </c>
      <c r="J67" s="7" t="s">
        <v>64</v>
      </c>
      <c r="K67" s="7" t="s">
        <v>477</v>
      </c>
      <c r="L67" s="8" t="n">
        <v>46311</v>
      </c>
      <c r="M67" s="6" t="str">
        <f aca="false">IF(L67="","",TEXT(L67,"ddd"))</f>
        <v>Fri</v>
      </c>
      <c r="N67" s="7"/>
      <c r="O67" s="7" t="n">
        <v>32</v>
      </c>
      <c r="P67" s="7" t="s">
        <v>478</v>
      </c>
      <c r="Q67" s="7" t="s">
        <v>479</v>
      </c>
      <c r="R67" s="7" t="s">
        <v>480</v>
      </c>
      <c r="S67" s="9"/>
      <c r="T67" s="7"/>
      <c r="U67" s="10" t="str">
        <f aca="false">IF(OR(T67="",N(O67)=0),"",T67/O67)</f>
        <v/>
      </c>
      <c r="V67" s="7"/>
      <c r="W67" s="7"/>
      <c r="X67" s="7"/>
      <c r="Y67" s="9"/>
      <c r="Z67" s="7"/>
      <c r="AA67" s="9"/>
      <c r="AB67" s="7"/>
      <c r="AC67" s="11" t="str">
        <f aca="false">IF(COUNT(S67,Y67,AA67)=0,"",SUM(S67,Y67,AA67))</f>
        <v/>
      </c>
      <c r="AD67" s="10" t="str">
        <f aca="false">IF(N(AC67)=0,"",SUM(V67,W67,X67,Z67,AB67)/AC67)</f>
        <v/>
      </c>
      <c r="AE67" s="9"/>
      <c r="AF67" s="9"/>
      <c r="AG67" s="9"/>
      <c r="AH67" s="11" t="str">
        <f aca="false">IF(COUNT(AE67,AF67,AG67)=0,"",SUM(AE67,AF67,AG67))</f>
        <v/>
      </c>
      <c r="AI67" s="9"/>
      <c r="AJ67" s="9"/>
      <c r="AK67" s="9"/>
      <c r="AL67" s="11" t="str">
        <f aca="false">IF(COUNT(AI67,AJ67,AK67)=0,"",SUM(AI67,AJ67,AK67))</f>
        <v/>
      </c>
      <c r="AM67" s="6" t="str">
        <f aca="false">IF(N(AC67)=0,"",IF(COUNT($AC$6:$AC$105)&lt;5,"Too early",IF(AC67&gt;=1.5*MEDIAN($AC$6:$AC$105),"Top",IF(AC67&lt;=0.5*MEDIAN($AC$6:$AC$105),"Low","Average"))))</f>
        <v/>
      </c>
      <c r="AN67" s="7"/>
      <c r="AO67" s="7" t="s">
        <v>95</v>
      </c>
      <c r="AP67" s="12"/>
      <c r="AQ67" s="12"/>
      <c r="AR67" s="12"/>
      <c r="AS67" s="12"/>
      <c r="AT67" s="12"/>
      <c r="AU67" s="12"/>
      <c r="AV67" s="2" t="s">
        <v>96</v>
      </c>
    </row>
    <row r="68" customFormat="false" ht="60" hidden="false" customHeight="true" outlineLevel="0" collapsed="false">
      <c r="A68" s="6" t="n">
        <v>63</v>
      </c>
      <c r="B68" s="6" t="s">
        <v>464</v>
      </c>
      <c r="C68" s="6" t="s">
        <v>481</v>
      </c>
      <c r="D68" s="6" t="s">
        <v>482</v>
      </c>
      <c r="E68" s="6" t="s">
        <v>483</v>
      </c>
      <c r="F68" s="6" t="s">
        <v>484</v>
      </c>
      <c r="G68" s="6" t="n">
        <v>45</v>
      </c>
      <c r="H68" s="6" t="s">
        <v>90</v>
      </c>
      <c r="I68" s="7" t="n">
        <v>26</v>
      </c>
      <c r="J68" s="7" t="s">
        <v>64</v>
      </c>
      <c r="K68" s="7" t="s">
        <v>485</v>
      </c>
      <c r="L68" s="8" t="n">
        <v>46313</v>
      </c>
      <c r="M68" s="6" t="str">
        <f aca="false">IF(L68="","",TEXT(L68,"ddd"))</f>
        <v>Sun</v>
      </c>
      <c r="N68" s="7"/>
      <c r="O68" s="7" t="n">
        <v>36</v>
      </c>
      <c r="P68" s="7" t="s">
        <v>486</v>
      </c>
      <c r="Q68" s="7" t="s">
        <v>487</v>
      </c>
      <c r="R68" s="7" t="s">
        <v>488</v>
      </c>
      <c r="S68" s="9"/>
      <c r="T68" s="7"/>
      <c r="U68" s="10" t="str">
        <f aca="false">IF(OR(T68="",N(O68)=0),"",T68/O68)</f>
        <v/>
      </c>
      <c r="V68" s="7"/>
      <c r="W68" s="7"/>
      <c r="X68" s="7"/>
      <c r="Y68" s="9"/>
      <c r="Z68" s="7"/>
      <c r="AA68" s="9"/>
      <c r="AB68" s="7"/>
      <c r="AC68" s="11" t="str">
        <f aca="false">IF(COUNT(S68,Y68,AA68)=0,"",SUM(S68,Y68,AA68))</f>
        <v/>
      </c>
      <c r="AD68" s="10" t="str">
        <f aca="false">IF(N(AC68)=0,"",SUM(V68,W68,X68,Z68,AB68)/AC68)</f>
        <v/>
      </c>
      <c r="AE68" s="9"/>
      <c r="AF68" s="9"/>
      <c r="AG68" s="9"/>
      <c r="AH68" s="11" t="str">
        <f aca="false">IF(COUNT(AE68,AF68,AG68)=0,"",SUM(AE68,AF68,AG68))</f>
        <v/>
      </c>
      <c r="AI68" s="9"/>
      <c r="AJ68" s="9"/>
      <c r="AK68" s="9"/>
      <c r="AL68" s="11" t="str">
        <f aca="false">IF(COUNT(AI68,AJ68,AK68)=0,"",SUM(AI68,AJ68,AK68))</f>
        <v/>
      </c>
      <c r="AM68" s="6" t="str">
        <f aca="false">IF(N(AC68)=0,"",IF(COUNT($AC$6:$AC$105)&lt;5,"Too early",IF(AC68&gt;=1.5*MEDIAN($AC$6:$AC$105),"Top",IF(AC68&lt;=0.5*MEDIAN($AC$6:$AC$105),"Low","Average"))))</f>
        <v/>
      </c>
      <c r="AN68" s="7"/>
      <c r="AO68" s="7" t="s">
        <v>95</v>
      </c>
      <c r="AP68" s="12"/>
      <c r="AQ68" s="12"/>
      <c r="AR68" s="12"/>
      <c r="AS68" s="12"/>
      <c r="AT68" s="12"/>
      <c r="AU68" s="12"/>
      <c r="AV68" s="2" t="s">
        <v>72</v>
      </c>
    </row>
    <row r="69" customFormat="false" ht="60" hidden="false" customHeight="true" outlineLevel="0" collapsed="false">
      <c r="A69" s="6" t="n">
        <v>64</v>
      </c>
      <c r="B69" s="6" t="s">
        <v>464</v>
      </c>
      <c r="C69" s="6" t="s">
        <v>489</v>
      </c>
      <c r="D69" s="6" t="s">
        <v>490</v>
      </c>
      <c r="E69" s="6" t="s">
        <v>491</v>
      </c>
      <c r="F69" s="6" t="s">
        <v>492</v>
      </c>
      <c r="G69" s="6" t="n">
        <v>45</v>
      </c>
      <c r="H69" s="6" t="s">
        <v>110</v>
      </c>
      <c r="I69" s="7" t="n">
        <v>34</v>
      </c>
      <c r="J69" s="7" t="s">
        <v>64</v>
      </c>
      <c r="K69" s="7" t="s">
        <v>493</v>
      </c>
      <c r="L69" s="8"/>
      <c r="M69" s="6" t="str">
        <f aca="false">IF(L69="","",TEXT(L69,"ddd"))</f>
        <v/>
      </c>
      <c r="N69" s="7" t="s">
        <v>66</v>
      </c>
      <c r="O69" s="7"/>
      <c r="P69" s="7"/>
      <c r="Q69" s="7" t="s">
        <v>494</v>
      </c>
      <c r="R69" s="7"/>
      <c r="S69" s="9"/>
      <c r="T69" s="7"/>
      <c r="U69" s="10" t="str">
        <f aca="false">IF(OR(T69="",N(O69)=0),"",T69/O69)</f>
        <v/>
      </c>
      <c r="V69" s="7"/>
      <c r="W69" s="7"/>
      <c r="X69" s="7"/>
      <c r="Y69" s="9"/>
      <c r="Z69" s="7"/>
      <c r="AA69" s="9"/>
      <c r="AB69" s="7"/>
      <c r="AC69" s="11" t="str">
        <f aca="false">IF(COUNT(S69,Y69,AA69)=0,"",SUM(S69,Y69,AA69))</f>
        <v/>
      </c>
      <c r="AD69" s="10" t="str">
        <f aca="false">IF(N(AC69)=0,"",SUM(V69,W69,X69,Z69,AB69)/AC69)</f>
        <v/>
      </c>
      <c r="AE69" s="9"/>
      <c r="AF69" s="9"/>
      <c r="AG69" s="9"/>
      <c r="AH69" s="11" t="str">
        <f aca="false">IF(COUNT(AE69,AF69,AG69)=0,"",SUM(AE69,AF69,AG69))</f>
        <v/>
      </c>
      <c r="AI69" s="9"/>
      <c r="AJ69" s="9"/>
      <c r="AK69" s="9"/>
      <c r="AL69" s="11" t="str">
        <f aca="false">IF(COUNT(AI69,AJ69,AK69)=0,"",SUM(AI69,AJ69,AK69))</f>
        <v/>
      </c>
      <c r="AM69" s="6" t="str">
        <f aca="false">IF(N(AC69)=0,"",IF(COUNT($AC$6:$AC$105)&lt;5,"Too early",IF(AC69&gt;=1.5*MEDIAN($AC$6:$AC$105),"Top",IF(AC69&lt;=0.5*MEDIAN($AC$6:$AC$105),"Low","Average"))))</f>
        <v/>
      </c>
      <c r="AN69" s="7"/>
      <c r="AO69" s="7" t="s">
        <v>95</v>
      </c>
      <c r="AP69" s="12"/>
      <c r="AQ69" s="12"/>
      <c r="AR69" s="12"/>
      <c r="AS69" s="12"/>
      <c r="AT69" s="12"/>
      <c r="AU69" s="12"/>
      <c r="AV69" s="2" t="s">
        <v>96</v>
      </c>
    </row>
    <row r="70" customFormat="false" ht="60" hidden="false" customHeight="true" outlineLevel="0" collapsed="false">
      <c r="A70" s="6" t="n">
        <v>65</v>
      </c>
      <c r="B70" s="6" t="s">
        <v>464</v>
      </c>
      <c r="C70" s="6" t="s">
        <v>495</v>
      </c>
      <c r="D70" s="6" t="s">
        <v>496</v>
      </c>
      <c r="E70" s="6" t="s">
        <v>497</v>
      </c>
      <c r="F70" s="6" t="s">
        <v>498</v>
      </c>
      <c r="G70" s="6" t="n">
        <v>45</v>
      </c>
      <c r="H70" s="6" t="s">
        <v>110</v>
      </c>
      <c r="I70" s="7" t="n">
        <v>41</v>
      </c>
      <c r="J70" s="7" t="s">
        <v>64</v>
      </c>
      <c r="K70" s="7" t="s">
        <v>499</v>
      </c>
      <c r="L70" s="8"/>
      <c r="M70" s="6" t="str">
        <f aca="false">IF(L70="","",TEXT(L70,"ddd"))</f>
        <v/>
      </c>
      <c r="N70" s="7" t="s">
        <v>66</v>
      </c>
      <c r="O70" s="7"/>
      <c r="P70" s="7"/>
      <c r="Q70" s="7" t="s">
        <v>500</v>
      </c>
      <c r="R70" s="7"/>
      <c r="S70" s="9"/>
      <c r="T70" s="7"/>
      <c r="U70" s="10" t="str">
        <f aca="false">IF(OR(T70="",N(O70)=0),"",T70/O70)</f>
        <v/>
      </c>
      <c r="V70" s="7"/>
      <c r="W70" s="7"/>
      <c r="X70" s="7"/>
      <c r="Y70" s="9"/>
      <c r="Z70" s="7"/>
      <c r="AA70" s="9"/>
      <c r="AB70" s="7"/>
      <c r="AC70" s="11" t="str">
        <f aca="false">IF(COUNT(S70,Y70,AA70)=0,"",SUM(S70,Y70,AA70))</f>
        <v/>
      </c>
      <c r="AD70" s="10" t="str">
        <f aca="false">IF(N(AC70)=0,"",SUM(V70,W70,X70,Z70,AB70)/AC70)</f>
        <v/>
      </c>
      <c r="AE70" s="9"/>
      <c r="AF70" s="9"/>
      <c r="AG70" s="9"/>
      <c r="AH70" s="11" t="str">
        <f aca="false">IF(COUNT(AE70,AF70,AG70)=0,"",SUM(AE70,AF70,AG70))</f>
        <v/>
      </c>
      <c r="AI70" s="9"/>
      <c r="AJ70" s="9"/>
      <c r="AK70" s="9"/>
      <c r="AL70" s="11" t="str">
        <f aca="false">IF(COUNT(AI70,AJ70,AK70)=0,"",SUM(AI70,AJ70,AK70))</f>
        <v/>
      </c>
      <c r="AM70" s="6" t="str">
        <f aca="false">IF(N(AC70)=0,"",IF(COUNT($AC$6:$AC$105)&lt;5,"Too early",IF(AC70&gt;=1.5*MEDIAN($AC$6:$AC$105),"Top",IF(AC70&lt;=0.5*MEDIAN($AC$6:$AC$105),"Low","Average"))))</f>
        <v/>
      </c>
      <c r="AN70" s="7"/>
      <c r="AO70" s="7" t="s">
        <v>95</v>
      </c>
      <c r="AP70" s="12"/>
      <c r="AQ70" s="12"/>
      <c r="AR70" s="12"/>
      <c r="AS70" s="12"/>
      <c r="AT70" s="12"/>
      <c r="AU70" s="12"/>
      <c r="AV70" s="2" t="s">
        <v>96</v>
      </c>
    </row>
    <row r="71" customFormat="false" ht="60" hidden="false" customHeight="true" outlineLevel="0" collapsed="false">
      <c r="A71" s="6" t="n">
        <v>66</v>
      </c>
      <c r="B71" s="6" t="s">
        <v>464</v>
      </c>
      <c r="C71" s="6" t="s">
        <v>501</v>
      </c>
      <c r="D71" s="6" t="s">
        <v>502</v>
      </c>
      <c r="E71" s="6" t="s">
        <v>503</v>
      </c>
      <c r="F71" s="6" t="s">
        <v>504</v>
      </c>
      <c r="G71" s="6" t="n">
        <v>45</v>
      </c>
      <c r="H71" s="6" t="s">
        <v>110</v>
      </c>
      <c r="I71" s="7" t="n">
        <v>48</v>
      </c>
      <c r="J71" s="7" t="s">
        <v>64</v>
      </c>
      <c r="K71" s="7" t="s">
        <v>505</v>
      </c>
      <c r="L71" s="8"/>
      <c r="M71" s="6" t="str">
        <f aca="false">IF(L71="","",TEXT(L71,"ddd"))</f>
        <v/>
      </c>
      <c r="N71" s="7" t="s">
        <v>119</v>
      </c>
      <c r="O71" s="7"/>
      <c r="P71" s="7"/>
      <c r="Q71" s="7" t="s">
        <v>506</v>
      </c>
      <c r="R71" s="7"/>
      <c r="S71" s="9"/>
      <c r="T71" s="7"/>
      <c r="U71" s="10" t="str">
        <f aca="false">IF(OR(T71="",N(O71)=0),"",T71/O71)</f>
        <v/>
      </c>
      <c r="V71" s="7"/>
      <c r="W71" s="7"/>
      <c r="X71" s="7"/>
      <c r="Y71" s="9"/>
      <c r="Z71" s="7"/>
      <c r="AA71" s="9"/>
      <c r="AB71" s="7"/>
      <c r="AC71" s="11" t="str">
        <f aca="false">IF(COUNT(S71,Y71,AA71)=0,"",SUM(S71,Y71,AA71))</f>
        <v/>
      </c>
      <c r="AD71" s="10" t="str">
        <f aca="false">IF(N(AC71)=0,"",SUM(V71,W71,X71,Z71,AB71)/AC71)</f>
        <v/>
      </c>
      <c r="AE71" s="9"/>
      <c r="AF71" s="9"/>
      <c r="AG71" s="9"/>
      <c r="AH71" s="11" t="str">
        <f aca="false">IF(COUNT(AE71,AF71,AG71)=0,"",SUM(AE71,AF71,AG71))</f>
        <v/>
      </c>
      <c r="AI71" s="9"/>
      <c r="AJ71" s="9"/>
      <c r="AK71" s="9"/>
      <c r="AL71" s="11" t="str">
        <f aca="false">IF(COUNT(AI71,AJ71,AK71)=0,"",SUM(AI71,AJ71,AK71))</f>
        <v/>
      </c>
      <c r="AM71" s="6" t="str">
        <f aca="false">IF(N(AC71)=0,"",IF(COUNT($AC$6:$AC$105)&lt;5,"Too early",IF(AC71&gt;=1.5*MEDIAN($AC$6:$AC$105),"Top",IF(AC71&lt;=0.5*MEDIAN($AC$6:$AC$105),"Low","Average"))))</f>
        <v/>
      </c>
      <c r="AN71" s="7" t="s">
        <v>121</v>
      </c>
      <c r="AO71" s="7" t="s">
        <v>231</v>
      </c>
      <c r="AP71" s="12" t="s">
        <v>123</v>
      </c>
      <c r="AQ71" s="12" t="s">
        <v>507</v>
      </c>
      <c r="AR71" s="12" t="s">
        <v>508</v>
      </c>
      <c r="AS71" s="12" t="s">
        <v>509</v>
      </c>
      <c r="AT71" s="12" t="s">
        <v>510</v>
      </c>
      <c r="AU71" s="12" t="s">
        <v>511</v>
      </c>
      <c r="AV71" s="2" t="s">
        <v>96</v>
      </c>
    </row>
    <row r="72" customFormat="false" ht="60" hidden="false" customHeight="true" outlineLevel="0" collapsed="false">
      <c r="A72" s="6" t="n">
        <v>67</v>
      </c>
      <c r="B72" s="6" t="s">
        <v>464</v>
      </c>
      <c r="C72" s="6" t="s">
        <v>512</v>
      </c>
      <c r="D72" s="6" t="s">
        <v>513</v>
      </c>
      <c r="E72" s="6" t="s">
        <v>514</v>
      </c>
      <c r="F72" s="6" t="s">
        <v>515</v>
      </c>
      <c r="G72" s="6" t="n">
        <v>45</v>
      </c>
      <c r="H72" s="6" t="s">
        <v>133</v>
      </c>
      <c r="I72" s="7" t="n">
        <v>54</v>
      </c>
      <c r="J72" s="7" t="s">
        <v>64</v>
      </c>
      <c r="K72" s="7"/>
      <c r="L72" s="8"/>
      <c r="M72" s="6" t="str">
        <f aca="false">IF(L72="","",TEXT(L72,"ddd"))</f>
        <v/>
      </c>
      <c r="N72" s="7"/>
      <c r="O72" s="7"/>
      <c r="P72" s="7"/>
      <c r="Q72" s="7"/>
      <c r="R72" s="7"/>
      <c r="S72" s="9"/>
      <c r="T72" s="7"/>
      <c r="U72" s="10" t="str">
        <f aca="false">IF(OR(T72="",N(O72)=0),"",T72/O72)</f>
        <v/>
      </c>
      <c r="V72" s="7"/>
      <c r="W72" s="7"/>
      <c r="X72" s="7"/>
      <c r="Y72" s="9"/>
      <c r="Z72" s="7"/>
      <c r="AA72" s="9"/>
      <c r="AB72" s="7"/>
      <c r="AC72" s="11" t="str">
        <f aca="false">IF(COUNT(S72,Y72,AA72)=0,"",SUM(S72,Y72,AA72))</f>
        <v/>
      </c>
      <c r="AD72" s="10" t="str">
        <f aca="false">IF(N(AC72)=0,"",SUM(V72,W72,X72,Z72,AB72)/AC72)</f>
        <v/>
      </c>
      <c r="AE72" s="9"/>
      <c r="AF72" s="9"/>
      <c r="AG72" s="9"/>
      <c r="AH72" s="11" t="str">
        <f aca="false">IF(COUNT(AE72,AF72,AG72)=0,"",SUM(AE72,AF72,AG72))</f>
        <v/>
      </c>
      <c r="AI72" s="9"/>
      <c r="AJ72" s="9"/>
      <c r="AK72" s="9"/>
      <c r="AL72" s="11" t="str">
        <f aca="false">IF(COUNT(AI72,AJ72,AK72)=0,"",SUM(AI72,AJ72,AK72))</f>
        <v/>
      </c>
      <c r="AM72" s="6" t="str">
        <f aca="false">IF(N(AC72)=0,"",IF(COUNT($AC$6:$AC$105)&lt;5,"Too early",IF(AC72&gt;=1.5*MEDIAN($AC$6:$AC$105),"Top",IF(AC72&lt;=0.5*MEDIAN($AC$6:$AC$105),"Low","Average"))))</f>
        <v/>
      </c>
      <c r="AN72" s="7"/>
      <c r="AO72" s="7" t="s">
        <v>241</v>
      </c>
      <c r="AP72" s="12"/>
      <c r="AQ72" s="12"/>
      <c r="AR72" s="12"/>
      <c r="AS72" s="12"/>
      <c r="AT72" s="12"/>
      <c r="AU72" s="12"/>
      <c r="AV72" s="2" t="s">
        <v>96</v>
      </c>
    </row>
    <row r="73" customFormat="false" ht="60" hidden="false" customHeight="true" outlineLevel="0" collapsed="false">
      <c r="A73" s="6" t="n">
        <v>68</v>
      </c>
      <c r="B73" s="6" t="s">
        <v>464</v>
      </c>
      <c r="C73" s="6" t="s">
        <v>516</v>
      </c>
      <c r="D73" s="6" t="s">
        <v>517</v>
      </c>
      <c r="E73" s="6" t="s">
        <v>518</v>
      </c>
      <c r="F73" s="6" t="s">
        <v>519</v>
      </c>
      <c r="G73" s="6" t="n">
        <v>45</v>
      </c>
      <c r="H73" s="6" t="s">
        <v>133</v>
      </c>
      <c r="I73" s="7" t="n">
        <v>60</v>
      </c>
      <c r="J73" s="7" t="s">
        <v>64</v>
      </c>
      <c r="K73" s="7"/>
      <c r="L73" s="8"/>
      <c r="M73" s="6" t="str">
        <f aca="false">IF(L73="","",TEXT(L73,"ddd"))</f>
        <v/>
      </c>
      <c r="N73" s="7"/>
      <c r="O73" s="7"/>
      <c r="P73" s="7"/>
      <c r="Q73" s="7"/>
      <c r="R73" s="7"/>
      <c r="S73" s="9"/>
      <c r="T73" s="7"/>
      <c r="U73" s="10" t="str">
        <f aca="false">IF(OR(T73="",N(O73)=0),"",T73/O73)</f>
        <v/>
      </c>
      <c r="V73" s="7"/>
      <c r="W73" s="7"/>
      <c r="X73" s="7"/>
      <c r="Y73" s="9"/>
      <c r="Z73" s="7"/>
      <c r="AA73" s="9"/>
      <c r="AB73" s="7"/>
      <c r="AC73" s="11" t="str">
        <f aca="false">IF(COUNT(S73,Y73,AA73)=0,"",SUM(S73,Y73,AA73))</f>
        <v/>
      </c>
      <c r="AD73" s="10" t="str">
        <f aca="false">IF(N(AC73)=0,"",SUM(V73,W73,X73,Z73,AB73)/AC73)</f>
        <v/>
      </c>
      <c r="AE73" s="9"/>
      <c r="AF73" s="9"/>
      <c r="AG73" s="9"/>
      <c r="AH73" s="11" t="str">
        <f aca="false">IF(COUNT(AE73,AF73,AG73)=0,"",SUM(AE73,AF73,AG73))</f>
        <v/>
      </c>
      <c r="AI73" s="9"/>
      <c r="AJ73" s="9"/>
      <c r="AK73" s="9"/>
      <c r="AL73" s="11" t="str">
        <f aca="false">IF(COUNT(AI73,AJ73,AK73)=0,"",SUM(AI73,AJ73,AK73))</f>
        <v/>
      </c>
      <c r="AM73" s="6" t="str">
        <f aca="false">IF(N(AC73)=0,"",IF(COUNT($AC$6:$AC$105)&lt;5,"Too early",IF(AC73&gt;=1.5*MEDIAN($AC$6:$AC$105),"Top",IF(AC73&lt;=0.5*MEDIAN($AC$6:$AC$105),"Low","Average"))))</f>
        <v/>
      </c>
      <c r="AN73" s="7"/>
      <c r="AO73" s="7" t="s">
        <v>134</v>
      </c>
      <c r="AP73" s="12"/>
      <c r="AQ73" s="12"/>
      <c r="AR73" s="12"/>
      <c r="AS73" s="12"/>
      <c r="AT73" s="12"/>
      <c r="AU73" s="12"/>
      <c r="AV73" s="2" t="s">
        <v>72</v>
      </c>
    </row>
    <row r="74" customFormat="false" ht="60" hidden="false" customHeight="true" outlineLevel="0" collapsed="false">
      <c r="A74" s="6" t="n">
        <v>69</v>
      </c>
      <c r="B74" s="6" t="s">
        <v>464</v>
      </c>
      <c r="C74" s="6" t="s">
        <v>520</v>
      </c>
      <c r="D74" s="6" t="s">
        <v>521</v>
      </c>
      <c r="E74" s="6" t="s">
        <v>522</v>
      </c>
      <c r="F74" s="6" t="s">
        <v>523</v>
      </c>
      <c r="G74" s="6" t="n">
        <v>45</v>
      </c>
      <c r="H74" s="6" t="s">
        <v>133</v>
      </c>
      <c r="I74" s="7" t="n">
        <v>66</v>
      </c>
      <c r="J74" s="7" t="s">
        <v>64</v>
      </c>
      <c r="K74" s="7"/>
      <c r="L74" s="8"/>
      <c r="M74" s="6" t="str">
        <f aca="false">IF(L74="","",TEXT(L74,"ddd"))</f>
        <v/>
      </c>
      <c r="N74" s="7"/>
      <c r="O74" s="7"/>
      <c r="P74" s="7"/>
      <c r="Q74" s="7"/>
      <c r="R74" s="7"/>
      <c r="S74" s="9"/>
      <c r="T74" s="7"/>
      <c r="U74" s="10" t="str">
        <f aca="false">IF(OR(T74="",N(O74)=0),"",T74/O74)</f>
        <v/>
      </c>
      <c r="V74" s="7"/>
      <c r="W74" s="7"/>
      <c r="X74" s="7"/>
      <c r="Y74" s="9"/>
      <c r="Z74" s="7"/>
      <c r="AA74" s="9"/>
      <c r="AB74" s="7"/>
      <c r="AC74" s="11" t="str">
        <f aca="false">IF(COUNT(S74,Y74,AA74)=0,"",SUM(S74,Y74,AA74))</f>
        <v/>
      </c>
      <c r="AD74" s="10" t="str">
        <f aca="false">IF(N(AC74)=0,"",SUM(V74,W74,X74,Z74,AB74)/AC74)</f>
        <v/>
      </c>
      <c r="AE74" s="9"/>
      <c r="AF74" s="9"/>
      <c r="AG74" s="9"/>
      <c r="AH74" s="11" t="str">
        <f aca="false">IF(COUNT(AE74,AF74,AG74)=0,"",SUM(AE74,AF74,AG74))</f>
        <v/>
      </c>
      <c r="AI74" s="9"/>
      <c r="AJ74" s="9"/>
      <c r="AK74" s="9"/>
      <c r="AL74" s="11" t="str">
        <f aca="false">IF(COUNT(AI74,AJ74,AK74)=0,"",SUM(AI74,AJ74,AK74))</f>
        <v/>
      </c>
      <c r="AM74" s="6" t="str">
        <f aca="false">IF(N(AC74)=0,"",IF(COUNT($AC$6:$AC$105)&lt;5,"Too early",IF(AC74&gt;=1.5*MEDIAN($AC$6:$AC$105),"Top",IF(AC74&lt;=0.5*MEDIAN($AC$6:$AC$105),"Low","Average"))))</f>
        <v/>
      </c>
      <c r="AN74" s="7"/>
      <c r="AO74" s="7" t="s">
        <v>322</v>
      </c>
      <c r="AP74" s="12"/>
      <c r="AQ74" s="12"/>
      <c r="AR74" s="12"/>
      <c r="AS74" s="12"/>
      <c r="AT74" s="12"/>
      <c r="AU74" s="12"/>
      <c r="AV74" s="2" t="s">
        <v>96</v>
      </c>
    </row>
    <row r="75" customFormat="false" ht="60" hidden="false" customHeight="true" outlineLevel="0" collapsed="false">
      <c r="A75" s="6" t="n">
        <v>70</v>
      </c>
      <c r="B75" s="6" t="s">
        <v>464</v>
      </c>
      <c r="C75" s="6" t="s">
        <v>524</v>
      </c>
      <c r="D75" s="6" t="s">
        <v>525</v>
      </c>
      <c r="E75" s="6" t="s">
        <v>526</v>
      </c>
      <c r="F75" s="6" t="s">
        <v>527</v>
      </c>
      <c r="G75" s="6" t="n">
        <v>45</v>
      </c>
      <c r="H75" s="6" t="s">
        <v>133</v>
      </c>
      <c r="I75" s="7" t="n">
        <v>71</v>
      </c>
      <c r="J75" s="7" t="s">
        <v>64</v>
      </c>
      <c r="K75" s="7"/>
      <c r="L75" s="8"/>
      <c r="M75" s="6" t="str">
        <f aca="false">IF(L75="","",TEXT(L75,"ddd"))</f>
        <v/>
      </c>
      <c r="N75" s="7"/>
      <c r="O75" s="7"/>
      <c r="P75" s="7"/>
      <c r="Q75" s="7"/>
      <c r="R75" s="7"/>
      <c r="S75" s="9"/>
      <c r="T75" s="7"/>
      <c r="U75" s="10" t="str">
        <f aca="false">IF(OR(T75="",N(O75)=0),"",T75/O75)</f>
        <v/>
      </c>
      <c r="V75" s="7"/>
      <c r="W75" s="7"/>
      <c r="X75" s="7"/>
      <c r="Y75" s="9"/>
      <c r="Z75" s="7"/>
      <c r="AA75" s="9"/>
      <c r="AB75" s="7"/>
      <c r="AC75" s="11" t="str">
        <f aca="false">IF(COUNT(S75,Y75,AA75)=0,"",SUM(S75,Y75,AA75))</f>
        <v/>
      </c>
      <c r="AD75" s="10" t="str">
        <f aca="false">IF(N(AC75)=0,"",SUM(V75,W75,X75,Z75,AB75)/AC75)</f>
        <v/>
      </c>
      <c r="AE75" s="9"/>
      <c r="AF75" s="9"/>
      <c r="AG75" s="9"/>
      <c r="AH75" s="11" t="str">
        <f aca="false">IF(COUNT(AE75,AF75,AG75)=0,"",SUM(AE75,AF75,AG75))</f>
        <v/>
      </c>
      <c r="AI75" s="9"/>
      <c r="AJ75" s="9"/>
      <c r="AK75" s="9"/>
      <c r="AL75" s="11" t="str">
        <f aca="false">IF(COUNT(AI75,AJ75,AK75)=0,"",SUM(AI75,AJ75,AK75))</f>
        <v/>
      </c>
      <c r="AM75" s="6" t="str">
        <f aca="false">IF(N(AC75)=0,"",IF(COUNT($AC$6:$AC$105)&lt;5,"Too early",IF(AC75&gt;=1.5*MEDIAN($AC$6:$AC$105),"Top",IF(AC75&lt;=0.5*MEDIAN($AC$6:$AC$105),"Low","Average"))))</f>
        <v/>
      </c>
      <c r="AN75" s="7"/>
      <c r="AO75" s="7" t="s">
        <v>217</v>
      </c>
      <c r="AP75" s="12"/>
      <c r="AQ75" s="12"/>
      <c r="AR75" s="12"/>
      <c r="AS75" s="12"/>
      <c r="AT75" s="12"/>
      <c r="AU75" s="12"/>
      <c r="AV75" s="2" t="s">
        <v>96</v>
      </c>
    </row>
    <row r="76" customFormat="false" ht="60" hidden="false" customHeight="true" outlineLevel="0" collapsed="false">
      <c r="A76" s="6" t="n">
        <v>71</v>
      </c>
      <c r="B76" s="6" t="s">
        <v>528</v>
      </c>
      <c r="C76" s="6" t="s">
        <v>529</v>
      </c>
      <c r="D76" s="6" t="s">
        <v>530</v>
      </c>
      <c r="E76" s="6" t="s">
        <v>531</v>
      </c>
      <c r="F76" s="6" t="s">
        <v>532</v>
      </c>
      <c r="G76" s="6" t="n">
        <v>45</v>
      </c>
      <c r="H76" s="6" t="s">
        <v>90</v>
      </c>
      <c r="I76" s="7" t="n">
        <v>8</v>
      </c>
      <c r="J76" s="7" t="s">
        <v>64</v>
      </c>
      <c r="K76" s="7" t="s">
        <v>533</v>
      </c>
      <c r="L76" s="8" t="n">
        <v>46309</v>
      </c>
      <c r="M76" s="6" t="str">
        <f aca="false">IF(L76="","",TEXT(L76,"ddd"))</f>
        <v>Wed</v>
      </c>
      <c r="N76" s="7" t="s">
        <v>66</v>
      </c>
      <c r="O76" s="7" t="n">
        <v>30</v>
      </c>
      <c r="P76" s="7" t="s">
        <v>534</v>
      </c>
      <c r="Q76" s="7" t="s">
        <v>535</v>
      </c>
      <c r="R76" s="7" t="s">
        <v>536</v>
      </c>
      <c r="S76" s="9"/>
      <c r="T76" s="7"/>
      <c r="U76" s="10" t="str">
        <f aca="false">IF(OR(T76="",N(O76)=0),"",T76/O76)</f>
        <v/>
      </c>
      <c r="V76" s="7"/>
      <c r="W76" s="7"/>
      <c r="X76" s="7"/>
      <c r="Y76" s="9"/>
      <c r="Z76" s="7"/>
      <c r="AA76" s="9"/>
      <c r="AB76" s="7"/>
      <c r="AC76" s="11" t="str">
        <f aca="false">IF(COUNT(S76,Y76,AA76)=0,"",SUM(S76,Y76,AA76))</f>
        <v/>
      </c>
      <c r="AD76" s="10" t="str">
        <f aca="false">IF(N(AC76)=0,"",SUM(V76,W76,X76,Z76,AB76)/AC76)</f>
        <v/>
      </c>
      <c r="AE76" s="9"/>
      <c r="AF76" s="9"/>
      <c r="AG76" s="9"/>
      <c r="AH76" s="11" t="str">
        <f aca="false">IF(COUNT(AE76,AF76,AG76)=0,"",SUM(AE76,AF76,AG76))</f>
        <v/>
      </c>
      <c r="AI76" s="9"/>
      <c r="AJ76" s="9"/>
      <c r="AK76" s="9"/>
      <c r="AL76" s="11" t="str">
        <f aca="false">IF(COUNT(AI76,AJ76,AK76)=0,"",SUM(AI76,AJ76,AK76))</f>
        <v/>
      </c>
      <c r="AM76" s="6" t="str">
        <f aca="false">IF(N(AC76)=0,"",IF(COUNT($AC$6:$AC$105)&lt;5,"Too early",IF(AC76&gt;=1.5*MEDIAN($AC$6:$AC$105),"Top",IF(AC76&lt;=0.5*MEDIAN($AC$6:$AC$105),"Low","Average"))))</f>
        <v/>
      </c>
      <c r="AN76" s="7"/>
      <c r="AO76" s="7" t="s">
        <v>217</v>
      </c>
      <c r="AP76" s="12"/>
      <c r="AQ76" s="12"/>
      <c r="AR76" s="12"/>
      <c r="AS76" s="12"/>
      <c r="AT76" s="12"/>
      <c r="AU76" s="12"/>
      <c r="AV76" s="2" t="s">
        <v>96</v>
      </c>
    </row>
    <row r="77" customFormat="false" ht="60" hidden="false" customHeight="true" outlineLevel="0" collapsed="false">
      <c r="A77" s="6" t="n">
        <v>72</v>
      </c>
      <c r="B77" s="6" t="s">
        <v>528</v>
      </c>
      <c r="C77" s="6" t="s">
        <v>537</v>
      </c>
      <c r="D77" s="6" t="s">
        <v>538</v>
      </c>
      <c r="E77" s="6" t="s">
        <v>539</v>
      </c>
      <c r="F77" s="6" t="s">
        <v>540</v>
      </c>
      <c r="G77" s="6" t="n">
        <v>45</v>
      </c>
      <c r="H77" s="6" t="s">
        <v>90</v>
      </c>
      <c r="I77" s="7" t="n">
        <v>18</v>
      </c>
      <c r="J77" s="7" t="s">
        <v>64</v>
      </c>
      <c r="K77" s="7" t="s">
        <v>541</v>
      </c>
      <c r="L77" s="8" t="n">
        <v>46311</v>
      </c>
      <c r="M77" s="6" t="str">
        <f aca="false">IF(L77="","",TEXT(L77,"ddd"))</f>
        <v>Fri</v>
      </c>
      <c r="N77" s="7"/>
      <c r="O77" s="7" t="n">
        <v>31</v>
      </c>
      <c r="P77" s="7" t="s">
        <v>542</v>
      </c>
      <c r="Q77" s="7" t="s">
        <v>543</v>
      </c>
      <c r="R77" s="7" t="s">
        <v>544</v>
      </c>
      <c r="S77" s="9"/>
      <c r="T77" s="7"/>
      <c r="U77" s="10" t="str">
        <f aca="false">IF(OR(T77="",N(O77)=0),"",T77/O77)</f>
        <v/>
      </c>
      <c r="V77" s="7"/>
      <c r="W77" s="7"/>
      <c r="X77" s="7"/>
      <c r="Y77" s="9"/>
      <c r="Z77" s="7"/>
      <c r="AA77" s="9"/>
      <c r="AB77" s="7"/>
      <c r="AC77" s="11" t="str">
        <f aca="false">IF(COUNT(S77,Y77,AA77)=0,"",SUM(S77,Y77,AA77))</f>
        <v/>
      </c>
      <c r="AD77" s="10" t="str">
        <f aca="false">IF(N(AC77)=0,"",SUM(V77,W77,X77,Z77,AB77)/AC77)</f>
        <v/>
      </c>
      <c r="AE77" s="9"/>
      <c r="AF77" s="9"/>
      <c r="AG77" s="9"/>
      <c r="AH77" s="11" t="str">
        <f aca="false">IF(COUNT(AE77,AF77,AG77)=0,"",SUM(AE77,AF77,AG77))</f>
        <v/>
      </c>
      <c r="AI77" s="9"/>
      <c r="AJ77" s="9"/>
      <c r="AK77" s="9"/>
      <c r="AL77" s="11" t="str">
        <f aca="false">IF(COUNT(AI77,AJ77,AK77)=0,"",SUM(AI77,AJ77,AK77))</f>
        <v/>
      </c>
      <c r="AM77" s="6" t="str">
        <f aca="false">IF(N(AC77)=0,"",IF(COUNT($AC$6:$AC$105)&lt;5,"Too early",IF(AC77&gt;=1.5*MEDIAN($AC$6:$AC$105),"Top",IF(AC77&lt;=0.5*MEDIAN($AC$6:$AC$105),"Low","Average"))))</f>
        <v/>
      </c>
      <c r="AN77" s="7"/>
      <c r="AO77" s="7" t="s">
        <v>95</v>
      </c>
      <c r="AP77" s="12"/>
      <c r="AQ77" s="12"/>
      <c r="AR77" s="12"/>
      <c r="AS77" s="12"/>
      <c r="AT77" s="12"/>
      <c r="AU77" s="12"/>
      <c r="AV77" s="2" t="s">
        <v>96</v>
      </c>
    </row>
    <row r="78" customFormat="false" ht="60" hidden="false" customHeight="true" outlineLevel="0" collapsed="false">
      <c r="A78" s="6" t="n">
        <v>73</v>
      </c>
      <c r="B78" s="6" t="s">
        <v>528</v>
      </c>
      <c r="C78" s="6" t="s">
        <v>545</v>
      </c>
      <c r="D78" s="6" t="s">
        <v>546</v>
      </c>
      <c r="E78" s="6" t="s">
        <v>547</v>
      </c>
      <c r="F78" s="6" t="s">
        <v>548</v>
      </c>
      <c r="G78" s="6" t="n">
        <v>45</v>
      </c>
      <c r="H78" s="6" t="s">
        <v>90</v>
      </c>
      <c r="I78" s="7" t="n">
        <v>27</v>
      </c>
      <c r="J78" s="7" t="s">
        <v>64</v>
      </c>
      <c r="K78" s="7" t="s">
        <v>549</v>
      </c>
      <c r="L78" s="8" t="n">
        <v>46313</v>
      </c>
      <c r="M78" s="6" t="str">
        <f aca="false">IF(L78="","",TEXT(L78,"ddd"))</f>
        <v>Sun</v>
      </c>
      <c r="N78" s="7"/>
      <c r="O78" s="7" t="n">
        <v>44</v>
      </c>
      <c r="P78" s="7" t="s">
        <v>550</v>
      </c>
      <c r="Q78" s="7" t="s">
        <v>551</v>
      </c>
      <c r="R78" s="7" t="s">
        <v>552</v>
      </c>
      <c r="S78" s="9"/>
      <c r="T78" s="7"/>
      <c r="U78" s="10" t="str">
        <f aca="false">IF(OR(T78="",N(O78)=0),"",T78/O78)</f>
        <v/>
      </c>
      <c r="V78" s="7"/>
      <c r="W78" s="7"/>
      <c r="X78" s="7"/>
      <c r="Y78" s="9"/>
      <c r="Z78" s="7"/>
      <c r="AA78" s="9"/>
      <c r="AB78" s="7"/>
      <c r="AC78" s="11" t="str">
        <f aca="false">IF(COUNT(S78,Y78,AA78)=0,"",SUM(S78,Y78,AA78))</f>
        <v/>
      </c>
      <c r="AD78" s="10" t="str">
        <f aca="false">IF(N(AC78)=0,"",SUM(V78,W78,X78,Z78,AB78)/AC78)</f>
        <v/>
      </c>
      <c r="AE78" s="9"/>
      <c r="AF78" s="9"/>
      <c r="AG78" s="9"/>
      <c r="AH78" s="11" t="str">
        <f aca="false">IF(COUNT(AE78,AF78,AG78)=0,"",SUM(AE78,AF78,AG78))</f>
        <v/>
      </c>
      <c r="AI78" s="9"/>
      <c r="AJ78" s="9"/>
      <c r="AK78" s="9"/>
      <c r="AL78" s="11" t="str">
        <f aca="false">IF(COUNT(AI78,AJ78,AK78)=0,"",SUM(AI78,AJ78,AK78))</f>
        <v/>
      </c>
      <c r="AM78" s="6" t="str">
        <f aca="false">IF(N(AC78)=0,"",IF(COUNT($AC$6:$AC$105)&lt;5,"Too early",IF(AC78&gt;=1.5*MEDIAN($AC$6:$AC$105),"Top",IF(AC78&lt;=0.5*MEDIAN($AC$6:$AC$105),"Low","Average"))))</f>
        <v/>
      </c>
      <c r="AN78" s="7"/>
      <c r="AO78" s="7" t="s">
        <v>95</v>
      </c>
      <c r="AP78" s="12"/>
      <c r="AQ78" s="12"/>
      <c r="AR78" s="12"/>
      <c r="AS78" s="12"/>
      <c r="AT78" s="12"/>
      <c r="AU78" s="12"/>
      <c r="AV78" s="2" t="s">
        <v>72</v>
      </c>
    </row>
    <row r="79" customFormat="false" ht="60" hidden="false" customHeight="true" outlineLevel="0" collapsed="false">
      <c r="A79" s="6" t="n">
        <v>74</v>
      </c>
      <c r="B79" s="6" t="s">
        <v>528</v>
      </c>
      <c r="C79" s="6" t="s">
        <v>553</v>
      </c>
      <c r="D79" s="6" t="s">
        <v>554</v>
      </c>
      <c r="E79" s="6" t="s">
        <v>555</v>
      </c>
      <c r="F79" s="6" t="s">
        <v>556</v>
      </c>
      <c r="G79" s="6" t="n">
        <v>45</v>
      </c>
      <c r="H79" s="6" t="s">
        <v>133</v>
      </c>
      <c r="I79" s="7" t="n">
        <v>35</v>
      </c>
      <c r="J79" s="7" t="s">
        <v>64</v>
      </c>
      <c r="K79" s="7"/>
      <c r="L79" s="8"/>
      <c r="M79" s="6" t="str">
        <f aca="false">IF(L79="","",TEXT(L79,"ddd"))</f>
        <v/>
      </c>
      <c r="N79" s="7"/>
      <c r="O79" s="7"/>
      <c r="P79" s="7"/>
      <c r="Q79" s="7"/>
      <c r="R79" s="7"/>
      <c r="S79" s="9"/>
      <c r="T79" s="7"/>
      <c r="U79" s="10" t="str">
        <f aca="false">IF(OR(T79="",N(O79)=0),"",T79/O79)</f>
        <v/>
      </c>
      <c r="V79" s="7"/>
      <c r="W79" s="7"/>
      <c r="X79" s="7"/>
      <c r="Y79" s="9"/>
      <c r="Z79" s="7"/>
      <c r="AA79" s="9"/>
      <c r="AB79" s="7"/>
      <c r="AC79" s="11" t="str">
        <f aca="false">IF(COUNT(S79,Y79,AA79)=0,"",SUM(S79,Y79,AA79))</f>
        <v/>
      </c>
      <c r="AD79" s="10" t="str">
        <f aca="false">IF(N(AC79)=0,"",SUM(V79,W79,X79,Z79,AB79)/AC79)</f>
        <v/>
      </c>
      <c r="AE79" s="9"/>
      <c r="AF79" s="9"/>
      <c r="AG79" s="9"/>
      <c r="AH79" s="11" t="str">
        <f aca="false">IF(COUNT(AE79,AF79,AG79)=0,"",SUM(AE79,AF79,AG79))</f>
        <v/>
      </c>
      <c r="AI79" s="9"/>
      <c r="AJ79" s="9"/>
      <c r="AK79" s="9"/>
      <c r="AL79" s="11" t="str">
        <f aca="false">IF(COUNT(AI79,AJ79,AK79)=0,"",SUM(AI79,AJ79,AK79))</f>
        <v/>
      </c>
      <c r="AM79" s="6" t="str">
        <f aca="false">IF(N(AC79)=0,"",IF(COUNT($AC$6:$AC$105)&lt;5,"Too early",IF(AC79&gt;=1.5*MEDIAN($AC$6:$AC$105),"Top",IF(AC79&lt;=0.5*MEDIAN($AC$6:$AC$105),"Low","Average"))))</f>
        <v/>
      </c>
      <c r="AN79" s="7"/>
      <c r="AO79" s="7" t="s">
        <v>173</v>
      </c>
      <c r="AP79" s="12"/>
      <c r="AQ79" s="12"/>
      <c r="AR79" s="12"/>
      <c r="AS79" s="12"/>
      <c r="AT79" s="12"/>
      <c r="AU79" s="12"/>
      <c r="AV79" s="2" t="s">
        <v>164</v>
      </c>
    </row>
    <row r="80" customFormat="false" ht="60" hidden="false" customHeight="true" outlineLevel="0" collapsed="false">
      <c r="A80" s="6" t="n">
        <v>75</v>
      </c>
      <c r="B80" s="6" t="s">
        <v>528</v>
      </c>
      <c r="C80" s="6" t="s">
        <v>557</v>
      </c>
      <c r="D80" s="6" t="s">
        <v>558</v>
      </c>
      <c r="E80" s="6" t="s">
        <v>559</v>
      </c>
      <c r="F80" s="6" t="s">
        <v>560</v>
      </c>
      <c r="G80" s="6" t="n">
        <v>45</v>
      </c>
      <c r="H80" s="6" t="s">
        <v>133</v>
      </c>
      <c r="I80" s="7" t="n">
        <v>42</v>
      </c>
      <c r="J80" s="7" t="s">
        <v>64</v>
      </c>
      <c r="K80" s="7"/>
      <c r="L80" s="8"/>
      <c r="M80" s="6" t="str">
        <f aca="false">IF(L80="","",TEXT(L80,"ddd"))</f>
        <v/>
      </c>
      <c r="N80" s="7"/>
      <c r="O80" s="7"/>
      <c r="P80" s="7"/>
      <c r="Q80" s="7"/>
      <c r="R80" s="7"/>
      <c r="S80" s="9"/>
      <c r="T80" s="7"/>
      <c r="U80" s="10" t="str">
        <f aca="false">IF(OR(T80="",N(O80)=0),"",T80/O80)</f>
        <v/>
      </c>
      <c r="V80" s="7"/>
      <c r="W80" s="7"/>
      <c r="X80" s="7"/>
      <c r="Y80" s="9"/>
      <c r="Z80" s="7"/>
      <c r="AA80" s="9"/>
      <c r="AB80" s="7"/>
      <c r="AC80" s="11" t="str">
        <f aca="false">IF(COUNT(S80,Y80,AA80)=0,"",SUM(S80,Y80,AA80))</f>
        <v/>
      </c>
      <c r="AD80" s="10" t="str">
        <f aca="false">IF(N(AC80)=0,"",SUM(V80,W80,X80,Z80,AB80)/AC80)</f>
        <v/>
      </c>
      <c r="AE80" s="9"/>
      <c r="AF80" s="9"/>
      <c r="AG80" s="9"/>
      <c r="AH80" s="11" t="str">
        <f aca="false">IF(COUNT(AE80,AF80,AG80)=0,"",SUM(AE80,AF80,AG80))</f>
        <v/>
      </c>
      <c r="AI80" s="9"/>
      <c r="AJ80" s="9"/>
      <c r="AK80" s="9"/>
      <c r="AL80" s="11" t="str">
        <f aca="false">IF(COUNT(AI80,AJ80,AK80)=0,"",SUM(AI80,AJ80,AK80))</f>
        <v/>
      </c>
      <c r="AM80" s="6" t="str">
        <f aca="false">IF(N(AC80)=0,"",IF(COUNT($AC$6:$AC$105)&lt;5,"Too early",IF(AC80&gt;=1.5*MEDIAN($AC$6:$AC$105),"Top",IF(AC80&lt;=0.5*MEDIAN($AC$6:$AC$105),"Low","Average"))))</f>
        <v/>
      </c>
      <c r="AN80" s="7"/>
      <c r="AO80" s="7" t="s">
        <v>286</v>
      </c>
      <c r="AP80" s="12"/>
      <c r="AQ80" s="12"/>
      <c r="AR80" s="12"/>
      <c r="AS80" s="12"/>
      <c r="AT80" s="12"/>
      <c r="AU80" s="12"/>
      <c r="AV80" s="2" t="s">
        <v>96</v>
      </c>
    </row>
    <row r="81" customFormat="false" ht="60" hidden="false" customHeight="true" outlineLevel="0" collapsed="false">
      <c r="A81" s="6" t="n">
        <v>76</v>
      </c>
      <c r="B81" s="6" t="s">
        <v>528</v>
      </c>
      <c r="C81" s="6" t="s">
        <v>561</v>
      </c>
      <c r="D81" s="6" t="s">
        <v>562</v>
      </c>
      <c r="E81" s="6" t="s">
        <v>563</v>
      </c>
      <c r="F81" s="6" t="s">
        <v>564</v>
      </c>
      <c r="G81" s="6" t="n">
        <v>45</v>
      </c>
      <c r="H81" s="6" t="s">
        <v>133</v>
      </c>
      <c r="I81" s="7" t="n">
        <v>49</v>
      </c>
      <c r="J81" s="7" t="s">
        <v>64</v>
      </c>
      <c r="K81" s="7"/>
      <c r="L81" s="8"/>
      <c r="M81" s="6" t="str">
        <f aca="false">IF(L81="","",TEXT(L81,"ddd"))</f>
        <v/>
      </c>
      <c r="N81" s="7"/>
      <c r="O81" s="7"/>
      <c r="P81" s="7"/>
      <c r="Q81" s="7"/>
      <c r="R81" s="7"/>
      <c r="S81" s="9"/>
      <c r="T81" s="7"/>
      <c r="U81" s="10" t="str">
        <f aca="false">IF(OR(T81="",N(O81)=0),"",T81/O81)</f>
        <v/>
      </c>
      <c r="V81" s="7"/>
      <c r="W81" s="7"/>
      <c r="X81" s="7"/>
      <c r="Y81" s="9"/>
      <c r="Z81" s="7"/>
      <c r="AA81" s="9"/>
      <c r="AB81" s="7"/>
      <c r="AC81" s="11" t="str">
        <f aca="false">IF(COUNT(S81,Y81,AA81)=0,"",SUM(S81,Y81,AA81))</f>
        <v/>
      </c>
      <c r="AD81" s="10" t="str">
        <f aca="false">IF(N(AC81)=0,"",SUM(V81,W81,X81,Z81,AB81)/AC81)</f>
        <v/>
      </c>
      <c r="AE81" s="9"/>
      <c r="AF81" s="9"/>
      <c r="AG81" s="9"/>
      <c r="AH81" s="11" t="str">
        <f aca="false">IF(COUNT(AE81,AF81,AG81)=0,"",SUM(AE81,AF81,AG81))</f>
        <v/>
      </c>
      <c r="AI81" s="9"/>
      <c r="AJ81" s="9"/>
      <c r="AK81" s="9"/>
      <c r="AL81" s="11" t="str">
        <f aca="false">IF(COUNT(AI81,AJ81,AK81)=0,"",SUM(AI81,AJ81,AK81))</f>
        <v/>
      </c>
      <c r="AM81" s="6" t="str">
        <f aca="false">IF(N(AC81)=0,"",IF(COUNT($AC$6:$AC$105)&lt;5,"Too early",IF(AC81&gt;=1.5*MEDIAN($AC$6:$AC$105),"Top",IF(AC81&lt;=0.5*MEDIAN($AC$6:$AC$105),"Low","Average"))))</f>
        <v/>
      </c>
      <c r="AN81" s="7"/>
      <c r="AO81" s="7" t="s">
        <v>153</v>
      </c>
      <c r="AP81" s="12"/>
      <c r="AQ81" s="12"/>
      <c r="AR81" s="12"/>
      <c r="AS81" s="12"/>
      <c r="AT81" s="12"/>
      <c r="AU81" s="12"/>
      <c r="AV81" s="2" t="s">
        <v>72</v>
      </c>
    </row>
    <row r="82" customFormat="false" ht="60" hidden="false" customHeight="true" outlineLevel="0" collapsed="false">
      <c r="A82" s="6" t="n">
        <v>77</v>
      </c>
      <c r="B82" s="6" t="s">
        <v>528</v>
      </c>
      <c r="C82" s="6" t="s">
        <v>565</v>
      </c>
      <c r="D82" s="6" t="s">
        <v>566</v>
      </c>
      <c r="E82" s="6" t="s">
        <v>567</v>
      </c>
      <c r="F82" s="6" t="s">
        <v>568</v>
      </c>
      <c r="G82" s="6" t="n">
        <v>45</v>
      </c>
      <c r="H82" s="6" t="s">
        <v>133</v>
      </c>
      <c r="I82" s="7" t="n">
        <v>55</v>
      </c>
      <c r="J82" s="7" t="s">
        <v>64</v>
      </c>
      <c r="K82" s="7"/>
      <c r="L82" s="8"/>
      <c r="M82" s="6" t="str">
        <f aca="false">IF(L82="","",TEXT(L82,"ddd"))</f>
        <v/>
      </c>
      <c r="N82" s="7"/>
      <c r="O82" s="7"/>
      <c r="P82" s="7"/>
      <c r="Q82" s="7"/>
      <c r="R82" s="7"/>
      <c r="S82" s="9"/>
      <c r="T82" s="7"/>
      <c r="U82" s="10" t="str">
        <f aca="false">IF(OR(T82="",N(O82)=0),"",T82/O82)</f>
        <v/>
      </c>
      <c r="V82" s="7"/>
      <c r="W82" s="7"/>
      <c r="X82" s="7"/>
      <c r="Y82" s="9"/>
      <c r="Z82" s="7"/>
      <c r="AA82" s="9"/>
      <c r="AB82" s="7"/>
      <c r="AC82" s="11" t="str">
        <f aca="false">IF(COUNT(S82,Y82,AA82)=0,"",SUM(S82,Y82,AA82))</f>
        <v/>
      </c>
      <c r="AD82" s="10" t="str">
        <f aca="false">IF(N(AC82)=0,"",SUM(V82,W82,X82,Z82,AB82)/AC82)</f>
        <v/>
      </c>
      <c r="AE82" s="9"/>
      <c r="AF82" s="9"/>
      <c r="AG82" s="9"/>
      <c r="AH82" s="11" t="str">
        <f aca="false">IF(COUNT(AE82,AF82,AG82)=0,"",SUM(AE82,AF82,AG82))</f>
        <v/>
      </c>
      <c r="AI82" s="9"/>
      <c r="AJ82" s="9"/>
      <c r="AK82" s="9"/>
      <c r="AL82" s="11" t="str">
        <f aca="false">IF(COUNT(AI82,AJ82,AK82)=0,"",SUM(AI82,AJ82,AK82))</f>
        <v/>
      </c>
      <c r="AM82" s="6" t="str">
        <f aca="false">IF(N(AC82)=0,"",IF(COUNT($AC$6:$AC$105)&lt;5,"Too early",IF(AC82&gt;=1.5*MEDIAN($AC$6:$AC$105),"Top",IF(AC82&lt;=0.5*MEDIAN($AC$6:$AC$105),"Low","Average"))))</f>
        <v/>
      </c>
      <c r="AN82" s="7"/>
      <c r="AO82" s="7" t="s">
        <v>139</v>
      </c>
      <c r="AP82" s="12"/>
      <c r="AQ82" s="12"/>
      <c r="AR82" s="12"/>
      <c r="AS82" s="12"/>
      <c r="AT82" s="12"/>
      <c r="AU82" s="12"/>
      <c r="AV82" s="2" t="s">
        <v>96</v>
      </c>
    </row>
    <row r="83" customFormat="false" ht="60" hidden="false" customHeight="true" outlineLevel="0" collapsed="false">
      <c r="A83" s="6" t="n">
        <v>78</v>
      </c>
      <c r="B83" s="6" t="s">
        <v>528</v>
      </c>
      <c r="C83" s="6" t="s">
        <v>569</v>
      </c>
      <c r="D83" s="6" t="s">
        <v>570</v>
      </c>
      <c r="E83" s="6" t="s">
        <v>571</v>
      </c>
      <c r="F83" s="6" t="s">
        <v>572</v>
      </c>
      <c r="G83" s="6" t="n">
        <v>45</v>
      </c>
      <c r="H83" s="6" t="s">
        <v>133</v>
      </c>
      <c r="I83" s="7" t="n">
        <v>76</v>
      </c>
      <c r="J83" s="7" t="s">
        <v>237</v>
      </c>
      <c r="K83" s="7"/>
      <c r="L83" s="8"/>
      <c r="M83" s="6" t="str">
        <f aca="false">IF(L83="","",TEXT(L83,"ddd"))</f>
        <v/>
      </c>
      <c r="N83" s="7"/>
      <c r="O83" s="7"/>
      <c r="P83" s="7"/>
      <c r="Q83" s="7"/>
      <c r="R83" s="7"/>
      <c r="S83" s="9"/>
      <c r="T83" s="7"/>
      <c r="U83" s="10" t="str">
        <f aca="false">IF(OR(T83="",N(O83)=0),"",T83/O83)</f>
        <v/>
      </c>
      <c r="V83" s="7"/>
      <c r="W83" s="7"/>
      <c r="X83" s="7"/>
      <c r="Y83" s="9"/>
      <c r="Z83" s="7"/>
      <c r="AA83" s="9"/>
      <c r="AB83" s="7"/>
      <c r="AC83" s="11" t="str">
        <f aca="false">IF(COUNT(S83,Y83,AA83)=0,"",SUM(S83,Y83,AA83))</f>
        <v/>
      </c>
      <c r="AD83" s="10" t="str">
        <f aca="false">IF(N(AC83)=0,"",SUM(V83,W83,X83,Z83,AB83)/AC83)</f>
        <v/>
      </c>
      <c r="AE83" s="9"/>
      <c r="AF83" s="9"/>
      <c r="AG83" s="9"/>
      <c r="AH83" s="11" t="str">
        <f aca="false">IF(COUNT(AE83,AF83,AG83)=0,"",SUM(AE83,AF83,AG83))</f>
        <v/>
      </c>
      <c r="AI83" s="9"/>
      <c r="AJ83" s="9"/>
      <c r="AK83" s="9"/>
      <c r="AL83" s="11" t="str">
        <f aca="false">IF(COUNT(AI83,AJ83,AK83)=0,"",SUM(AI83,AJ83,AK83))</f>
        <v/>
      </c>
      <c r="AM83" s="6" t="str">
        <f aca="false">IF(N(AC83)=0,"",IF(COUNT($AC$6:$AC$105)&lt;5,"Too early",IF(AC83&gt;=1.5*MEDIAN($AC$6:$AC$105),"Top",IF(AC83&lt;=0.5*MEDIAN($AC$6:$AC$105),"Low","Average"))))</f>
        <v/>
      </c>
      <c r="AN83" s="7"/>
      <c r="AO83" s="7" t="s">
        <v>286</v>
      </c>
      <c r="AP83" s="12"/>
      <c r="AQ83" s="12"/>
      <c r="AR83" s="12"/>
      <c r="AS83" s="12"/>
      <c r="AT83" s="12"/>
      <c r="AU83" s="12"/>
      <c r="AV83" s="2" t="s">
        <v>96</v>
      </c>
    </row>
    <row r="84" customFormat="false" ht="60" hidden="false" customHeight="true" outlineLevel="0" collapsed="false">
      <c r="A84" s="6" t="n">
        <v>79</v>
      </c>
      <c r="B84" s="6" t="s">
        <v>528</v>
      </c>
      <c r="C84" s="6" t="s">
        <v>573</v>
      </c>
      <c r="D84" s="6" t="s">
        <v>574</v>
      </c>
      <c r="E84" s="6" t="s">
        <v>575</v>
      </c>
      <c r="F84" s="6" t="s">
        <v>576</v>
      </c>
      <c r="G84" s="6" t="n">
        <v>45</v>
      </c>
      <c r="H84" s="6" t="s">
        <v>133</v>
      </c>
      <c r="I84" s="7" t="n">
        <v>83</v>
      </c>
      <c r="J84" s="7" t="s">
        <v>237</v>
      </c>
      <c r="K84" s="7"/>
      <c r="L84" s="8"/>
      <c r="M84" s="6" t="str">
        <f aca="false">IF(L84="","",TEXT(L84,"ddd"))</f>
        <v/>
      </c>
      <c r="N84" s="7"/>
      <c r="O84" s="7"/>
      <c r="P84" s="7"/>
      <c r="Q84" s="7"/>
      <c r="R84" s="7"/>
      <c r="S84" s="9"/>
      <c r="T84" s="7"/>
      <c r="U84" s="10" t="str">
        <f aca="false">IF(OR(T84="",N(O84)=0),"",T84/O84)</f>
        <v/>
      </c>
      <c r="V84" s="7"/>
      <c r="W84" s="7"/>
      <c r="X84" s="7"/>
      <c r="Y84" s="9"/>
      <c r="Z84" s="7"/>
      <c r="AA84" s="9"/>
      <c r="AB84" s="7"/>
      <c r="AC84" s="11" t="str">
        <f aca="false">IF(COUNT(S84,Y84,AA84)=0,"",SUM(S84,Y84,AA84))</f>
        <v/>
      </c>
      <c r="AD84" s="10" t="str">
        <f aca="false">IF(N(AC84)=0,"",SUM(V84,W84,X84,Z84,AB84)/AC84)</f>
        <v/>
      </c>
      <c r="AE84" s="9"/>
      <c r="AF84" s="9"/>
      <c r="AG84" s="9"/>
      <c r="AH84" s="11" t="str">
        <f aca="false">IF(COUNT(AE84,AF84,AG84)=0,"",SUM(AE84,AF84,AG84))</f>
        <v/>
      </c>
      <c r="AI84" s="9"/>
      <c r="AJ84" s="9"/>
      <c r="AK84" s="9"/>
      <c r="AL84" s="11" t="str">
        <f aca="false">IF(COUNT(AI84,AJ84,AK84)=0,"",SUM(AI84,AJ84,AK84))</f>
        <v/>
      </c>
      <c r="AM84" s="6" t="str">
        <f aca="false">IF(N(AC84)=0,"",IF(COUNT($AC$6:$AC$105)&lt;5,"Too early",IF(AC84&gt;=1.5*MEDIAN($AC$6:$AC$105),"Top",IF(AC84&lt;=0.5*MEDIAN($AC$6:$AC$105),"Low","Average"))))</f>
        <v/>
      </c>
      <c r="AN84" s="7"/>
      <c r="AO84" s="7" t="s">
        <v>322</v>
      </c>
      <c r="AP84" s="12"/>
      <c r="AQ84" s="12"/>
      <c r="AR84" s="12"/>
      <c r="AS84" s="12"/>
      <c r="AT84" s="12"/>
      <c r="AU84" s="12"/>
      <c r="AV84" s="2" t="s">
        <v>96</v>
      </c>
    </row>
    <row r="85" customFormat="false" ht="60" hidden="false" customHeight="true" outlineLevel="0" collapsed="false">
      <c r="A85" s="6" t="n">
        <v>80</v>
      </c>
      <c r="B85" s="6" t="s">
        <v>528</v>
      </c>
      <c r="C85" s="6" t="s">
        <v>577</v>
      </c>
      <c r="D85" s="6" t="s">
        <v>578</v>
      </c>
      <c r="E85" s="6" t="s">
        <v>579</v>
      </c>
      <c r="F85" s="6" t="s">
        <v>580</v>
      </c>
      <c r="G85" s="6" t="n">
        <v>45</v>
      </c>
      <c r="H85" s="6" t="s">
        <v>133</v>
      </c>
      <c r="I85" s="7" t="n">
        <v>61</v>
      </c>
      <c r="J85" s="7" t="s">
        <v>64</v>
      </c>
      <c r="K85" s="7"/>
      <c r="L85" s="8"/>
      <c r="M85" s="6" t="str">
        <f aca="false">IF(L85="","",TEXT(L85,"ddd"))</f>
        <v/>
      </c>
      <c r="N85" s="7"/>
      <c r="O85" s="7"/>
      <c r="P85" s="7"/>
      <c r="Q85" s="7"/>
      <c r="R85" s="7"/>
      <c r="S85" s="9"/>
      <c r="T85" s="7"/>
      <c r="U85" s="10" t="str">
        <f aca="false">IF(OR(T85="",N(O85)=0),"",T85/O85)</f>
        <v/>
      </c>
      <c r="V85" s="7"/>
      <c r="W85" s="7"/>
      <c r="X85" s="7"/>
      <c r="Y85" s="9"/>
      <c r="Z85" s="7"/>
      <c r="AA85" s="9"/>
      <c r="AB85" s="7"/>
      <c r="AC85" s="11" t="str">
        <f aca="false">IF(COUNT(S85,Y85,AA85)=0,"",SUM(S85,Y85,AA85))</f>
        <v/>
      </c>
      <c r="AD85" s="10" t="str">
        <f aca="false">IF(N(AC85)=0,"",SUM(V85,W85,X85,Z85,AB85)/AC85)</f>
        <v/>
      </c>
      <c r="AE85" s="9"/>
      <c r="AF85" s="9"/>
      <c r="AG85" s="9"/>
      <c r="AH85" s="11" t="str">
        <f aca="false">IF(COUNT(AE85,AF85,AG85)=0,"",SUM(AE85,AF85,AG85))</f>
        <v/>
      </c>
      <c r="AI85" s="9"/>
      <c r="AJ85" s="9"/>
      <c r="AK85" s="9"/>
      <c r="AL85" s="11" t="str">
        <f aca="false">IF(COUNT(AI85,AJ85,AK85)=0,"",SUM(AI85,AJ85,AK85))</f>
        <v/>
      </c>
      <c r="AM85" s="6" t="str">
        <f aca="false">IF(N(AC85)=0,"",IF(COUNT($AC$6:$AC$105)&lt;5,"Too early",IF(AC85&gt;=1.5*MEDIAN($AC$6:$AC$105),"Top",IF(AC85&lt;=0.5*MEDIAN($AC$6:$AC$105),"Low","Average"))))</f>
        <v/>
      </c>
      <c r="AN85" s="7"/>
      <c r="AO85" s="7" t="s">
        <v>134</v>
      </c>
      <c r="AP85" s="12"/>
      <c r="AQ85" s="12"/>
      <c r="AR85" s="12"/>
      <c r="AS85" s="12"/>
      <c r="AT85" s="12"/>
      <c r="AU85" s="12"/>
      <c r="AV85" s="2" t="s">
        <v>96</v>
      </c>
    </row>
    <row r="86" customFormat="false" ht="60" hidden="false" customHeight="true" outlineLevel="0" collapsed="false">
      <c r="A86" s="6" t="n">
        <v>81</v>
      </c>
      <c r="B86" s="6" t="s">
        <v>581</v>
      </c>
      <c r="C86" s="6" t="s">
        <v>582</v>
      </c>
      <c r="D86" s="6" t="s">
        <v>583</v>
      </c>
      <c r="E86" s="6" t="s">
        <v>584</v>
      </c>
      <c r="F86" s="6" t="s">
        <v>585</v>
      </c>
      <c r="G86" s="6" t="n">
        <v>45</v>
      </c>
      <c r="H86" s="6" t="s">
        <v>133</v>
      </c>
      <c r="I86" s="7" t="n">
        <v>77</v>
      </c>
      <c r="J86" s="7" t="s">
        <v>237</v>
      </c>
      <c r="K86" s="7"/>
      <c r="L86" s="8"/>
      <c r="M86" s="6" t="str">
        <f aca="false">IF(L86="","",TEXT(L86,"ddd"))</f>
        <v/>
      </c>
      <c r="N86" s="7"/>
      <c r="O86" s="7"/>
      <c r="P86" s="7"/>
      <c r="Q86" s="7"/>
      <c r="R86" s="7"/>
      <c r="S86" s="9"/>
      <c r="T86" s="7"/>
      <c r="U86" s="10" t="str">
        <f aca="false">IF(OR(T86="",N(O86)=0),"",T86/O86)</f>
        <v/>
      </c>
      <c r="V86" s="7"/>
      <c r="W86" s="7"/>
      <c r="X86" s="7"/>
      <c r="Y86" s="9"/>
      <c r="Z86" s="7"/>
      <c r="AA86" s="9"/>
      <c r="AB86" s="7"/>
      <c r="AC86" s="11" t="str">
        <f aca="false">IF(COUNT(S86,Y86,AA86)=0,"",SUM(S86,Y86,AA86))</f>
        <v/>
      </c>
      <c r="AD86" s="10" t="str">
        <f aca="false">IF(N(AC86)=0,"",SUM(V86,W86,X86,Z86,AB86)/AC86)</f>
        <v/>
      </c>
      <c r="AE86" s="9"/>
      <c r="AF86" s="9"/>
      <c r="AG86" s="9"/>
      <c r="AH86" s="11" t="str">
        <f aca="false">IF(COUNT(AE86,AF86,AG86)=0,"",SUM(AE86,AF86,AG86))</f>
        <v/>
      </c>
      <c r="AI86" s="9"/>
      <c r="AJ86" s="9"/>
      <c r="AK86" s="9"/>
      <c r="AL86" s="11" t="str">
        <f aca="false">IF(COUNT(AI86,AJ86,AK86)=0,"",SUM(AI86,AJ86,AK86))</f>
        <v/>
      </c>
      <c r="AM86" s="6" t="str">
        <f aca="false">IF(N(AC86)=0,"",IF(COUNT($AC$6:$AC$105)&lt;5,"Too early",IF(AC86&gt;=1.5*MEDIAN($AC$6:$AC$105),"Top",IF(AC86&lt;=0.5*MEDIAN($AC$6:$AC$105),"Low","Average"))))</f>
        <v/>
      </c>
      <c r="AN86" s="7"/>
      <c r="AO86" s="7" t="s">
        <v>273</v>
      </c>
      <c r="AP86" s="12"/>
      <c r="AQ86" s="12"/>
      <c r="AR86" s="12"/>
      <c r="AS86" s="12"/>
      <c r="AT86" s="12"/>
      <c r="AU86" s="12"/>
      <c r="AV86" s="2" t="s">
        <v>85</v>
      </c>
    </row>
    <row r="87" customFormat="false" ht="60" hidden="false" customHeight="true" outlineLevel="0" collapsed="false">
      <c r="A87" s="6" t="n">
        <v>82</v>
      </c>
      <c r="B87" s="6" t="s">
        <v>581</v>
      </c>
      <c r="C87" s="6" t="s">
        <v>586</v>
      </c>
      <c r="D87" s="6" t="s">
        <v>587</v>
      </c>
      <c r="E87" s="6" t="s">
        <v>588</v>
      </c>
      <c r="F87" s="6" t="s">
        <v>589</v>
      </c>
      <c r="G87" s="6" t="n">
        <v>45</v>
      </c>
      <c r="H87" s="6" t="s">
        <v>90</v>
      </c>
      <c r="I87" s="7" t="n">
        <v>9</v>
      </c>
      <c r="J87" s="7" t="s">
        <v>64</v>
      </c>
      <c r="K87" s="7" t="s">
        <v>590</v>
      </c>
      <c r="L87" s="8" t="n">
        <v>46310</v>
      </c>
      <c r="M87" s="6" t="str">
        <f aca="false">IF(L87="","",TEXT(L87,"ddd"))</f>
        <v>Thu</v>
      </c>
      <c r="N87" s="7" t="s">
        <v>66</v>
      </c>
      <c r="O87" s="7" t="n">
        <v>28</v>
      </c>
      <c r="P87" s="7" t="s">
        <v>591</v>
      </c>
      <c r="Q87" s="7" t="s">
        <v>592</v>
      </c>
      <c r="R87" s="7" t="s">
        <v>593</v>
      </c>
      <c r="S87" s="9"/>
      <c r="T87" s="7"/>
      <c r="U87" s="10" t="str">
        <f aca="false">IF(OR(T87="",N(O87)=0),"",T87/O87)</f>
        <v/>
      </c>
      <c r="V87" s="7"/>
      <c r="W87" s="7"/>
      <c r="X87" s="7"/>
      <c r="Y87" s="9"/>
      <c r="Z87" s="7"/>
      <c r="AA87" s="9"/>
      <c r="AB87" s="7"/>
      <c r="AC87" s="11" t="str">
        <f aca="false">IF(COUNT(S87,Y87,AA87)=0,"",SUM(S87,Y87,AA87))</f>
        <v/>
      </c>
      <c r="AD87" s="10" t="str">
        <f aca="false">IF(N(AC87)=0,"",SUM(V87,W87,X87,Z87,AB87)/AC87)</f>
        <v/>
      </c>
      <c r="AE87" s="9"/>
      <c r="AF87" s="9"/>
      <c r="AG87" s="9"/>
      <c r="AH87" s="11" t="str">
        <f aca="false">IF(COUNT(AE87,AF87,AG87)=0,"",SUM(AE87,AF87,AG87))</f>
        <v/>
      </c>
      <c r="AI87" s="9"/>
      <c r="AJ87" s="9"/>
      <c r="AK87" s="9"/>
      <c r="AL87" s="11" t="str">
        <f aca="false">IF(COUNT(AI87,AJ87,AK87)=0,"",SUM(AI87,AJ87,AK87))</f>
        <v/>
      </c>
      <c r="AM87" s="6" t="str">
        <f aca="false">IF(N(AC87)=0,"",IF(COUNT($AC$6:$AC$105)&lt;5,"Too early",IF(AC87&gt;=1.5*MEDIAN($AC$6:$AC$105),"Top",IF(AC87&lt;=0.5*MEDIAN($AC$6:$AC$105),"Low","Average"))))</f>
        <v/>
      </c>
      <c r="AN87" s="7"/>
      <c r="AO87" s="7" t="s">
        <v>241</v>
      </c>
      <c r="AP87" s="12"/>
      <c r="AQ87" s="12"/>
      <c r="AR87" s="12"/>
      <c r="AS87" s="12"/>
      <c r="AT87" s="12"/>
      <c r="AU87" s="12"/>
      <c r="AV87" s="2" t="s">
        <v>96</v>
      </c>
    </row>
    <row r="88" customFormat="false" ht="60" hidden="false" customHeight="true" outlineLevel="0" collapsed="false">
      <c r="A88" s="6" t="n">
        <v>83</v>
      </c>
      <c r="B88" s="6" t="s">
        <v>581</v>
      </c>
      <c r="C88" s="6" t="s">
        <v>594</v>
      </c>
      <c r="D88" s="6" t="s">
        <v>595</v>
      </c>
      <c r="E88" s="6" t="s">
        <v>596</v>
      </c>
      <c r="F88" s="6" t="s">
        <v>597</v>
      </c>
      <c r="G88" s="6" t="n">
        <v>45</v>
      </c>
      <c r="H88" s="6" t="s">
        <v>90</v>
      </c>
      <c r="I88" s="7" t="n">
        <v>19</v>
      </c>
      <c r="J88" s="7" t="s">
        <v>64</v>
      </c>
      <c r="K88" s="7" t="s">
        <v>598</v>
      </c>
      <c r="L88" s="8" t="n">
        <v>46311</v>
      </c>
      <c r="M88" s="6" t="str">
        <f aca="false">IF(L88="","",TEXT(L88,"ddd"))</f>
        <v>Fri</v>
      </c>
      <c r="N88" s="7"/>
      <c r="O88" s="7" t="n">
        <v>32</v>
      </c>
      <c r="P88" s="7" t="s">
        <v>599</v>
      </c>
      <c r="Q88" s="7" t="s">
        <v>600</v>
      </c>
      <c r="R88" s="7" t="s">
        <v>601</v>
      </c>
      <c r="S88" s="9"/>
      <c r="T88" s="7"/>
      <c r="U88" s="10" t="str">
        <f aca="false">IF(OR(T88="",N(O88)=0),"",T88/O88)</f>
        <v/>
      </c>
      <c r="V88" s="7"/>
      <c r="W88" s="7"/>
      <c r="X88" s="7"/>
      <c r="Y88" s="9"/>
      <c r="Z88" s="7"/>
      <c r="AA88" s="9"/>
      <c r="AB88" s="7"/>
      <c r="AC88" s="11" t="str">
        <f aca="false">IF(COUNT(S88,Y88,AA88)=0,"",SUM(S88,Y88,AA88))</f>
        <v/>
      </c>
      <c r="AD88" s="10" t="str">
        <f aca="false">IF(N(AC88)=0,"",SUM(V88,W88,X88,Z88,AB88)/AC88)</f>
        <v/>
      </c>
      <c r="AE88" s="9"/>
      <c r="AF88" s="9"/>
      <c r="AG88" s="9"/>
      <c r="AH88" s="11" t="str">
        <f aca="false">IF(COUNT(AE88,AF88,AG88)=0,"",SUM(AE88,AF88,AG88))</f>
        <v/>
      </c>
      <c r="AI88" s="9"/>
      <c r="AJ88" s="9"/>
      <c r="AK88" s="9"/>
      <c r="AL88" s="11" t="str">
        <f aca="false">IF(COUNT(AI88,AJ88,AK88)=0,"",SUM(AI88,AJ88,AK88))</f>
        <v/>
      </c>
      <c r="AM88" s="6" t="str">
        <f aca="false">IF(N(AC88)=0,"",IF(COUNT($AC$6:$AC$105)&lt;5,"Too early",IF(AC88&gt;=1.5*MEDIAN($AC$6:$AC$105),"Top",IF(AC88&lt;=0.5*MEDIAN($AC$6:$AC$105),"Low","Average"))))</f>
        <v/>
      </c>
      <c r="AN88" s="7"/>
      <c r="AO88" s="7" t="s">
        <v>95</v>
      </c>
      <c r="AP88" s="12"/>
      <c r="AQ88" s="12"/>
      <c r="AR88" s="12"/>
      <c r="AS88" s="12"/>
      <c r="AT88" s="12"/>
      <c r="AU88" s="12"/>
      <c r="AV88" s="2" t="s">
        <v>96</v>
      </c>
    </row>
    <row r="89" customFormat="false" ht="60" hidden="false" customHeight="true" outlineLevel="0" collapsed="false">
      <c r="A89" s="6" t="n">
        <v>84</v>
      </c>
      <c r="B89" s="6" t="s">
        <v>581</v>
      </c>
      <c r="C89" s="6" t="s">
        <v>602</v>
      </c>
      <c r="D89" s="6" t="s">
        <v>603</v>
      </c>
      <c r="E89" s="6" t="s">
        <v>604</v>
      </c>
      <c r="F89" s="6" t="s">
        <v>605</v>
      </c>
      <c r="G89" s="6" t="n">
        <v>45</v>
      </c>
      <c r="H89" s="6" t="s">
        <v>90</v>
      </c>
      <c r="I89" s="7" t="n">
        <v>28</v>
      </c>
      <c r="J89" s="7" t="s">
        <v>64</v>
      </c>
      <c r="K89" s="7" t="s">
        <v>606</v>
      </c>
      <c r="L89" s="8" t="n">
        <v>46314</v>
      </c>
      <c r="M89" s="6" t="str">
        <f aca="false">IF(L89="","",TEXT(L89,"ddd"))</f>
        <v>Mon</v>
      </c>
      <c r="N89" s="7"/>
      <c r="O89" s="7" t="n">
        <v>36</v>
      </c>
      <c r="P89" s="7" t="s">
        <v>607</v>
      </c>
      <c r="Q89" s="7" t="s">
        <v>608</v>
      </c>
      <c r="R89" s="7" t="s">
        <v>609</v>
      </c>
      <c r="S89" s="9"/>
      <c r="T89" s="7"/>
      <c r="U89" s="10" t="str">
        <f aca="false">IF(OR(T89="",N(O89)=0),"",T89/O89)</f>
        <v/>
      </c>
      <c r="V89" s="7"/>
      <c r="W89" s="7"/>
      <c r="X89" s="7"/>
      <c r="Y89" s="9"/>
      <c r="Z89" s="7"/>
      <c r="AA89" s="9"/>
      <c r="AB89" s="7"/>
      <c r="AC89" s="11" t="str">
        <f aca="false">IF(COUNT(S89,Y89,AA89)=0,"",SUM(S89,Y89,AA89))</f>
        <v/>
      </c>
      <c r="AD89" s="10" t="str">
        <f aca="false">IF(N(AC89)=0,"",SUM(V89,W89,X89,Z89,AB89)/AC89)</f>
        <v/>
      </c>
      <c r="AE89" s="9"/>
      <c r="AF89" s="9"/>
      <c r="AG89" s="9"/>
      <c r="AH89" s="11" t="str">
        <f aca="false">IF(COUNT(AE89,AF89,AG89)=0,"",SUM(AE89,AF89,AG89))</f>
        <v/>
      </c>
      <c r="AI89" s="9"/>
      <c r="AJ89" s="9"/>
      <c r="AK89" s="9"/>
      <c r="AL89" s="11" t="str">
        <f aca="false">IF(COUNT(AI89,AJ89,AK89)=0,"",SUM(AI89,AJ89,AK89))</f>
        <v/>
      </c>
      <c r="AM89" s="6" t="str">
        <f aca="false">IF(N(AC89)=0,"",IF(COUNT($AC$6:$AC$105)&lt;5,"Too early",IF(AC89&gt;=1.5*MEDIAN($AC$6:$AC$105),"Top",IF(AC89&lt;=0.5*MEDIAN($AC$6:$AC$105),"Low","Average"))))</f>
        <v/>
      </c>
      <c r="AN89" s="7"/>
      <c r="AO89" s="7" t="s">
        <v>95</v>
      </c>
      <c r="AP89" s="12"/>
      <c r="AQ89" s="12"/>
      <c r="AR89" s="12"/>
      <c r="AS89" s="12"/>
      <c r="AT89" s="12"/>
      <c r="AU89" s="12"/>
      <c r="AV89" s="2" t="s">
        <v>96</v>
      </c>
    </row>
    <row r="90" customFormat="false" ht="60" hidden="false" customHeight="true" outlineLevel="0" collapsed="false">
      <c r="A90" s="6" t="n">
        <v>85</v>
      </c>
      <c r="B90" s="6" t="s">
        <v>581</v>
      </c>
      <c r="C90" s="6" t="s">
        <v>610</v>
      </c>
      <c r="D90" s="6" t="s">
        <v>611</v>
      </c>
      <c r="E90" s="6" t="s">
        <v>612</v>
      </c>
      <c r="F90" s="6" t="s">
        <v>613</v>
      </c>
      <c r="G90" s="6" t="n">
        <v>45</v>
      </c>
      <c r="H90" s="6" t="s">
        <v>110</v>
      </c>
      <c r="I90" s="7" t="n">
        <v>36</v>
      </c>
      <c r="J90" s="7" t="s">
        <v>64</v>
      </c>
      <c r="K90" s="7" t="s">
        <v>614</v>
      </c>
      <c r="L90" s="8"/>
      <c r="M90" s="6" t="str">
        <f aca="false">IF(L90="","",TEXT(L90,"ddd"))</f>
        <v/>
      </c>
      <c r="N90" s="7" t="s">
        <v>66</v>
      </c>
      <c r="O90" s="7"/>
      <c r="P90" s="7"/>
      <c r="Q90" s="7" t="s">
        <v>615</v>
      </c>
      <c r="R90" s="7"/>
      <c r="S90" s="9"/>
      <c r="T90" s="7"/>
      <c r="U90" s="10" t="str">
        <f aca="false">IF(OR(T90="",N(O90)=0),"",T90/O90)</f>
        <v/>
      </c>
      <c r="V90" s="7"/>
      <c r="W90" s="7"/>
      <c r="X90" s="7"/>
      <c r="Y90" s="9"/>
      <c r="Z90" s="7"/>
      <c r="AA90" s="9"/>
      <c r="AB90" s="7"/>
      <c r="AC90" s="11" t="str">
        <f aca="false">IF(COUNT(S90,Y90,AA90)=0,"",SUM(S90,Y90,AA90))</f>
        <v/>
      </c>
      <c r="AD90" s="10" t="str">
        <f aca="false">IF(N(AC90)=0,"",SUM(V90,W90,X90,Z90,AB90)/AC90)</f>
        <v/>
      </c>
      <c r="AE90" s="9"/>
      <c r="AF90" s="9"/>
      <c r="AG90" s="9"/>
      <c r="AH90" s="11" t="str">
        <f aca="false">IF(COUNT(AE90,AF90,AG90)=0,"",SUM(AE90,AF90,AG90))</f>
        <v/>
      </c>
      <c r="AI90" s="9"/>
      <c r="AJ90" s="9"/>
      <c r="AK90" s="9"/>
      <c r="AL90" s="11" t="str">
        <f aca="false">IF(COUNT(AI90,AJ90,AK90)=0,"",SUM(AI90,AJ90,AK90))</f>
        <v/>
      </c>
      <c r="AM90" s="6" t="str">
        <f aca="false">IF(N(AC90)=0,"",IF(COUNT($AC$6:$AC$105)&lt;5,"Too early",IF(AC90&gt;=1.5*MEDIAN($AC$6:$AC$105),"Top",IF(AC90&lt;=0.5*MEDIAN($AC$6:$AC$105),"Low","Average"))))</f>
        <v/>
      </c>
      <c r="AN90" s="7"/>
      <c r="AO90" s="7" t="s">
        <v>95</v>
      </c>
      <c r="AP90" s="12"/>
      <c r="AQ90" s="12"/>
      <c r="AR90" s="12"/>
      <c r="AS90" s="12"/>
      <c r="AT90" s="12"/>
      <c r="AU90" s="12"/>
      <c r="AV90" s="2" t="s">
        <v>72</v>
      </c>
    </row>
    <row r="91" customFormat="false" ht="60" hidden="false" customHeight="true" outlineLevel="0" collapsed="false">
      <c r="A91" s="6" t="n">
        <v>86</v>
      </c>
      <c r="B91" s="6" t="s">
        <v>581</v>
      </c>
      <c r="C91" s="6" t="s">
        <v>616</v>
      </c>
      <c r="D91" s="6" t="s">
        <v>617</v>
      </c>
      <c r="E91" s="6" t="s">
        <v>618</v>
      </c>
      <c r="F91" s="6" t="s">
        <v>619</v>
      </c>
      <c r="G91" s="6" t="n">
        <v>45</v>
      </c>
      <c r="H91" s="6" t="s">
        <v>110</v>
      </c>
      <c r="I91" s="7" t="n">
        <v>43</v>
      </c>
      <c r="J91" s="7" t="s">
        <v>64</v>
      </c>
      <c r="K91" s="7" t="s">
        <v>620</v>
      </c>
      <c r="L91" s="8"/>
      <c r="M91" s="6" t="str">
        <f aca="false">IF(L91="","",TEXT(L91,"ddd"))</f>
        <v/>
      </c>
      <c r="N91" s="7" t="s">
        <v>79</v>
      </c>
      <c r="O91" s="7"/>
      <c r="P91" s="7"/>
      <c r="Q91" s="7" t="s">
        <v>621</v>
      </c>
      <c r="R91" s="7"/>
      <c r="S91" s="9"/>
      <c r="T91" s="7"/>
      <c r="U91" s="10" t="str">
        <f aca="false">IF(OR(T91="",N(O91)=0),"",T91/O91)</f>
        <v/>
      </c>
      <c r="V91" s="7"/>
      <c r="W91" s="7"/>
      <c r="X91" s="7"/>
      <c r="Y91" s="9"/>
      <c r="Z91" s="7"/>
      <c r="AA91" s="9"/>
      <c r="AB91" s="7"/>
      <c r="AC91" s="11" t="str">
        <f aca="false">IF(COUNT(S91,Y91,AA91)=0,"",SUM(S91,Y91,AA91))</f>
        <v/>
      </c>
      <c r="AD91" s="10" t="str">
        <f aca="false">IF(N(AC91)=0,"",SUM(V91,W91,X91,Z91,AB91)/AC91)</f>
        <v/>
      </c>
      <c r="AE91" s="9"/>
      <c r="AF91" s="9"/>
      <c r="AG91" s="9"/>
      <c r="AH91" s="11" t="str">
        <f aca="false">IF(COUNT(AE91,AF91,AG91)=0,"",SUM(AE91,AF91,AG91))</f>
        <v/>
      </c>
      <c r="AI91" s="9"/>
      <c r="AJ91" s="9"/>
      <c r="AK91" s="9"/>
      <c r="AL91" s="11" t="str">
        <f aca="false">IF(COUNT(AI91,AJ91,AK91)=0,"",SUM(AI91,AJ91,AK91))</f>
        <v/>
      </c>
      <c r="AM91" s="6" t="str">
        <f aca="false">IF(N(AC91)=0,"",IF(COUNT($AC$6:$AC$105)&lt;5,"Too early",IF(AC91&gt;=1.5*MEDIAN($AC$6:$AC$105),"Top",IF(AC91&lt;=0.5*MEDIAN($AC$6:$AC$105),"Low","Average"))))</f>
        <v/>
      </c>
      <c r="AN91" s="7"/>
      <c r="AO91" s="7" t="s">
        <v>95</v>
      </c>
      <c r="AP91" s="12"/>
      <c r="AQ91" s="12"/>
      <c r="AR91" s="12"/>
      <c r="AS91" s="12"/>
      <c r="AT91" s="12"/>
      <c r="AU91" s="12"/>
      <c r="AV91" s="2" t="s">
        <v>164</v>
      </c>
    </row>
    <row r="92" customFormat="false" ht="60" hidden="false" customHeight="true" outlineLevel="0" collapsed="false">
      <c r="A92" s="6" t="n">
        <v>87</v>
      </c>
      <c r="B92" s="6" t="s">
        <v>581</v>
      </c>
      <c r="C92" s="6" t="s">
        <v>622</v>
      </c>
      <c r="D92" s="6" t="s">
        <v>623</v>
      </c>
      <c r="E92" s="6" t="s">
        <v>624</v>
      </c>
      <c r="F92" s="6" t="s">
        <v>625</v>
      </c>
      <c r="G92" s="6" t="n">
        <v>45</v>
      </c>
      <c r="H92" s="6" t="s">
        <v>133</v>
      </c>
      <c r="I92" s="7" t="n">
        <v>50</v>
      </c>
      <c r="J92" s="7" t="s">
        <v>64</v>
      </c>
      <c r="K92" s="7"/>
      <c r="L92" s="8"/>
      <c r="M92" s="6" t="str">
        <f aca="false">IF(L92="","",TEXT(L92,"ddd"))</f>
        <v/>
      </c>
      <c r="N92" s="7"/>
      <c r="O92" s="7"/>
      <c r="P92" s="7"/>
      <c r="Q92" s="7"/>
      <c r="R92" s="7"/>
      <c r="S92" s="9"/>
      <c r="T92" s="7"/>
      <c r="U92" s="10" t="str">
        <f aca="false">IF(OR(T92="",N(O92)=0),"",T92/O92)</f>
        <v/>
      </c>
      <c r="V92" s="7"/>
      <c r="W92" s="7"/>
      <c r="X92" s="7"/>
      <c r="Y92" s="9"/>
      <c r="Z92" s="7"/>
      <c r="AA92" s="9"/>
      <c r="AB92" s="7"/>
      <c r="AC92" s="11" t="str">
        <f aca="false">IF(COUNT(S92,Y92,AA92)=0,"",SUM(S92,Y92,AA92))</f>
        <v/>
      </c>
      <c r="AD92" s="10" t="str">
        <f aca="false">IF(N(AC92)=0,"",SUM(V92,W92,X92,Z92,AB92)/AC92)</f>
        <v/>
      </c>
      <c r="AE92" s="9"/>
      <c r="AF92" s="9"/>
      <c r="AG92" s="9"/>
      <c r="AH92" s="11" t="str">
        <f aca="false">IF(COUNT(AE92,AF92,AG92)=0,"",SUM(AE92,AF92,AG92))</f>
        <v/>
      </c>
      <c r="AI92" s="9"/>
      <c r="AJ92" s="9"/>
      <c r="AK92" s="9"/>
      <c r="AL92" s="11" t="str">
        <f aca="false">IF(COUNT(AI92,AJ92,AK92)=0,"",SUM(AI92,AJ92,AK92))</f>
        <v/>
      </c>
      <c r="AM92" s="6" t="str">
        <f aca="false">IF(N(AC92)=0,"",IF(COUNT($AC$6:$AC$105)&lt;5,"Too early",IF(AC92&gt;=1.5*MEDIAN($AC$6:$AC$105),"Top",IF(AC92&lt;=0.5*MEDIAN($AC$6:$AC$105),"Low","Average"))))</f>
        <v/>
      </c>
      <c r="AN92" s="7"/>
      <c r="AO92" s="7" t="s">
        <v>153</v>
      </c>
      <c r="AP92" s="12"/>
      <c r="AQ92" s="12"/>
      <c r="AR92" s="12"/>
      <c r="AS92" s="12"/>
      <c r="AT92" s="12"/>
      <c r="AU92" s="12"/>
      <c r="AV92" s="2" t="s">
        <v>96</v>
      </c>
    </row>
    <row r="93" customFormat="false" ht="60" hidden="false" customHeight="true" outlineLevel="0" collapsed="false">
      <c r="A93" s="6" t="n">
        <v>88</v>
      </c>
      <c r="B93" s="6" t="s">
        <v>581</v>
      </c>
      <c r="C93" s="6" t="s">
        <v>626</v>
      </c>
      <c r="D93" s="6" t="s">
        <v>627</v>
      </c>
      <c r="E93" s="6" t="s">
        <v>628</v>
      </c>
      <c r="F93" s="6" t="s">
        <v>629</v>
      </c>
      <c r="G93" s="6" t="n">
        <v>45</v>
      </c>
      <c r="H93" s="6" t="s">
        <v>133</v>
      </c>
      <c r="I93" s="7" t="n">
        <v>56</v>
      </c>
      <c r="J93" s="7" t="s">
        <v>64</v>
      </c>
      <c r="K93" s="7"/>
      <c r="L93" s="8"/>
      <c r="M93" s="6" t="str">
        <f aca="false">IF(L93="","",TEXT(L93,"ddd"))</f>
        <v/>
      </c>
      <c r="N93" s="7"/>
      <c r="O93" s="7"/>
      <c r="P93" s="7"/>
      <c r="Q93" s="7"/>
      <c r="R93" s="7"/>
      <c r="S93" s="9"/>
      <c r="T93" s="7"/>
      <c r="U93" s="10" t="str">
        <f aca="false">IF(OR(T93="",N(O93)=0),"",T93/O93)</f>
        <v/>
      </c>
      <c r="V93" s="7"/>
      <c r="W93" s="7"/>
      <c r="X93" s="7"/>
      <c r="Y93" s="9"/>
      <c r="Z93" s="7"/>
      <c r="AA93" s="9"/>
      <c r="AB93" s="7"/>
      <c r="AC93" s="11" t="str">
        <f aca="false">IF(COUNT(S93,Y93,AA93)=0,"",SUM(S93,Y93,AA93))</f>
        <v/>
      </c>
      <c r="AD93" s="10" t="str">
        <f aca="false">IF(N(AC93)=0,"",SUM(V93,W93,X93,Z93,AB93)/AC93)</f>
        <v/>
      </c>
      <c r="AE93" s="9"/>
      <c r="AF93" s="9"/>
      <c r="AG93" s="9"/>
      <c r="AH93" s="11" t="str">
        <f aca="false">IF(COUNT(AE93,AF93,AG93)=0,"",SUM(AE93,AF93,AG93))</f>
        <v/>
      </c>
      <c r="AI93" s="9"/>
      <c r="AJ93" s="9"/>
      <c r="AK93" s="9"/>
      <c r="AL93" s="11" t="str">
        <f aca="false">IF(COUNT(AI93,AJ93,AK93)=0,"",SUM(AI93,AJ93,AK93))</f>
        <v/>
      </c>
      <c r="AM93" s="6" t="str">
        <f aca="false">IF(N(AC93)=0,"",IF(COUNT($AC$6:$AC$105)&lt;5,"Too early",IF(AC93&gt;=1.5*MEDIAN($AC$6:$AC$105),"Top",IF(AC93&lt;=0.5*MEDIAN($AC$6:$AC$105),"Low","Average"))))</f>
        <v/>
      </c>
      <c r="AN93" s="7"/>
      <c r="AO93" s="7" t="s">
        <v>84</v>
      </c>
      <c r="AP93" s="12"/>
      <c r="AQ93" s="12"/>
      <c r="AR93" s="12"/>
      <c r="AS93" s="12"/>
      <c r="AT93" s="12"/>
      <c r="AU93" s="12"/>
      <c r="AV93" s="2" t="s">
        <v>96</v>
      </c>
    </row>
    <row r="94" customFormat="false" ht="60" hidden="false" customHeight="true" outlineLevel="0" collapsed="false">
      <c r="A94" s="6" t="n">
        <v>89</v>
      </c>
      <c r="B94" s="6" t="s">
        <v>581</v>
      </c>
      <c r="C94" s="6" t="s">
        <v>630</v>
      </c>
      <c r="D94" s="6" t="s">
        <v>631</v>
      </c>
      <c r="E94" s="6" t="s">
        <v>632</v>
      </c>
      <c r="F94" s="6" t="s">
        <v>633</v>
      </c>
      <c r="G94" s="6" t="n">
        <v>45</v>
      </c>
      <c r="H94" s="6" t="s">
        <v>133</v>
      </c>
      <c r="I94" s="7" t="n">
        <v>62</v>
      </c>
      <c r="J94" s="7" t="s">
        <v>64</v>
      </c>
      <c r="K94" s="7"/>
      <c r="L94" s="8"/>
      <c r="M94" s="6" t="str">
        <f aca="false">IF(L94="","",TEXT(L94,"ddd"))</f>
        <v/>
      </c>
      <c r="N94" s="7"/>
      <c r="O94" s="7"/>
      <c r="P94" s="7"/>
      <c r="Q94" s="7"/>
      <c r="R94" s="7"/>
      <c r="S94" s="9"/>
      <c r="T94" s="7"/>
      <c r="U94" s="10" t="str">
        <f aca="false">IF(OR(T94="",N(O94)=0),"",T94/O94)</f>
        <v/>
      </c>
      <c r="V94" s="7"/>
      <c r="W94" s="7"/>
      <c r="X94" s="7"/>
      <c r="Y94" s="9"/>
      <c r="Z94" s="7"/>
      <c r="AA94" s="9"/>
      <c r="AB94" s="7"/>
      <c r="AC94" s="11" t="str">
        <f aca="false">IF(COUNT(S94,Y94,AA94)=0,"",SUM(S94,Y94,AA94))</f>
        <v/>
      </c>
      <c r="AD94" s="10" t="str">
        <f aca="false">IF(N(AC94)=0,"",SUM(V94,W94,X94,Z94,AB94)/AC94)</f>
        <v/>
      </c>
      <c r="AE94" s="9"/>
      <c r="AF94" s="9"/>
      <c r="AG94" s="9"/>
      <c r="AH94" s="11" t="str">
        <f aca="false">IF(COUNT(AE94,AF94,AG94)=0,"",SUM(AE94,AF94,AG94))</f>
        <v/>
      </c>
      <c r="AI94" s="9"/>
      <c r="AJ94" s="9"/>
      <c r="AK94" s="9"/>
      <c r="AL94" s="11" t="str">
        <f aca="false">IF(COUNT(AI94,AJ94,AK94)=0,"",SUM(AI94,AJ94,AK94))</f>
        <v/>
      </c>
      <c r="AM94" s="6" t="str">
        <f aca="false">IF(N(AC94)=0,"",IF(COUNT($AC$6:$AC$105)&lt;5,"Too early",IF(AC94&gt;=1.5*MEDIAN($AC$6:$AC$105),"Top",IF(AC94&lt;=0.5*MEDIAN($AC$6:$AC$105),"Low","Average"))))</f>
        <v/>
      </c>
      <c r="AN94" s="7"/>
      <c r="AO94" s="7" t="s">
        <v>299</v>
      </c>
      <c r="AP94" s="12"/>
      <c r="AQ94" s="12"/>
      <c r="AR94" s="12"/>
      <c r="AS94" s="12"/>
      <c r="AT94" s="12"/>
      <c r="AU94" s="12"/>
      <c r="AV94" s="2" t="s">
        <v>113</v>
      </c>
    </row>
    <row r="95" customFormat="false" ht="60" hidden="false" customHeight="true" outlineLevel="0" collapsed="false">
      <c r="A95" s="6" t="n">
        <v>90</v>
      </c>
      <c r="B95" s="6" t="s">
        <v>581</v>
      </c>
      <c r="C95" s="6" t="s">
        <v>634</v>
      </c>
      <c r="D95" s="6" t="s">
        <v>635</v>
      </c>
      <c r="E95" s="6" t="s">
        <v>636</v>
      </c>
      <c r="F95" s="6" t="s">
        <v>637</v>
      </c>
      <c r="G95" s="6" t="n">
        <v>45</v>
      </c>
      <c r="H95" s="6" t="s">
        <v>133</v>
      </c>
      <c r="I95" s="7" t="n">
        <v>67</v>
      </c>
      <c r="J95" s="7" t="s">
        <v>64</v>
      </c>
      <c r="K95" s="7"/>
      <c r="L95" s="8"/>
      <c r="M95" s="6" t="str">
        <f aca="false">IF(L95="","",TEXT(L95,"ddd"))</f>
        <v/>
      </c>
      <c r="N95" s="7"/>
      <c r="O95" s="7"/>
      <c r="P95" s="7"/>
      <c r="Q95" s="7"/>
      <c r="R95" s="7"/>
      <c r="S95" s="9"/>
      <c r="T95" s="7"/>
      <c r="U95" s="10" t="str">
        <f aca="false">IF(OR(T95="",N(O95)=0),"",T95/O95)</f>
        <v/>
      </c>
      <c r="V95" s="7"/>
      <c r="W95" s="7"/>
      <c r="X95" s="7"/>
      <c r="Y95" s="9"/>
      <c r="Z95" s="7"/>
      <c r="AA95" s="9"/>
      <c r="AB95" s="7"/>
      <c r="AC95" s="11" t="str">
        <f aca="false">IF(COUNT(S95,Y95,AA95)=0,"",SUM(S95,Y95,AA95))</f>
        <v/>
      </c>
      <c r="AD95" s="10" t="str">
        <f aca="false">IF(N(AC95)=0,"",SUM(V95,W95,X95,Z95,AB95)/AC95)</f>
        <v/>
      </c>
      <c r="AE95" s="9"/>
      <c r="AF95" s="9"/>
      <c r="AG95" s="9"/>
      <c r="AH95" s="11" t="str">
        <f aca="false">IF(COUNT(AE95,AF95,AG95)=0,"",SUM(AE95,AF95,AG95))</f>
        <v/>
      </c>
      <c r="AI95" s="9"/>
      <c r="AJ95" s="9"/>
      <c r="AK95" s="9"/>
      <c r="AL95" s="11" t="str">
        <f aca="false">IF(COUNT(AI95,AJ95,AK95)=0,"",SUM(AI95,AJ95,AK95))</f>
        <v/>
      </c>
      <c r="AM95" s="6" t="str">
        <f aca="false">IF(N(AC95)=0,"",IF(COUNT($AC$6:$AC$105)&lt;5,"Too early",IF(AC95&gt;=1.5*MEDIAN($AC$6:$AC$105),"Top",IF(AC95&lt;=0.5*MEDIAN($AC$6:$AC$105),"Low","Average"))))</f>
        <v/>
      </c>
      <c r="AN95" s="7"/>
      <c r="AO95" s="7" t="s">
        <v>208</v>
      </c>
      <c r="AP95" s="12"/>
      <c r="AQ95" s="12"/>
      <c r="AR95" s="12"/>
      <c r="AS95" s="12"/>
      <c r="AT95" s="12"/>
      <c r="AU95" s="12"/>
      <c r="AV95" s="2" t="s">
        <v>96</v>
      </c>
    </row>
    <row r="96" customFormat="false" ht="60" hidden="false" customHeight="true" outlineLevel="0" collapsed="false">
      <c r="A96" s="6" t="n">
        <v>91</v>
      </c>
      <c r="B96" s="6" t="s">
        <v>638</v>
      </c>
      <c r="C96" s="6" t="s">
        <v>639</v>
      </c>
      <c r="D96" s="6" t="s">
        <v>640</v>
      </c>
      <c r="E96" s="6" t="s">
        <v>641</v>
      </c>
      <c r="F96" s="6" t="s">
        <v>642</v>
      </c>
      <c r="G96" s="6" t="n">
        <v>45</v>
      </c>
      <c r="H96" s="6" t="s">
        <v>77</v>
      </c>
      <c r="I96" s="7" t="n">
        <v>10</v>
      </c>
      <c r="J96" s="7" t="s">
        <v>64</v>
      </c>
      <c r="K96" s="7" t="s">
        <v>643</v>
      </c>
      <c r="L96" s="8" t="n">
        <v>46310</v>
      </c>
      <c r="M96" s="6" t="str">
        <f aca="false">IF(L96="","",TEXT(L96,"ddd"))</f>
        <v>Thu</v>
      </c>
      <c r="N96" s="7" t="s">
        <v>79</v>
      </c>
      <c r="O96" s="7" t="n">
        <v>24</v>
      </c>
      <c r="P96" s="7" t="s">
        <v>644</v>
      </c>
      <c r="Q96" s="7" t="s">
        <v>645</v>
      </c>
      <c r="R96" s="7" t="s">
        <v>646</v>
      </c>
      <c r="S96" s="9"/>
      <c r="T96" s="7"/>
      <c r="U96" s="10" t="str">
        <f aca="false">IF(OR(T96="",N(O96)=0),"",T96/O96)</f>
        <v/>
      </c>
      <c r="V96" s="7"/>
      <c r="W96" s="7"/>
      <c r="X96" s="7"/>
      <c r="Y96" s="9"/>
      <c r="Z96" s="7"/>
      <c r="AA96" s="9"/>
      <c r="AB96" s="7"/>
      <c r="AC96" s="11" t="str">
        <f aca="false">IF(COUNT(S96,Y96,AA96)=0,"",SUM(S96,Y96,AA96))</f>
        <v/>
      </c>
      <c r="AD96" s="10" t="str">
        <f aca="false">IF(N(AC96)=0,"",SUM(V96,W96,X96,Z96,AB96)/AC96)</f>
        <v/>
      </c>
      <c r="AE96" s="9"/>
      <c r="AF96" s="9"/>
      <c r="AG96" s="9"/>
      <c r="AH96" s="11" t="str">
        <f aca="false">IF(COUNT(AE96,AF96,AG96)=0,"",SUM(AE96,AF96,AG96))</f>
        <v/>
      </c>
      <c r="AI96" s="9"/>
      <c r="AJ96" s="9"/>
      <c r="AK96" s="9"/>
      <c r="AL96" s="11" t="str">
        <f aca="false">IF(COUNT(AI96,AJ96,AK96)=0,"",SUM(AI96,AJ96,AK96))</f>
        <v/>
      </c>
      <c r="AM96" s="6" t="str">
        <f aca="false">IF(N(AC96)=0,"",IF(COUNT($AC$6:$AC$105)&lt;5,"Too early",IF(AC96&gt;=1.5*MEDIAN($AC$6:$AC$105),"Top",IF(AC96&lt;=0.5*MEDIAN($AC$6:$AC$105),"Low","Average"))))</f>
        <v/>
      </c>
      <c r="AN96" s="7" t="s">
        <v>83</v>
      </c>
      <c r="AO96" s="7" t="s">
        <v>173</v>
      </c>
      <c r="AP96" s="12"/>
      <c r="AQ96" s="12"/>
      <c r="AR96" s="12"/>
      <c r="AS96" s="12"/>
      <c r="AT96" s="12"/>
      <c r="AU96" s="12"/>
      <c r="AV96" s="2" t="s">
        <v>164</v>
      </c>
    </row>
    <row r="97" customFormat="false" ht="60" hidden="false" customHeight="true" outlineLevel="0" collapsed="false">
      <c r="A97" s="6" t="n">
        <v>92</v>
      </c>
      <c r="B97" s="6" t="s">
        <v>638</v>
      </c>
      <c r="C97" s="6" t="s">
        <v>647</v>
      </c>
      <c r="D97" s="6" t="s">
        <v>648</v>
      </c>
      <c r="E97" s="6" t="s">
        <v>649</v>
      </c>
      <c r="F97" s="6" t="s">
        <v>650</v>
      </c>
      <c r="G97" s="6" t="n">
        <v>45</v>
      </c>
      <c r="H97" s="6" t="s">
        <v>90</v>
      </c>
      <c r="I97" s="7" t="n">
        <v>20</v>
      </c>
      <c r="J97" s="7" t="s">
        <v>64</v>
      </c>
      <c r="K97" s="7" t="s">
        <v>651</v>
      </c>
      <c r="L97" s="8" t="n">
        <v>46310</v>
      </c>
      <c r="M97" s="6" t="str">
        <f aca="false">IF(L97="","",TEXT(L97,"ddd"))</f>
        <v>Thu</v>
      </c>
      <c r="N97" s="7"/>
      <c r="O97" s="7" t="n">
        <v>34</v>
      </c>
      <c r="P97" s="7" t="s">
        <v>652</v>
      </c>
      <c r="Q97" s="7" t="s">
        <v>653</v>
      </c>
      <c r="R97" s="7" t="s">
        <v>654</v>
      </c>
      <c r="S97" s="9"/>
      <c r="T97" s="7"/>
      <c r="U97" s="10" t="str">
        <f aca="false">IF(OR(T97="",N(O97)=0),"",T97/O97)</f>
        <v/>
      </c>
      <c r="V97" s="7"/>
      <c r="W97" s="7"/>
      <c r="X97" s="7"/>
      <c r="Y97" s="9"/>
      <c r="Z97" s="7"/>
      <c r="AA97" s="9"/>
      <c r="AB97" s="7"/>
      <c r="AC97" s="11" t="str">
        <f aca="false">IF(COUNT(S97,Y97,AA97)=0,"",SUM(S97,Y97,AA97))</f>
        <v/>
      </c>
      <c r="AD97" s="10" t="str">
        <f aca="false">IF(N(AC97)=0,"",SUM(V97,W97,X97,Z97,AB97)/AC97)</f>
        <v/>
      </c>
      <c r="AE97" s="9"/>
      <c r="AF97" s="9"/>
      <c r="AG97" s="9"/>
      <c r="AH97" s="11" t="str">
        <f aca="false">IF(COUNT(AE97,AF97,AG97)=0,"",SUM(AE97,AF97,AG97))</f>
        <v/>
      </c>
      <c r="AI97" s="9"/>
      <c r="AJ97" s="9"/>
      <c r="AK97" s="9"/>
      <c r="AL97" s="11" t="str">
        <f aca="false">IF(COUNT(AI97,AJ97,AK97)=0,"",SUM(AI97,AJ97,AK97))</f>
        <v/>
      </c>
      <c r="AM97" s="6" t="str">
        <f aca="false">IF(N(AC97)=0,"",IF(COUNT($AC$6:$AC$105)&lt;5,"Too early",IF(AC97&gt;=1.5*MEDIAN($AC$6:$AC$105),"Top",IF(AC97&lt;=0.5*MEDIAN($AC$6:$AC$105),"Low","Average"))))</f>
        <v/>
      </c>
      <c r="AN97" s="7"/>
      <c r="AO97" s="7" t="s">
        <v>95</v>
      </c>
      <c r="AP97" s="12"/>
      <c r="AQ97" s="12"/>
      <c r="AR97" s="12"/>
      <c r="AS97" s="12"/>
      <c r="AT97" s="12"/>
      <c r="AU97" s="12"/>
      <c r="AV97" s="2" t="s">
        <v>164</v>
      </c>
    </row>
    <row r="98" customFormat="false" ht="60" hidden="false" customHeight="true" outlineLevel="0" collapsed="false">
      <c r="A98" s="6" t="n">
        <v>93</v>
      </c>
      <c r="B98" s="6" t="s">
        <v>638</v>
      </c>
      <c r="C98" s="6" t="s">
        <v>655</v>
      </c>
      <c r="D98" s="6" t="s">
        <v>656</v>
      </c>
      <c r="E98" s="6" t="s">
        <v>657</v>
      </c>
      <c r="F98" s="6" t="s">
        <v>658</v>
      </c>
      <c r="G98" s="6" t="n">
        <v>45</v>
      </c>
      <c r="H98" s="6" t="s">
        <v>90</v>
      </c>
      <c r="I98" s="7" t="n">
        <v>29</v>
      </c>
      <c r="J98" s="7" t="s">
        <v>64</v>
      </c>
      <c r="K98" s="7" t="s">
        <v>659</v>
      </c>
      <c r="L98" s="8" t="n">
        <v>46314</v>
      </c>
      <c r="M98" s="6" t="str">
        <f aca="false">IF(L98="","",TEXT(L98,"ddd"))</f>
        <v>Mon</v>
      </c>
      <c r="N98" s="7"/>
      <c r="O98" s="7" t="n">
        <v>37</v>
      </c>
      <c r="P98" s="7" t="s">
        <v>660</v>
      </c>
      <c r="Q98" s="7" t="s">
        <v>661</v>
      </c>
      <c r="R98" s="7" t="s">
        <v>662</v>
      </c>
      <c r="S98" s="9"/>
      <c r="T98" s="7"/>
      <c r="U98" s="10" t="str">
        <f aca="false">IF(OR(T98="",N(O98)=0),"",T98/O98)</f>
        <v/>
      </c>
      <c r="V98" s="7"/>
      <c r="W98" s="7"/>
      <c r="X98" s="7"/>
      <c r="Y98" s="9"/>
      <c r="Z98" s="7"/>
      <c r="AA98" s="9"/>
      <c r="AB98" s="7"/>
      <c r="AC98" s="11" t="str">
        <f aca="false">IF(COUNT(S98,Y98,AA98)=0,"",SUM(S98,Y98,AA98))</f>
        <v/>
      </c>
      <c r="AD98" s="10" t="str">
        <f aca="false">IF(N(AC98)=0,"",SUM(V98,W98,X98,Z98,AB98)/AC98)</f>
        <v/>
      </c>
      <c r="AE98" s="9"/>
      <c r="AF98" s="9"/>
      <c r="AG98" s="9"/>
      <c r="AH98" s="11" t="str">
        <f aca="false">IF(COUNT(AE98,AF98,AG98)=0,"",SUM(AE98,AF98,AG98))</f>
        <v/>
      </c>
      <c r="AI98" s="9"/>
      <c r="AJ98" s="9"/>
      <c r="AK98" s="9"/>
      <c r="AL98" s="11" t="str">
        <f aca="false">IF(COUNT(AI98,AJ98,AK98)=0,"",SUM(AI98,AJ98,AK98))</f>
        <v/>
      </c>
      <c r="AM98" s="6" t="str">
        <f aca="false">IF(N(AC98)=0,"",IF(COUNT($AC$6:$AC$105)&lt;5,"Too early",IF(AC98&gt;=1.5*MEDIAN($AC$6:$AC$105),"Top",IF(AC98&lt;=0.5*MEDIAN($AC$6:$AC$105),"Low","Average"))))</f>
        <v/>
      </c>
      <c r="AN98" s="7"/>
      <c r="AO98" s="7" t="s">
        <v>95</v>
      </c>
      <c r="AP98" s="12"/>
      <c r="AQ98" s="12"/>
      <c r="AR98" s="12"/>
      <c r="AS98" s="12"/>
      <c r="AT98" s="12"/>
      <c r="AU98" s="12"/>
      <c r="AV98" s="2" t="s">
        <v>164</v>
      </c>
    </row>
    <row r="99" customFormat="false" ht="60" hidden="false" customHeight="true" outlineLevel="0" collapsed="false">
      <c r="A99" s="6" t="n">
        <v>94</v>
      </c>
      <c r="B99" s="6" t="s">
        <v>638</v>
      </c>
      <c r="C99" s="6" t="s">
        <v>663</v>
      </c>
      <c r="D99" s="6" t="s">
        <v>664</v>
      </c>
      <c r="E99" s="6" t="s">
        <v>665</v>
      </c>
      <c r="F99" s="6" t="s">
        <v>666</v>
      </c>
      <c r="G99" s="6" t="n">
        <v>45</v>
      </c>
      <c r="H99" s="6" t="s">
        <v>110</v>
      </c>
      <c r="I99" s="7" t="n">
        <v>37</v>
      </c>
      <c r="J99" s="7" t="s">
        <v>64</v>
      </c>
      <c r="K99" s="7" t="s">
        <v>667</v>
      </c>
      <c r="L99" s="8"/>
      <c r="M99" s="6" t="str">
        <f aca="false">IF(L99="","",TEXT(L99,"ddd"))</f>
        <v/>
      </c>
      <c r="N99" s="7" t="s">
        <v>66</v>
      </c>
      <c r="O99" s="7"/>
      <c r="P99" s="7"/>
      <c r="Q99" s="7" t="s">
        <v>668</v>
      </c>
      <c r="R99" s="7"/>
      <c r="S99" s="9"/>
      <c r="T99" s="7"/>
      <c r="U99" s="10" t="str">
        <f aca="false">IF(OR(T99="",N(O99)=0),"",T99/O99)</f>
        <v/>
      </c>
      <c r="V99" s="7"/>
      <c r="W99" s="7"/>
      <c r="X99" s="7"/>
      <c r="Y99" s="9"/>
      <c r="Z99" s="7"/>
      <c r="AA99" s="9"/>
      <c r="AB99" s="7"/>
      <c r="AC99" s="11" t="str">
        <f aca="false">IF(COUNT(S99,Y99,AA99)=0,"",SUM(S99,Y99,AA99))</f>
        <v/>
      </c>
      <c r="AD99" s="10" t="str">
        <f aca="false">IF(N(AC99)=0,"",SUM(V99,W99,X99,Z99,AB99)/AC99)</f>
        <v/>
      </c>
      <c r="AE99" s="9"/>
      <c r="AF99" s="9"/>
      <c r="AG99" s="9"/>
      <c r="AH99" s="11" t="str">
        <f aca="false">IF(COUNT(AE99,AF99,AG99)=0,"",SUM(AE99,AF99,AG99))</f>
        <v/>
      </c>
      <c r="AI99" s="9"/>
      <c r="AJ99" s="9"/>
      <c r="AK99" s="9"/>
      <c r="AL99" s="11" t="str">
        <f aca="false">IF(COUNT(AI99,AJ99,AK99)=0,"",SUM(AI99,AJ99,AK99))</f>
        <v/>
      </c>
      <c r="AM99" s="6" t="str">
        <f aca="false">IF(N(AC99)=0,"",IF(COUNT($AC$6:$AC$105)&lt;5,"Too early",IF(AC99&gt;=1.5*MEDIAN($AC$6:$AC$105),"Top",IF(AC99&lt;=0.5*MEDIAN($AC$6:$AC$105),"Low","Average"))))</f>
        <v/>
      </c>
      <c r="AN99" s="7"/>
      <c r="AO99" s="7" t="s">
        <v>95</v>
      </c>
      <c r="AP99" s="12"/>
      <c r="AQ99" s="12"/>
      <c r="AR99" s="12"/>
      <c r="AS99" s="12"/>
      <c r="AT99" s="12"/>
      <c r="AU99" s="12"/>
      <c r="AV99" s="2" t="s">
        <v>96</v>
      </c>
    </row>
    <row r="100" customFormat="false" ht="60" hidden="false" customHeight="true" outlineLevel="0" collapsed="false">
      <c r="A100" s="6" t="n">
        <v>95</v>
      </c>
      <c r="B100" s="6" t="s">
        <v>638</v>
      </c>
      <c r="C100" s="6" t="s">
        <v>669</v>
      </c>
      <c r="D100" s="6" t="s">
        <v>670</v>
      </c>
      <c r="E100" s="6" t="s">
        <v>671</v>
      </c>
      <c r="F100" s="6" t="s">
        <v>672</v>
      </c>
      <c r="G100" s="6" t="n">
        <v>45</v>
      </c>
      <c r="H100" s="6" t="s">
        <v>133</v>
      </c>
      <c r="I100" s="7" t="n">
        <v>44</v>
      </c>
      <c r="J100" s="7" t="s">
        <v>64</v>
      </c>
      <c r="K100" s="7"/>
      <c r="L100" s="8"/>
      <c r="M100" s="6" t="str">
        <f aca="false">IF(L100="","",TEXT(L100,"ddd"))</f>
        <v/>
      </c>
      <c r="N100" s="7"/>
      <c r="O100" s="7"/>
      <c r="P100" s="7"/>
      <c r="Q100" s="7"/>
      <c r="R100" s="7"/>
      <c r="S100" s="9"/>
      <c r="T100" s="7"/>
      <c r="U100" s="10" t="str">
        <f aca="false">IF(OR(T100="",N(O100)=0),"",T100/O100)</f>
        <v/>
      </c>
      <c r="V100" s="7"/>
      <c r="W100" s="7"/>
      <c r="X100" s="7"/>
      <c r="Y100" s="9"/>
      <c r="Z100" s="7"/>
      <c r="AA100" s="9"/>
      <c r="AB100" s="7"/>
      <c r="AC100" s="11" t="str">
        <f aca="false">IF(COUNT(S100,Y100,AA100)=0,"",SUM(S100,Y100,AA100))</f>
        <v/>
      </c>
      <c r="AD100" s="10" t="str">
        <f aca="false">IF(N(AC100)=0,"",SUM(V100,W100,X100,Z100,AB100)/AC100)</f>
        <v/>
      </c>
      <c r="AE100" s="9"/>
      <c r="AF100" s="9"/>
      <c r="AG100" s="9"/>
      <c r="AH100" s="11" t="str">
        <f aca="false">IF(COUNT(AE100,AF100,AG100)=0,"",SUM(AE100,AF100,AG100))</f>
        <v/>
      </c>
      <c r="AI100" s="9"/>
      <c r="AJ100" s="9"/>
      <c r="AK100" s="9"/>
      <c r="AL100" s="11" t="str">
        <f aca="false">IF(COUNT(AI100,AJ100,AK100)=0,"",SUM(AI100,AJ100,AK100))</f>
        <v/>
      </c>
      <c r="AM100" s="6" t="str">
        <f aca="false">IF(N(AC100)=0,"",IF(COUNT($AC$6:$AC$105)&lt;5,"Too early",IF(AC100&gt;=1.5*MEDIAN($AC$6:$AC$105),"Top",IF(AC100&lt;=0.5*MEDIAN($AC$6:$AC$105),"Low","Average"))))</f>
        <v/>
      </c>
      <c r="AN100" s="7"/>
      <c r="AO100" s="7" t="s">
        <v>241</v>
      </c>
      <c r="AP100" s="12"/>
      <c r="AQ100" s="12"/>
      <c r="AR100" s="12"/>
      <c r="AS100" s="12"/>
      <c r="AT100" s="12"/>
      <c r="AU100" s="12"/>
      <c r="AV100" s="2" t="s">
        <v>96</v>
      </c>
    </row>
    <row r="101" customFormat="false" ht="60" hidden="false" customHeight="true" outlineLevel="0" collapsed="false">
      <c r="A101" s="6" t="n">
        <v>96</v>
      </c>
      <c r="B101" s="6" t="s">
        <v>638</v>
      </c>
      <c r="C101" s="6" t="s">
        <v>673</v>
      </c>
      <c r="D101" s="6" t="s">
        <v>674</v>
      </c>
      <c r="E101" s="6" t="s">
        <v>675</v>
      </c>
      <c r="F101" s="6" t="s">
        <v>676</v>
      </c>
      <c r="G101" s="6" t="n">
        <v>45</v>
      </c>
      <c r="H101" s="6" t="s">
        <v>133</v>
      </c>
      <c r="I101" s="7" t="n">
        <v>51</v>
      </c>
      <c r="J101" s="7" t="s">
        <v>64</v>
      </c>
      <c r="K101" s="7"/>
      <c r="L101" s="8"/>
      <c r="M101" s="6" t="str">
        <f aca="false">IF(L101="","",TEXT(L101,"ddd"))</f>
        <v/>
      </c>
      <c r="N101" s="7"/>
      <c r="O101" s="7"/>
      <c r="P101" s="7"/>
      <c r="Q101" s="7"/>
      <c r="R101" s="7"/>
      <c r="S101" s="9"/>
      <c r="T101" s="7"/>
      <c r="U101" s="10" t="str">
        <f aca="false">IF(OR(T101="",N(O101)=0),"",T101/O101)</f>
        <v/>
      </c>
      <c r="V101" s="7"/>
      <c r="W101" s="7"/>
      <c r="X101" s="7"/>
      <c r="Y101" s="9"/>
      <c r="Z101" s="7"/>
      <c r="AA101" s="9"/>
      <c r="AB101" s="7"/>
      <c r="AC101" s="11" t="str">
        <f aca="false">IF(COUNT(S101,Y101,AA101)=0,"",SUM(S101,Y101,AA101))</f>
        <v/>
      </c>
      <c r="AD101" s="10" t="str">
        <f aca="false">IF(N(AC101)=0,"",SUM(V101,W101,X101,Z101,AB101)/AC101)</f>
        <v/>
      </c>
      <c r="AE101" s="9"/>
      <c r="AF101" s="9"/>
      <c r="AG101" s="9"/>
      <c r="AH101" s="11" t="str">
        <f aca="false">IF(COUNT(AE101,AF101,AG101)=0,"",SUM(AE101,AF101,AG101))</f>
        <v/>
      </c>
      <c r="AI101" s="9"/>
      <c r="AJ101" s="9"/>
      <c r="AK101" s="9"/>
      <c r="AL101" s="11" t="str">
        <f aca="false">IF(COUNT(AI101,AJ101,AK101)=0,"",SUM(AI101,AJ101,AK101))</f>
        <v/>
      </c>
      <c r="AM101" s="6" t="str">
        <f aca="false">IF(N(AC101)=0,"",IF(COUNT($AC$6:$AC$105)&lt;5,"Too early",IF(AC101&gt;=1.5*MEDIAN($AC$6:$AC$105),"Top",IF(AC101&lt;=0.5*MEDIAN($AC$6:$AC$105),"Low","Average"))))</f>
        <v/>
      </c>
      <c r="AN101" s="7"/>
      <c r="AO101" s="7" t="s">
        <v>286</v>
      </c>
      <c r="AP101" s="12"/>
      <c r="AQ101" s="12"/>
      <c r="AR101" s="12"/>
      <c r="AS101" s="12"/>
      <c r="AT101" s="12"/>
      <c r="AU101" s="12"/>
      <c r="AV101" s="2" t="s">
        <v>96</v>
      </c>
    </row>
    <row r="102" customFormat="false" ht="60" hidden="false" customHeight="true" outlineLevel="0" collapsed="false">
      <c r="A102" s="6" t="n">
        <v>97</v>
      </c>
      <c r="B102" s="6" t="s">
        <v>638</v>
      </c>
      <c r="C102" s="6" t="s">
        <v>677</v>
      </c>
      <c r="D102" s="6" t="s">
        <v>678</v>
      </c>
      <c r="E102" s="6" t="s">
        <v>679</v>
      </c>
      <c r="F102" s="6" t="s">
        <v>680</v>
      </c>
      <c r="G102" s="6" t="n">
        <v>45</v>
      </c>
      <c r="H102" s="6" t="s">
        <v>133</v>
      </c>
      <c r="I102" s="7" t="n">
        <v>57</v>
      </c>
      <c r="J102" s="7" t="s">
        <v>64</v>
      </c>
      <c r="K102" s="7"/>
      <c r="L102" s="8"/>
      <c r="M102" s="6" t="str">
        <f aca="false">IF(L102="","",TEXT(L102,"ddd"))</f>
        <v/>
      </c>
      <c r="N102" s="7"/>
      <c r="O102" s="7"/>
      <c r="P102" s="7"/>
      <c r="Q102" s="7"/>
      <c r="R102" s="7"/>
      <c r="S102" s="9"/>
      <c r="T102" s="7"/>
      <c r="U102" s="10" t="str">
        <f aca="false">IF(OR(T102="",N(O102)=0),"",T102/O102)</f>
        <v/>
      </c>
      <c r="V102" s="7"/>
      <c r="W102" s="7"/>
      <c r="X102" s="7"/>
      <c r="Y102" s="9"/>
      <c r="Z102" s="7"/>
      <c r="AA102" s="9"/>
      <c r="AB102" s="7"/>
      <c r="AC102" s="11" t="str">
        <f aca="false">IF(COUNT(S102,Y102,AA102)=0,"",SUM(S102,Y102,AA102))</f>
        <v/>
      </c>
      <c r="AD102" s="10" t="str">
        <f aca="false">IF(N(AC102)=0,"",SUM(V102,W102,X102,Z102,AB102)/AC102)</f>
        <v/>
      </c>
      <c r="AE102" s="9"/>
      <c r="AF102" s="9"/>
      <c r="AG102" s="9"/>
      <c r="AH102" s="11" t="str">
        <f aca="false">IF(COUNT(AE102,AF102,AG102)=0,"",SUM(AE102,AF102,AG102))</f>
        <v/>
      </c>
      <c r="AI102" s="9"/>
      <c r="AJ102" s="9"/>
      <c r="AK102" s="9"/>
      <c r="AL102" s="11" t="str">
        <f aca="false">IF(COUNT(AI102,AJ102,AK102)=0,"",SUM(AI102,AJ102,AK102))</f>
        <v/>
      </c>
      <c r="AM102" s="6" t="str">
        <f aca="false">IF(N(AC102)=0,"",IF(COUNT($AC$6:$AC$105)&lt;5,"Too early",IF(AC102&gt;=1.5*MEDIAN($AC$6:$AC$105),"Top",IF(AC102&lt;=0.5*MEDIAN($AC$6:$AC$105),"Low","Average"))))</f>
        <v/>
      </c>
      <c r="AN102" s="7"/>
      <c r="AO102" s="7" t="s">
        <v>217</v>
      </c>
      <c r="AP102" s="12"/>
      <c r="AQ102" s="12"/>
      <c r="AR102" s="12"/>
      <c r="AS102" s="12"/>
      <c r="AT102" s="12"/>
      <c r="AU102" s="12"/>
      <c r="AV102" s="2" t="s">
        <v>105</v>
      </c>
    </row>
    <row r="103" customFormat="false" ht="60" hidden="false" customHeight="true" outlineLevel="0" collapsed="false">
      <c r="A103" s="6" t="n">
        <v>98</v>
      </c>
      <c r="B103" s="6" t="s">
        <v>638</v>
      </c>
      <c r="C103" s="6" t="s">
        <v>681</v>
      </c>
      <c r="D103" s="6" t="s">
        <v>682</v>
      </c>
      <c r="E103" s="6" t="s">
        <v>683</v>
      </c>
      <c r="F103" s="6" t="s">
        <v>684</v>
      </c>
      <c r="G103" s="6" t="n">
        <v>45</v>
      </c>
      <c r="H103" s="6" t="s">
        <v>133</v>
      </c>
      <c r="I103" s="7" t="n">
        <v>63</v>
      </c>
      <c r="J103" s="7" t="s">
        <v>64</v>
      </c>
      <c r="K103" s="7"/>
      <c r="L103" s="8"/>
      <c r="M103" s="6" t="str">
        <f aca="false">IF(L103="","",TEXT(L103,"ddd"))</f>
        <v/>
      </c>
      <c r="N103" s="7"/>
      <c r="O103" s="7"/>
      <c r="P103" s="7"/>
      <c r="Q103" s="7"/>
      <c r="R103" s="7"/>
      <c r="S103" s="9"/>
      <c r="T103" s="7"/>
      <c r="U103" s="10" t="str">
        <f aca="false">IF(OR(T103="",N(O103)=0),"",T103/O103)</f>
        <v/>
      </c>
      <c r="V103" s="7"/>
      <c r="W103" s="7"/>
      <c r="X103" s="7"/>
      <c r="Y103" s="9"/>
      <c r="Z103" s="7"/>
      <c r="AA103" s="9"/>
      <c r="AB103" s="7"/>
      <c r="AC103" s="11" t="str">
        <f aca="false">IF(COUNT(S103,Y103,AA103)=0,"",SUM(S103,Y103,AA103))</f>
        <v/>
      </c>
      <c r="AD103" s="10" t="str">
        <f aca="false">IF(N(AC103)=0,"",SUM(V103,W103,X103,Z103,AB103)/AC103)</f>
        <v/>
      </c>
      <c r="AE103" s="9"/>
      <c r="AF103" s="9"/>
      <c r="AG103" s="9"/>
      <c r="AH103" s="11" t="str">
        <f aca="false">IF(COUNT(AE103,AF103,AG103)=0,"",SUM(AE103,AF103,AG103))</f>
        <v/>
      </c>
      <c r="AI103" s="9"/>
      <c r="AJ103" s="9"/>
      <c r="AK103" s="9"/>
      <c r="AL103" s="11" t="str">
        <f aca="false">IF(COUNT(AI103,AJ103,AK103)=0,"",SUM(AI103,AJ103,AK103))</f>
        <v/>
      </c>
      <c r="AM103" s="6" t="str">
        <f aca="false">IF(N(AC103)=0,"",IF(COUNT($AC$6:$AC$105)&lt;5,"Too early",IF(AC103&gt;=1.5*MEDIAN($AC$6:$AC$105),"Top",IF(AC103&lt;=0.5*MEDIAN($AC$6:$AC$105),"Low","Average"))))</f>
        <v/>
      </c>
      <c r="AN103" s="7"/>
      <c r="AO103" s="7" t="s">
        <v>217</v>
      </c>
      <c r="AP103" s="12"/>
      <c r="AQ103" s="12"/>
      <c r="AR103" s="12"/>
      <c r="AS103" s="12"/>
      <c r="AT103" s="12"/>
      <c r="AU103" s="12"/>
      <c r="AV103" s="2" t="s">
        <v>113</v>
      </c>
    </row>
    <row r="104" customFormat="false" ht="60" hidden="false" customHeight="true" outlineLevel="0" collapsed="false">
      <c r="A104" s="6" t="n">
        <v>99</v>
      </c>
      <c r="B104" s="6" t="s">
        <v>638</v>
      </c>
      <c r="C104" s="6" t="s">
        <v>685</v>
      </c>
      <c r="D104" s="6" t="s">
        <v>686</v>
      </c>
      <c r="E104" s="6" t="s">
        <v>687</v>
      </c>
      <c r="F104" s="6" t="s">
        <v>688</v>
      </c>
      <c r="G104" s="6" t="n">
        <v>45</v>
      </c>
      <c r="H104" s="6" t="s">
        <v>133</v>
      </c>
      <c r="I104" s="7" t="n">
        <v>68</v>
      </c>
      <c r="J104" s="7" t="s">
        <v>64</v>
      </c>
      <c r="K104" s="7"/>
      <c r="L104" s="8"/>
      <c r="M104" s="6" t="str">
        <f aca="false">IF(L104="","",TEXT(L104,"ddd"))</f>
        <v/>
      </c>
      <c r="N104" s="7"/>
      <c r="O104" s="7"/>
      <c r="P104" s="7"/>
      <c r="Q104" s="7"/>
      <c r="R104" s="7"/>
      <c r="S104" s="9"/>
      <c r="T104" s="7"/>
      <c r="U104" s="10" t="str">
        <f aca="false">IF(OR(T104="",N(O104)=0),"",T104/O104)</f>
        <v/>
      </c>
      <c r="V104" s="7"/>
      <c r="W104" s="7"/>
      <c r="X104" s="7"/>
      <c r="Y104" s="9"/>
      <c r="Z104" s="7"/>
      <c r="AA104" s="9"/>
      <c r="AB104" s="7"/>
      <c r="AC104" s="11" t="str">
        <f aca="false">IF(COUNT(S104,Y104,AA104)=0,"",SUM(S104,Y104,AA104))</f>
        <v/>
      </c>
      <c r="AD104" s="10" t="str">
        <f aca="false">IF(N(AC104)=0,"",SUM(V104,W104,X104,Z104,AB104)/AC104)</f>
        <v/>
      </c>
      <c r="AE104" s="9"/>
      <c r="AF104" s="9"/>
      <c r="AG104" s="9"/>
      <c r="AH104" s="11" t="str">
        <f aca="false">IF(COUNT(AE104,AF104,AG104)=0,"",SUM(AE104,AF104,AG104))</f>
        <v/>
      </c>
      <c r="AI104" s="9"/>
      <c r="AJ104" s="9"/>
      <c r="AK104" s="9"/>
      <c r="AL104" s="11" t="str">
        <f aca="false">IF(COUNT(AI104,AJ104,AK104)=0,"",SUM(AI104,AJ104,AK104))</f>
        <v/>
      </c>
      <c r="AM104" s="6" t="str">
        <f aca="false">IF(N(AC104)=0,"",IF(COUNT($AC$6:$AC$105)&lt;5,"Too early",IF(AC104&gt;=1.5*MEDIAN($AC$6:$AC$105),"Top",IF(AC104&lt;=0.5*MEDIAN($AC$6:$AC$105),"Low","Average"))))</f>
        <v/>
      </c>
      <c r="AN104" s="7"/>
      <c r="AO104" s="7" t="s">
        <v>153</v>
      </c>
      <c r="AP104" s="12"/>
      <c r="AQ104" s="12"/>
      <c r="AR104" s="12"/>
      <c r="AS104" s="12"/>
      <c r="AT104" s="12"/>
      <c r="AU104" s="12"/>
      <c r="AV104" s="2" t="s">
        <v>96</v>
      </c>
    </row>
    <row r="105" customFormat="false" ht="60" hidden="false" customHeight="true" outlineLevel="0" collapsed="false">
      <c r="A105" s="6" t="n">
        <v>100</v>
      </c>
      <c r="B105" s="6" t="s">
        <v>638</v>
      </c>
      <c r="C105" s="6" t="s">
        <v>689</v>
      </c>
      <c r="D105" s="6" t="s">
        <v>690</v>
      </c>
      <c r="E105" s="6" t="s">
        <v>691</v>
      </c>
      <c r="F105" s="6" t="s">
        <v>692</v>
      </c>
      <c r="G105" s="6" t="n">
        <v>45</v>
      </c>
      <c r="H105" s="6" t="s">
        <v>133</v>
      </c>
      <c r="I105" s="7" t="n">
        <v>78</v>
      </c>
      <c r="J105" s="7" t="s">
        <v>237</v>
      </c>
      <c r="K105" s="7"/>
      <c r="L105" s="8"/>
      <c r="M105" s="6" t="str">
        <f aca="false">IF(L105="","",TEXT(L105,"ddd"))</f>
        <v/>
      </c>
      <c r="N105" s="7"/>
      <c r="O105" s="7"/>
      <c r="P105" s="7"/>
      <c r="Q105" s="7"/>
      <c r="R105" s="7"/>
      <c r="S105" s="9"/>
      <c r="T105" s="7"/>
      <c r="U105" s="10" t="str">
        <f aca="false">IF(OR(T105="",N(O105)=0),"",T105/O105)</f>
        <v/>
      </c>
      <c r="V105" s="7"/>
      <c r="W105" s="7"/>
      <c r="X105" s="7"/>
      <c r="Y105" s="9"/>
      <c r="Z105" s="7"/>
      <c r="AA105" s="9"/>
      <c r="AB105" s="7"/>
      <c r="AC105" s="11" t="str">
        <f aca="false">IF(COUNT(S105,Y105,AA105)=0,"",SUM(S105,Y105,AA105))</f>
        <v/>
      </c>
      <c r="AD105" s="10" t="str">
        <f aca="false">IF(N(AC105)=0,"",SUM(V105,W105,X105,Z105,AB105)/AC105)</f>
        <v/>
      </c>
      <c r="AE105" s="9"/>
      <c r="AF105" s="9"/>
      <c r="AG105" s="9"/>
      <c r="AH105" s="11" t="str">
        <f aca="false">IF(COUNT(AE105,AF105,AG105)=0,"",SUM(AE105,AF105,AG105))</f>
        <v/>
      </c>
      <c r="AI105" s="9"/>
      <c r="AJ105" s="9"/>
      <c r="AK105" s="9"/>
      <c r="AL105" s="11" t="str">
        <f aca="false">IF(COUNT(AI105,AJ105,AK105)=0,"",SUM(AI105,AJ105,AK105))</f>
        <v/>
      </c>
      <c r="AM105" s="6" t="str">
        <f aca="false">IF(N(AC105)=0,"",IF(COUNT($AC$6:$AC$105)&lt;5,"Too early",IF(AC105&gt;=1.5*MEDIAN($AC$6:$AC$105),"Top",IF(AC105&lt;=0.5*MEDIAN($AC$6:$AC$105),"Low","Average"))))</f>
        <v/>
      </c>
      <c r="AN105" s="7"/>
      <c r="AO105" s="7" t="s">
        <v>173</v>
      </c>
      <c r="AP105" s="12"/>
      <c r="AQ105" s="12"/>
      <c r="AR105" s="12"/>
      <c r="AS105" s="12"/>
      <c r="AT105" s="12"/>
      <c r="AU105" s="12"/>
      <c r="AV105" s="2" t="s">
        <v>317</v>
      </c>
    </row>
    <row r="106" customFormat="false" ht="115.65" hidden="false" customHeight="false" outlineLevel="0" collapsed="false">
      <c r="A106" s="6" t="n">
        <v>101</v>
      </c>
      <c r="B106" s="6" t="s">
        <v>154</v>
      </c>
      <c r="C106" s="6" t="s">
        <v>693</v>
      </c>
      <c r="D106" s="6" t="s">
        <v>694</v>
      </c>
      <c r="E106" s="6" t="s">
        <v>695</v>
      </c>
      <c r="F106" s="6" t="s">
        <v>696</v>
      </c>
      <c r="G106" s="6" t="n">
        <v>41</v>
      </c>
      <c r="H106" s="6" t="s">
        <v>90</v>
      </c>
      <c r="I106" s="7" t="n">
        <v>16</v>
      </c>
      <c r="J106" s="7"/>
      <c r="K106" s="7" t="s">
        <v>697</v>
      </c>
      <c r="L106" s="8" t="n">
        <v>46310</v>
      </c>
      <c r="M106" s="6" t="str">
        <f aca="false">IF(L106="","",TEXT(L106,"ddd"))</f>
        <v>Thu</v>
      </c>
      <c r="N106" s="7"/>
      <c r="O106" s="7" t="n">
        <v>41</v>
      </c>
      <c r="P106" s="7" t="s">
        <v>698</v>
      </c>
      <c r="Q106" s="7" t="s">
        <v>699</v>
      </c>
      <c r="R106" s="7" t="s">
        <v>700</v>
      </c>
      <c r="S106" s="9"/>
      <c r="T106" s="7"/>
      <c r="U106" s="10" t="str">
        <f aca="false">IF(OR(T106="",N(O106)=0),"",T106/O106)</f>
        <v/>
      </c>
      <c r="V106" s="7"/>
      <c r="W106" s="7"/>
      <c r="X106" s="7"/>
      <c r="Y106" s="9"/>
      <c r="Z106" s="7"/>
      <c r="AA106" s="9"/>
      <c r="AB106" s="7"/>
      <c r="AC106" s="11" t="str">
        <f aca="false">IF(COUNT(S106,Y106,AA106)=0,"",SUM(S106,Y106,AA106))</f>
        <v/>
      </c>
      <c r="AD106" s="10" t="str">
        <f aca="false">IF(N(AC106)=0,"",SUM(V106,W106,X106,Z106,AB106)/AC106)</f>
        <v/>
      </c>
      <c r="AE106" s="9"/>
      <c r="AF106" s="9"/>
      <c r="AG106" s="9"/>
      <c r="AH106" s="11" t="str">
        <f aca="false">IF(COUNT(AE106,AF106,AG106)=0,"",SUM(AE106,AF106,AG106))</f>
        <v/>
      </c>
      <c r="AI106" s="9"/>
      <c r="AJ106" s="9"/>
      <c r="AK106" s="9"/>
      <c r="AL106" s="11" t="str">
        <f aca="false">IF(COUNT(AI106,AJ106,AK106)=0,"",SUM(AI106,AJ106,AK106))</f>
        <v/>
      </c>
      <c r="AM106" s="6" t="str">
        <f aca="false">IF(N(AC106)=0,"",IF(COUNT($AC$6:$AC$105)&lt;5,"Too early",IF(AC106&gt;=1.5*MEDIAN($AC$6:$AC$105),"Top",IF(AC106&lt;=0.5*MEDIAN($AC$6:$AC$105),"Low","Average"))))</f>
        <v/>
      </c>
      <c r="AN106" s="7"/>
      <c r="AO106" s="7" t="s">
        <v>701</v>
      </c>
      <c r="AP106" s="12"/>
      <c r="AQ106" s="12"/>
      <c r="AR106" s="12"/>
      <c r="AS106" s="12"/>
      <c r="AT106" s="12"/>
      <c r="AU106" s="12"/>
      <c r="AV106" s="2" t="s">
        <v>72</v>
      </c>
    </row>
    <row r="107" customFormat="false" ht="77.6" hidden="false" customHeight="false" outlineLevel="0" collapsed="false">
      <c r="A107" s="6" t="n">
        <v>102</v>
      </c>
      <c r="B107" s="6" t="s">
        <v>581</v>
      </c>
      <c r="C107" s="6" t="s">
        <v>702</v>
      </c>
      <c r="D107" s="6" t="s">
        <v>703</v>
      </c>
      <c r="E107" s="6" t="s">
        <v>704</v>
      </c>
      <c r="F107" s="6" t="s">
        <v>705</v>
      </c>
      <c r="G107" s="6" t="n">
        <v>58</v>
      </c>
      <c r="H107" s="6" t="s">
        <v>90</v>
      </c>
      <c r="I107" s="7" t="n">
        <v>17</v>
      </c>
      <c r="J107" s="7"/>
      <c r="K107" s="7" t="s">
        <v>706</v>
      </c>
      <c r="L107" s="8" t="n">
        <v>46311</v>
      </c>
      <c r="M107" s="6" t="str">
        <f aca="false">IF(L107="","",TEXT(L107,"ddd"))</f>
        <v>Fri</v>
      </c>
      <c r="N107" s="7"/>
      <c r="O107" s="7" t="n">
        <v>58</v>
      </c>
      <c r="P107" s="7" t="s">
        <v>707</v>
      </c>
      <c r="Q107" s="7"/>
      <c r="R107" s="7" t="s">
        <v>708</v>
      </c>
      <c r="S107" s="9"/>
      <c r="T107" s="7"/>
      <c r="U107" s="10" t="str">
        <f aca="false">IF(OR(T107="",N(O107)=0),"",T107/O107)</f>
        <v/>
      </c>
      <c r="V107" s="7"/>
      <c r="W107" s="7"/>
      <c r="X107" s="7"/>
      <c r="Y107" s="9"/>
      <c r="Z107" s="7"/>
      <c r="AA107" s="9"/>
      <c r="AB107" s="7"/>
      <c r="AC107" s="11" t="str">
        <f aca="false">IF(COUNT(S107,Y107,AA107)=0,"",SUM(S107,Y107,AA107))</f>
        <v/>
      </c>
      <c r="AD107" s="10" t="str">
        <f aca="false">IF(N(AC107)=0,"",SUM(V107,W107,X107,Z107,AB107)/AC107)</f>
        <v/>
      </c>
      <c r="AE107" s="9"/>
      <c r="AF107" s="9"/>
      <c r="AG107" s="9"/>
      <c r="AH107" s="11" t="str">
        <f aca="false">IF(COUNT(AE107,AF107,AG107)=0,"",SUM(AE107,AF107,AG107))</f>
        <v/>
      </c>
      <c r="AI107" s="9"/>
      <c r="AJ107" s="9"/>
      <c r="AK107" s="9"/>
      <c r="AL107" s="11" t="str">
        <f aca="false">IF(COUNT(AI107,AJ107,AK107)=0,"",SUM(AI107,AJ107,AK107))</f>
        <v/>
      </c>
      <c r="AM107" s="6" t="str">
        <f aca="false">IF(N(AC107)=0,"",IF(COUNT($AC$6:$AC$105)&lt;5,"Too early",IF(AC107&gt;=1.5*MEDIAN($AC$6:$AC$105),"Top",IF(AC107&lt;=0.5*MEDIAN($AC$6:$AC$105),"Low","Average"))))</f>
        <v/>
      </c>
      <c r="AN107" s="7"/>
      <c r="AO107" s="7" t="s">
        <v>709</v>
      </c>
      <c r="AP107" s="12"/>
      <c r="AQ107" s="12"/>
      <c r="AR107" s="12"/>
      <c r="AS107" s="12"/>
      <c r="AT107" s="12"/>
      <c r="AU107" s="12"/>
      <c r="AV107" s="2" t="s">
        <v>72</v>
      </c>
    </row>
  </sheetData>
  <conditionalFormatting sqref="AM6:AM105">
    <cfRule type="cellIs" priority="2" operator="equal" aboveAverage="0" equalAverage="0" bottom="0" percent="0" rank="0" text="" dxfId="4">
      <formula>"Top"</formula>
    </cfRule>
    <cfRule type="cellIs" priority="3" operator="equal" aboveAverage="0" equalAverage="0" bottom="0" percent="0" rank="0" text="" dxfId="5">
      <formula>"Low"</formula>
    </cfRule>
  </conditionalFormatting>
  <dataValidations count="4">
    <dataValidation allowBlank="true" errorStyle="stop" operator="between" showDropDown="false" showErrorMessage="false" showInputMessage="false" sqref="H6:H107" type="list">
      <formula1>"Idea,Researching,Scripted,Scheduled,Published,Vetoed,Failed,Filming,Editing"</formula1>
      <formula2>0</formula2>
    </dataValidation>
    <dataValidation allowBlank="true" errorStyle="stop" operator="between" showDropDown="false" showErrorMessage="false" showInputMessage="false" sqref="J6:J107" type="list">
      <formula1>"Strong,Weak"</formula1>
      <formula2>0</formula2>
    </dataValidation>
    <dataValidation allowBlank="true" errorStyle="stop" operator="between" showDropDown="false" showErrorMessage="false" showInputMessage="false" sqref="AO6:AO107" type="list">
      <formula1>Looks!$A$5:$A$21</formula1>
      <formula2>0</formula2>
    </dataValidation>
    <dataValidation allowBlank="true" errorStyle="stop" operator="between" showDropDown="false" showErrorMessage="false" showInputMessage="false" sqref="AP6:AP107" type="list">
      <formula1>"ted2,story"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60"/>
    <col collapsed="false" customWidth="true" hidden="false" outlineLevel="0" max="9" min="9" style="0" width="4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3" t="s">
        <v>710</v>
      </c>
    </row>
    <row r="2" customFormat="false" ht="30" hidden="false" customHeight="true" outlineLevel="0" collapsed="false">
      <c r="A2" s="14" t="s">
        <v>711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false" outlineLevel="0" collapsed="false">
      <c r="A4" s="15" t="s">
        <v>10</v>
      </c>
      <c r="B4" s="15" t="s">
        <v>12</v>
      </c>
      <c r="C4" s="15" t="s">
        <v>17</v>
      </c>
      <c r="D4" s="15" t="s">
        <v>712</v>
      </c>
      <c r="E4" s="15" t="s">
        <v>713</v>
      </c>
      <c r="F4" s="15" t="s">
        <v>714</v>
      </c>
      <c r="G4" s="15" t="s">
        <v>715</v>
      </c>
      <c r="H4" s="15" t="s">
        <v>716</v>
      </c>
      <c r="I4" s="15" t="s">
        <v>717</v>
      </c>
      <c r="J4" s="15" t="s">
        <v>718</v>
      </c>
    </row>
    <row r="5" customFormat="false" ht="23.85" hidden="false" customHeight="false" outlineLevel="0" collapsed="false">
      <c r="A5" s="16" t="n">
        <v>1</v>
      </c>
      <c r="B5" s="17" t="s">
        <v>59</v>
      </c>
      <c r="C5" s="16" t="s">
        <v>63</v>
      </c>
      <c r="D5" s="16" t="s">
        <v>72</v>
      </c>
      <c r="E5" s="16" t="s">
        <v>719</v>
      </c>
      <c r="F5" s="16" t="s">
        <v>720</v>
      </c>
      <c r="G5" s="16" t="s">
        <v>721</v>
      </c>
      <c r="H5" s="18" t="s">
        <v>722</v>
      </c>
      <c r="I5" s="17" t="s">
        <v>723</v>
      </c>
      <c r="J5" s="17" t="s">
        <v>724</v>
      </c>
    </row>
    <row r="6" customFormat="false" ht="15" hidden="false" customHeight="false" outlineLevel="0" collapsed="false">
      <c r="A6" s="16" t="n">
        <v>1</v>
      </c>
      <c r="B6" s="17" t="s">
        <v>59</v>
      </c>
      <c r="C6" s="16" t="s">
        <v>63</v>
      </c>
      <c r="D6" s="16" t="s">
        <v>72</v>
      </c>
      <c r="E6" s="16" t="s">
        <v>719</v>
      </c>
      <c r="F6" s="16" t="s">
        <v>725</v>
      </c>
      <c r="G6" s="16" t="s">
        <v>726</v>
      </c>
      <c r="H6" s="17" t="s">
        <v>727</v>
      </c>
      <c r="I6" s="17" t="s">
        <v>728</v>
      </c>
      <c r="J6" s="17"/>
    </row>
    <row r="7" customFormat="false" ht="23.85" hidden="false" customHeight="false" outlineLevel="0" collapsed="false">
      <c r="A7" s="16" t="n">
        <v>1</v>
      </c>
      <c r="B7" s="17" t="s">
        <v>59</v>
      </c>
      <c r="C7" s="16" t="s">
        <v>63</v>
      </c>
      <c r="D7" s="16" t="s">
        <v>72</v>
      </c>
      <c r="E7" s="16" t="s">
        <v>729</v>
      </c>
      <c r="F7" s="16" t="s">
        <v>730</v>
      </c>
      <c r="G7" s="16" t="s">
        <v>731</v>
      </c>
      <c r="H7" s="17" t="s">
        <v>732</v>
      </c>
      <c r="I7" s="17" t="s">
        <v>733</v>
      </c>
      <c r="J7" s="17"/>
    </row>
    <row r="8" customFormat="false" ht="15" hidden="false" customHeight="false" outlineLevel="0" collapsed="false">
      <c r="A8" s="16" t="n">
        <v>1</v>
      </c>
      <c r="B8" s="17" t="s">
        <v>59</v>
      </c>
      <c r="C8" s="16" t="s">
        <v>63</v>
      </c>
      <c r="D8" s="16" t="s">
        <v>72</v>
      </c>
      <c r="E8" s="16" t="s">
        <v>729</v>
      </c>
      <c r="F8" s="16" t="s">
        <v>734</v>
      </c>
      <c r="G8" s="16" t="s">
        <v>735</v>
      </c>
      <c r="H8" s="17" t="s">
        <v>736</v>
      </c>
      <c r="I8" s="17" t="s">
        <v>737</v>
      </c>
      <c r="J8" s="17"/>
    </row>
    <row r="9" customFormat="false" ht="15" hidden="false" customHeight="false" outlineLevel="0" collapsed="false">
      <c r="A9" s="16" t="n">
        <v>1</v>
      </c>
      <c r="B9" s="17" t="s">
        <v>59</v>
      </c>
      <c r="C9" s="16" t="s">
        <v>63</v>
      </c>
      <c r="D9" s="16" t="s">
        <v>72</v>
      </c>
      <c r="E9" s="16" t="s">
        <v>729</v>
      </c>
      <c r="F9" s="16" t="s">
        <v>738</v>
      </c>
      <c r="G9" s="16" t="s">
        <v>739</v>
      </c>
      <c r="H9" s="17" t="s">
        <v>740</v>
      </c>
      <c r="I9" s="17" t="s">
        <v>741</v>
      </c>
      <c r="J9" s="17"/>
    </row>
    <row r="10" customFormat="false" ht="15" hidden="false" customHeight="false" outlineLevel="0" collapsed="false">
      <c r="A10" s="16" t="n">
        <v>1</v>
      </c>
      <c r="B10" s="17" t="s">
        <v>59</v>
      </c>
      <c r="C10" s="16" t="s">
        <v>63</v>
      </c>
      <c r="D10" s="16" t="s">
        <v>72</v>
      </c>
      <c r="E10" s="16" t="s">
        <v>742</v>
      </c>
      <c r="F10" s="16" t="s">
        <v>743</v>
      </c>
      <c r="G10" s="16" t="s">
        <v>744</v>
      </c>
      <c r="H10" s="17" t="s">
        <v>745</v>
      </c>
      <c r="I10" s="17" t="s">
        <v>746</v>
      </c>
      <c r="J10" s="17"/>
    </row>
    <row r="11" customFormat="false" ht="23.85" hidden="false" customHeight="false" outlineLevel="0" collapsed="false">
      <c r="A11" s="19" t="n">
        <v>1</v>
      </c>
      <c r="B11" s="20" t="s">
        <v>59</v>
      </c>
      <c r="C11" s="19" t="s">
        <v>63</v>
      </c>
      <c r="D11" s="19" t="s">
        <v>72</v>
      </c>
      <c r="E11" s="19" t="s">
        <v>742</v>
      </c>
      <c r="F11" s="19" t="s">
        <v>747</v>
      </c>
      <c r="G11" s="19" t="s">
        <v>748</v>
      </c>
      <c r="H11" s="20" t="s">
        <v>749</v>
      </c>
      <c r="I11" s="20" t="s">
        <v>750</v>
      </c>
      <c r="J11" s="20"/>
    </row>
    <row r="12" customFormat="false" ht="23.85" hidden="false" customHeight="false" outlineLevel="0" collapsed="false">
      <c r="A12" s="21" t="n">
        <v>2</v>
      </c>
      <c r="B12" s="22" t="s">
        <v>73</v>
      </c>
      <c r="C12" s="21" t="s">
        <v>77</v>
      </c>
      <c r="D12" s="21" t="s">
        <v>85</v>
      </c>
      <c r="E12" s="21" t="s">
        <v>719</v>
      </c>
      <c r="F12" s="21" t="s">
        <v>720</v>
      </c>
      <c r="G12" s="21" t="s">
        <v>721</v>
      </c>
      <c r="H12" s="23" t="s">
        <v>751</v>
      </c>
      <c r="I12" s="22" t="s">
        <v>752</v>
      </c>
      <c r="J12" s="22" t="s">
        <v>753</v>
      </c>
    </row>
    <row r="13" customFormat="false" ht="23.85" hidden="false" customHeight="false" outlineLevel="0" collapsed="false">
      <c r="A13" s="21" t="n">
        <v>2</v>
      </c>
      <c r="B13" s="22" t="s">
        <v>73</v>
      </c>
      <c r="C13" s="21" t="s">
        <v>77</v>
      </c>
      <c r="D13" s="21" t="s">
        <v>85</v>
      </c>
      <c r="E13" s="21" t="s">
        <v>719</v>
      </c>
      <c r="F13" s="21" t="s">
        <v>725</v>
      </c>
      <c r="G13" s="21" t="s">
        <v>726</v>
      </c>
      <c r="H13" s="22" t="s">
        <v>754</v>
      </c>
      <c r="I13" s="22" t="s">
        <v>755</v>
      </c>
      <c r="J13" s="22"/>
    </row>
    <row r="14" customFormat="false" ht="23.85" hidden="false" customHeight="false" outlineLevel="0" collapsed="false">
      <c r="A14" s="21" t="n">
        <v>2</v>
      </c>
      <c r="B14" s="22" t="s">
        <v>73</v>
      </c>
      <c r="C14" s="21" t="s">
        <v>77</v>
      </c>
      <c r="D14" s="21" t="s">
        <v>85</v>
      </c>
      <c r="E14" s="21" t="s">
        <v>729</v>
      </c>
      <c r="F14" s="21" t="s">
        <v>730</v>
      </c>
      <c r="G14" s="21" t="s">
        <v>731</v>
      </c>
      <c r="H14" s="22" t="s">
        <v>756</v>
      </c>
      <c r="I14" s="22" t="s">
        <v>757</v>
      </c>
      <c r="J14" s="22"/>
    </row>
    <row r="15" customFormat="false" ht="23.85" hidden="false" customHeight="false" outlineLevel="0" collapsed="false">
      <c r="A15" s="21" t="n">
        <v>2</v>
      </c>
      <c r="B15" s="22" t="s">
        <v>73</v>
      </c>
      <c r="C15" s="21" t="s">
        <v>77</v>
      </c>
      <c r="D15" s="21" t="s">
        <v>85</v>
      </c>
      <c r="E15" s="21" t="s">
        <v>729</v>
      </c>
      <c r="F15" s="21" t="s">
        <v>734</v>
      </c>
      <c r="G15" s="21" t="s">
        <v>735</v>
      </c>
      <c r="H15" s="22" t="s">
        <v>758</v>
      </c>
      <c r="I15" s="22" t="s">
        <v>759</v>
      </c>
      <c r="J15" s="22"/>
    </row>
    <row r="16" customFormat="false" ht="23.85" hidden="false" customHeight="false" outlineLevel="0" collapsed="false">
      <c r="A16" s="21" t="n">
        <v>2</v>
      </c>
      <c r="B16" s="22" t="s">
        <v>73</v>
      </c>
      <c r="C16" s="21" t="s">
        <v>77</v>
      </c>
      <c r="D16" s="21" t="s">
        <v>85</v>
      </c>
      <c r="E16" s="21" t="s">
        <v>729</v>
      </c>
      <c r="F16" s="21" t="s">
        <v>738</v>
      </c>
      <c r="G16" s="21" t="s">
        <v>739</v>
      </c>
      <c r="H16" s="22" t="s">
        <v>760</v>
      </c>
      <c r="I16" s="22" t="s">
        <v>761</v>
      </c>
      <c r="J16" s="22"/>
    </row>
    <row r="17" customFormat="false" ht="15" hidden="false" customHeight="false" outlineLevel="0" collapsed="false">
      <c r="A17" s="21" t="n">
        <v>2</v>
      </c>
      <c r="B17" s="22" t="s">
        <v>73</v>
      </c>
      <c r="C17" s="21" t="s">
        <v>77</v>
      </c>
      <c r="D17" s="21" t="s">
        <v>85</v>
      </c>
      <c r="E17" s="21" t="s">
        <v>742</v>
      </c>
      <c r="F17" s="21" t="s">
        <v>743</v>
      </c>
      <c r="G17" s="21" t="s">
        <v>744</v>
      </c>
      <c r="H17" s="22" t="s">
        <v>762</v>
      </c>
      <c r="I17" s="22" t="s">
        <v>763</v>
      </c>
      <c r="J17" s="22"/>
    </row>
    <row r="18" customFormat="false" ht="23.85" hidden="false" customHeight="false" outlineLevel="0" collapsed="false">
      <c r="A18" s="24" t="n">
        <v>2</v>
      </c>
      <c r="B18" s="25" t="s">
        <v>73</v>
      </c>
      <c r="C18" s="24" t="s">
        <v>77</v>
      </c>
      <c r="D18" s="24" t="s">
        <v>85</v>
      </c>
      <c r="E18" s="24" t="s">
        <v>742</v>
      </c>
      <c r="F18" s="24" t="s">
        <v>747</v>
      </c>
      <c r="G18" s="24" t="s">
        <v>748</v>
      </c>
      <c r="H18" s="25" t="s">
        <v>764</v>
      </c>
      <c r="I18" s="25" t="s">
        <v>765</v>
      </c>
      <c r="J18" s="25"/>
    </row>
    <row r="19" customFormat="false" ht="23.85" hidden="false" customHeight="false" outlineLevel="0" collapsed="false">
      <c r="A19" s="16" t="n">
        <v>3</v>
      </c>
      <c r="B19" s="17" t="s">
        <v>86</v>
      </c>
      <c r="C19" s="16" t="s">
        <v>90</v>
      </c>
      <c r="D19" s="16" t="s">
        <v>96</v>
      </c>
      <c r="E19" s="16" t="s">
        <v>719</v>
      </c>
      <c r="F19" s="16" t="s">
        <v>720</v>
      </c>
      <c r="G19" s="16" t="s">
        <v>721</v>
      </c>
      <c r="H19" s="18" t="s">
        <v>766</v>
      </c>
      <c r="I19" s="17" t="s">
        <v>767</v>
      </c>
      <c r="J19" s="17" t="s">
        <v>768</v>
      </c>
    </row>
    <row r="20" customFormat="false" ht="23.85" hidden="false" customHeight="false" outlineLevel="0" collapsed="false">
      <c r="A20" s="16" t="n">
        <v>3</v>
      </c>
      <c r="B20" s="17" t="s">
        <v>86</v>
      </c>
      <c r="C20" s="16" t="s">
        <v>90</v>
      </c>
      <c r="D20" s="16" t="s">
        <v>96</v>
      </c>
      <c r="E20" s="16" t="s">
        <v>719</v>
      </c>
      <c r="F20" s="16" t="s">
        <v>725</v>
      </c>
      <c r="G20" s="16" t="s">
        <v>726</v>
      </c>
      <c r="H20" s="17" t="s">
        <v>769</v>
      </c>
      <c r="I20" s="17" t="s">
        <v>770</v>
      </c>
      <c r="J20" s="17"/>
    </row>
    <row r="21" customFormat="false" ht="23.85" hidden="false" customHeight="false" outlineLevel="0" collapsed="false">
      <c r="A21" s="16" t="n">
        <v>3</v>
      </c>
      <c r="B21" s="17" t="s">
        <v>86</v>
      </c>
      <c r="C21" s="16" t="s">
        <v>90</v>
      </c>
      <c r="D21" s="16" t="s">
        <v>96</v>
      </c>
      <c r="E21" s="16" t="s">
        <v>729</v>
      </c>
      <c r="F21" s="16" t="s">
        <v>730</v>
      </c>
      <c r="G21" s="16" t="s">
        <v>731</v>
      </c>
      <c r="H21" s="17" t="s">
        <v>771</v>
      </c>
      <c r="I21" s="17" t="s">
        <v>772</v>
      </c>
      <c r="J21" s="17"/>
    </row>
    <row r="22" customFormat="false" ht="23.85" hidden="false" customHeight="false" outlineLevel="0" collapsed="false">
      <c r="A22" s="16" t="n">
        <v>3</v>
      </c>
      <c r="B22" s="17" t="s">
        <v>86</v>
      </c>
      <c r="C22" s="16" t="s">
        <v>90</v>
      </c>
      <c r="D22" s="16" t="s">
        <v>96</v>
      </c>
      <c r="E22" s="16" t="s">
        <v>729</v>
      </c>
      <c r="F22" s="16" t="s">
        <v>734</v>
      </c>
      <c r="G22" s="16" t="s">
        <v>735</v>
      </c>
      <c r="H22" s="17" t="s">
        <v>773</v>
      </c>
      <c r="I22" s="17" t="s">
        <v>774</v>
      </c>
      <c r="J22" s="17"/>
    </row>
    <row r="23" customFormat="false" ht="15" hidden="false" customHeight="false" outlineLevel="0" collapsed="false">
      <c r="A23" s="16" t="n">
        <v>3</v>
      </c>
      <c r="B23" s="17" t="s">
        <v>86</v>
      </c>
      <c r="C23" s="16" t="s">
        <v>90</v>
      </c>
      <c r="D23" s="16" t="s">
        <v>96</v>
      </c>
      <c r="E23" s="16" t="s">
        <v>729</v>
      </c>
      <c r="F23" s="16" t="s">
        <v>738</v>
      </c>
      <c r="G23" s="16" t="s">
        <v>739</v>
      </c>
      <c r="H23" s="17" t="s">
        <v>775</v>
      </c>
      <c r="I23" s="17" t="s">
        <v>776</v>
      </c>
      <c r="J23" s="17"/>
    </row>
    <row r="24" customFormat="false" ht="23.85" hidden="false" customHeight="false" outlineLevel="0" collapsed="false">
      <c r="A24" s="16" t="n">
        <v>3</v>
      </c>
      <c r="B24" s="17" t="s">
        <v>86</v>
      </c>
      <c r="C24" s="16" t="s">
        <v>90</v>
      </c>
      <c r="D24" s="16" t="s">
        <v>96</v>
      </c>
      <c r="E24" s="16" t="s">
        <v>742</v>
      </c>
      <c r="F24" s="16" t="s">
        <v>743</v>
      </c>
      <c r="G24" s="16" t="s">
        <v>744</v>
      </c>
      <c r="H24" s="17" t="s">
        <v>777</v>
      </c>
      <c r="I24" s="17" t="s">
        <v>778</v>
      </c>
      <c r="J24" s="17"/>
    </row>
    <row r="25" customFormat="false" ht="23.85" hidden="false" customHeight="false" outlineLevel="0" collapsed="false">
      <c r="A25" s="19" t="n">
        <v>3</v>
      </c>
      <c r="B25" s="20" t="s">
        <v>86</v>
      </c>
      <c r="C25" s="19" t="s">
        <v>90</v>
      </c>
      <c r="D25" s="19" t="s">
        <v>96</v>
      </c>
      <c r="E25" s="19" t="s">
        <v>742</v>
      </c>
      <c r="F25" s="19" t="s">
        <v>747</v>
      </c>
      <c r="G25" s="19" t="s">
        <v>748</v>
      </c>
      <c r="H25" s="20" t="s">
        <v>779</v>
      </c>
      <c r="I25" s="20" t="s">
        <v>780</v>
      </c>
      <c r="J25" s="20"/>
    </row>
    <row r="26" customFormat="false" ht="35.05" hidden="false" customHeight="false" outlineLevel="0" collapsed="false">
      <c r="A26" s="21" t="n">
        <v>4</v>
      </c>
      <c r="B26" s="22" t="s">
        <v>97</v>
      </c>
      <c r="C26" s="21" t="s">
        <v>90</v>
      </c>
      <c r="D26" s="21" t="s">
        <v>105</v>
      </c>
      <c r="E26" s="21" t="s">
        <v>719</v>
      </c>
      <c r="F26" s="21" t="s">
        <v>720</v>
      </c>
      <c r="G26" s="21" t="s">
        <v>721</v>
      </c>
      <c r="H26" s="23" t="s">
        <v>781</v>
      </c>
      <c r="I26" s="22" t="s">
        <v>782</v>
      </c>
      <c r="J26" s="22" t="s">
        <v>783</v>
      </c>
    </row>
    <row r="27" customFormat="false" ht="23.85" hidden="false" customHeight="false" outlineLevel="0" collapsed="false">
      <c r="A27" s="21" t="n">
        <v>4</v>
      </c>
      <c r="B27" s="22" t="s">
        <v>97</v>
      </c>
      <c r="C27" s="21" t="s">
        <v>90</v>
      </c>
      <c r="D27" s="21" t="s">
        <v>105</v>
      </c>
      <c r="E27" s="21" t="s">
        <v>719</v>
      </c>
      <c r="F27" s="21" t="s">
        <v>725</v>
      </c>
      <c r="G27" s="21" t="s">
        <v>726</v>
      </c>
      <c r="H27" s="22" t="s">
        <v>784</v>
      </c>
      <c r="I27" s="22" t="s">
        <v>785</v>
      </c>
      <c r="J27" s="22"/>
    </row>
    <row r="28" customFormat="false" ht="23.85" hidden="false" customHeight="false" outlineLevel="0" collapsed="false">
      <c r="A28" s="21" t="n">
        <v>4</v>
      </c>
      <c r="B28" s="22" t="s">
        <v>97</v>
      </c>
      <c r="C28" s="21" t="s">
        <v>90</v>
      </c>
      <c r="D28" s="21" t="s">
        <v>105</v>
      </c>
      <c r="E28" s="21" t="s">
        <v>729</v>
      </c>
      <c r="F28" s="21" t="s">
        <v>730</v>
      </c>
      <c r="G28" s="21" t="s">
        <v>731</v>
      </c>
      <c r="H28" s="22" t="s">
        <v>786</v>
      </c>
      <c r="I28" s="22" t="s">
        <v>787</v>
      </c>
      <c r="J28" s="22"/>
    </row>
    <row r="29" customFormat="false" ht="23.85" hidden="false" customHeight="false" outlineLevel="0" collapsed="false">
      <c r="A29" s="21" t="n">
        <v>4</v>
      </c>
      <c r="B29" s="22" t="s">
        <v>97</v>
      </c>
      <c r="C29" s="21" t="s">
        <v>90</v>
      </c>
      <c r="D29" s="21" t="s">
        <v>105</v>
      </c>
      <c r="E29" s="21" t="s">
        <v>729</v>
      </c>
      <c r="F29" s="21" t="s">
        <v>734</v>
      </c>
      <c r="G29" s="21" t="s">
        <v>735</v>
      </c>
      <c r="H29" s="22" t="s">
        <v>788</v>
      </c>
      <c r="I29" s="22" t="s">
        <v>789</v>
      </c>
      <c r="J29" s="22"/>
    </row>
    <row r="30" customFormat="false" ht="23.85" hidden="false" customHeight="false" outlineLevel="0" collapsed="false">
      <c r="A30" s="21" t="n">
        <v>4</v>
      </c>
      <c r="B30" s="22" t="s">
        <v>97</v>
      </c>
      <c r="C30" s="21" t="s">
        <v>90</v>
      </c>
      <c r="D30" s="21" t="s">
        <v>105</v>
      </c>
      <c r="E30" s="21" t="s">
        <v>729</v>
      </c>
      <c r="F30" s="21" t="s">
        <v>738</v>
      </c>
      <c r="G30" s="21" t="s">
        <v>739</v>
      </c>
      <c r="H30" s="22" t="s">
        <v>790</v>
      </c>
      <c r="I30" s="22" t="s">
        <v>791</v>
      </c>
      <c r="J30" s="22"/>
    </row>
    <row r="31" customFormat="false" ht="23.85" hidden="false" customHeight="false" outlineLevel="0" collapsed="false">
      <c r="A31" s="21" t="n">
        <v>4</v>
      </c>
      <c r="B31" s="22" t="s">
        <v>97</v>
      </c>
      <c r="C31" s="21" t="s">
        <v>90</v>
      </c>
      <c r="D31" s="21" t="s">
        <v>105</v>
      </c>
      <c r="E31" s="21" t="s">
        <v>742</v>
      </c>
      <c r="F31" s="21" t="s">
        <v>743</v>
      </c>
      <c r="G31" s="21" t="s">
        <v>744</v>
      </c>
      <c r="H31" s="22" t="s">
        <v>792</v>
      </c>
      <c r="I31" s="22" t="s">
        <v>793</v>
      </c>
      <c r="J31" s="22"/>
    </row>
    <row r="32" customFormat="false" ht="23.85" hidden="false" customHeight="false" outlineLevel="0" collapsed="false">
      <c r="A32" s="24" t="n">
        <v>4</v>
      </c>
      <c r="B32" s="25" t="s">
        <v>97</v>
      </c>
      <c r="C32" s="24" t="s">
        <v>90</v>
      </c>
      <c r="D32" s="24" t="s">
        <v>105</v>
      </c>
      <c r="E32" s="24" t="s">
        <v>742</v>
      </c>
      <c r="F32" s="24" t="s">
        <v>747</v>
      </c>
      <c r="G32" s="24" t="s">
        <v>748</v>
      </c>
      <c r="H32" s="25" t="s">
        <v>794</v>
      </c>
      <c r="I32" s="25" t="s">
        <v>795</v>
      </c>
      <c r="J32" s="25"/>
    </row>
    <row r="33" customFormat="false" ht="23.85" hidden="false" customHeight="false" outlineLevel="0" collapsed="false">
      <c r="A33" s="16" t="n">
        <v>5</v>
      </c>
      <c r="B33" s="17" t="s">
        <v>106</v>
      </c>
      <c r="C33" s="16" t="s">
        <v>110</v>
      </c>
      <c r="D33" s="16" t="s">
        <v>113</v>
      </c>
      <c r="E33" s="16" t="s">
        <v>719</v>
      </c>
      <c r="F33" s="16" t="s">
        <v>720</v>
      </c>
      <c r="G33" s="16" t="s">
        <v>721</v>
      </c>
      <c r="H33" s="18" t="s">
        <v>796</v>
      </c>
      <c r="I33" s="17" t="s">
        <v>797</v>
      </c>
      <c r="J33" s="17" t="s">
        <v>798</v>
      </c>
    </row>
    <row r="34" customFormat="false" ht="15" hidden="false" customHeight="false" outlineLevel="0" collapsed="false">
      <c r="A34" s="16" t="n">
        <v>5</v>
      </c>
      <c r="B34" s="17" t="s">
        <v>106</v>
      </c>
      <c r="C34" s="16" t="s">
        <v>110</v>
      </c>
      <c r="D34" s="16" t="s">
        <v>113</v>
      </c>
      <c r="E34" s="16" t="s">
        <v>719</v>
      </c>
      <c r="F34" s="16" t="s">
        <v>725</v>
      </c>
      <c r="G34" s="16" t="s">
        <v>726</v>
      </c>
      <c r="H34" s="17" t="s">
        <v>799</v>
      </c>
      <c r="I34" s="17" t="s">
        <v>800</v>
      </c>
      <c r="J34" s="17"/>
    </row>
    <row r="35" customFormat="false" ht="23.85" hidden="false" customHeight="false" outlineLevel="0" collapsed="false">
      <c r="A35" s="16" t="n">
        <v>5</v>
      </c>
      <c r="B35" s="17" t="s">
        <v>106</v>
      </c>
      <c r="C35" s="16" t="s">
        <v>110</v>
      </c>
      <c r="D35" s="16" t="s">
        <v>113</v>
      </c>
      <c r="E35" s="16" t="s">
        <v>729</v>
      </c>
      <c r="F35" s="16" t="s">
        <v>730</v>
      </c>
      <c r="G35" s="16" t="s">
        <v>731</v>
      </c>
      <c r="H35" s="17" t="s">
        <v>801</v>
      </c>
      <c r="I35" s="17" t="s">
        <v>802</v>
      </c>
      <c r="J35" s="17"/>
    </row>
    <row r="36" customFormat="false" ht="23.85" hidden="false" customHeight="false" outlineLevel="0" collapsed="false">
      <c r="A36" s="16" t="n">
        <v>5</v>
      </c>
      <c r="B36" s="17" t="s">
        <v>106</v>
      </c>
      <c r="C36" s="16" t="s">
        <v>110</v>
      </c>
      <c r="D36" s="16" t="s">
        <v>113</v>
      </c>
      <c r="E36" s="16" t="s">
        <v>729</v>
      </c>
      <c r="F36" s="16" t="s">
        <v>734</v>
      </c>
      <c r="G36" s="16" t="s">
        <v>735</v>
      </c>
      <c r="H36" s="17" t="s">
        <v>803</v>
      </c>
      <c r="I36" s="17" t="s">
        <v>804</v>
      </c>
      <c r="J36" s="17"/>
    </row>
    <row r="37" customFormat="false" ht="23.85" hidden="false" customHeight="false" outlineLevel="0" collapsed="false">
      <c r="A37" s="16" t="n">
        <v>5</v>
      </c>
      <c r="B37" s="17" t="s">
        <v>106</v>
      </c>
      <c r="C37" s="16" t="s">
        <v>110</v>
      </c>
      <c r="D37" s="16" t="s">
        <v>113</v>
      </c>
      <c r="E37" s="16" t="s">
        <v>729</v>
      </c>
      <c r="F37" s="16" t="s">
        <v>738</v>
      </c>
      <c r="G37" s="16" t="s">
        <v>739</v>
      </c>
      <c r="H37" s="17" t="s">
        <v>805</v>
      </c>
      <c r="I37" s="17" t="s">
        <v>806</v>
      </c>
      <c r="J37" s="17"/>
    </row>
    <row r="38" customFormat="false" ht="15" hidden="false" customHeight="false" outlineLevel="0" collapsed="false">
      <c r="A38" s="16" t="n">
        <v>5</v>
      </c>
      <c r="B38" s="17" t="s">
        <v>106</v>
      </c>
      <c r="C38" s="16" t="s">
        <v>110</v>
      </c>
      <c r="D38" s="16" t="s">
        <v>113</v>
      </c>
      <c r="E38" s="16" t="s">
        <v>742</v>
      </c>
      <c r="F38" s="16" t="s">
        <v>743</v>
      </c>
      <c r="G38" s="16" t="s">
        <v>744</v>
      </c>
      <c r="H38" s="17" t="s">
        <v>807</v>
      </c>
      <c r="I38" s="17" t="s">
        <v>808</v>
      </c>
      <c r="J38" s="17"/>
    </row>
    <row r="39" customFormat="false" ht="23.85" hidden="false" customHeight="false" outlineLevel="0" collapsed="false">
      <c r="A39" s="19" t="n">
        <v>5</v>
      </c>
      <c r="B39" s="20" t="s">
        <v>106</v>
      </c>
      <c r="C39" s="19" t="s">
        <v>110</v>
      </c>
      <c r="D39" s="19" t="s">
        <v>113</v>
      </c>
      <c r="E39" s="19" t="s">
        <v>742</v>
      </c>
      <c r="F39" s="19" t="s">
        <v>747</v>
      </c>
      <c r="G39" s="19" t="s">
        <v>748</v>
      </c>
      <c r="H39" s="20" t="s">
        <v>809</v>
      </c>
      <c r="I39" s="20" t="s">
        <v>810</v>
      </c>
      <c r="J39" s="20"/>
    </row>
    <row r="40" customFormat="false" ht="23.85" hidden="false" customHeight="false" outlineLevel="0" collapsed="false">
      <c r="A40" s="21" t="n">
        <v>6</v>
      </c>
      <c r="B40" s="22" t="s">
        <v>114</v>
      </c>
      <c r="C40" s="21" t="s">
        <v>110</v>
      </c>
      <c r="D40" s="21" t="s">
        <v>85</v>
      </c>
      <c r="E40" s="21" t="s">
        <v>719</v>
      </c>
      <c r="F40" s="21" t="s">
        <v>720</v>
      </c>
      <c r="G40" s="21" t="s">
        <v>721</v>
      </c>
      <c r="H40" s="23" t="s">
        <v>811</v>
      </c>
      <c r="I40" s="22" t="s">
        <v>812</v>
      </c>
      <c r="J40" s="22" t="s">
        <v>813</v>
      </c>
    </row>
    <row r="41" customFormat="false" ht="23.85" hidden="false" customHeight="false" outlineLevel="0" collapsed="false">
      <c r="A41" s="21" t="n">
        <v>6</v>
      </c>
      <c r="B41" s="22" t="s">
        <v>114</v>
      </c>
      <c r="C41" s="21" t="s">
        <v>110</v>
      </c>
      <c r="D41" s="21" t="s">
        <v>85</v>
      </c>
      <c r="E41" s="21" t="s">
        <v>719</v>
      </c>
      <c r="F41" s="21" t="s">
        <v>725</v>
      </c>
      <c r="G41" s="21" t="s">
        <v>726</v>
      </c>
      <c r="H41" s="22" t="s">
        <v>814</v>
      </c>
      <c r="I41" s="22" t="s">
        <v>815</v>
      </c>
      <c r="J41" s="22"/>
    </row>
    <row r="42" customFormat="false" ht="15" hidden="false" customHeight="false" outlineLevel="0" collapsed="false">
      <c r="A42" s="21" t="n">
        <v>6</v>
      </c>
      <c r="B42" s="22" t="s">
        <v>114</v>
      </c>
      <c r="C42" s="21" t="s">
        <v>110</v>
      </c>
      <c r="D42" s="21" t="s">
        <v>85</v>
      </c>
      <c r="E42" s="21" t="s">
        <v>729</v>
      </c>
      <c r="F42" s="21" t="s">
        <v>730</v>
      </c>
      <c r="G42" s="21" t="s">
        <v>731</v>
      </c>
      <c r="H42" s="22" t="s">
        <v>816</v>
      </c>
      <c r="I42" s="22" t="s">
        <v>817</v>
      </c>
      <c r="J42" s="22"/>
    </row>
    <row r="43" customFormat="false" ht="23.85" hidden="false" customHeight="false" outlineLevel="0" collapsed="false">
      <c r="A43" s="21" t="n">
        <v>6</v>
      </c>
      <c r="B43" s="22" t="s">
        <v>114</v>
      </c>
      <c r="C43" s="21" t="s">
        <v>110</v>
      </c>
      <c r="D43" s="21" t="s">
        <v>85</v>
      </c>
      <c r="E43" s="21" t="s">
        <v>729</v>
      </c>
      <c r="F43" s="21" t="s">
        <v>734</v>
      </c>
      <c r="G43" s="21" t="s">
        <v>735</v>
      </c>
      <c r="H43" s="22" t="s">
        <v>818</v>
      </c>
      <c r="I43" s="22" t="s">
        <v>819</v>
      </c>
      <c r="J43" s="22"/>
    </row>
    <row r="44" customFormat="false" ht="23.85" hidden="false" customHeight="false" outlineLevel="0" collapsed="false">
      <c r="A44" s="21" t="n">
        <v>6</v>
      </c>
      <c r="B44" s="22" t="s">
        <v>114</v>
      </c>
      <c r="C44" s="21" t="s">
        <v>110</v>
      </c>
      <c r="D44" s="21" t="s">
        <v>85</v>
      </c>
      <c r="E44" s="21" t="s">
        <v>729</v>
      </c>
      <c r="F44" s="21" t="s">
        <v>738</v>
      </c>
      <c r="G44" s="21" t="s">
        <v>739</v>
      </c>
      <c r="H44" s="22" t="s">
        <v>820</v>
      </c>
      <c r="I44" s="22" t="s">
        <v>821</v>
      </c>
      <c r="J44" s="22"/>
    </row>
    <row r="45" customFormat="false" ht="15" hidden="false" customHeight="false" outlineLevel="0" collapsed="false">
      <c r="A45" s="21" t="n">
        <v>6</v>
      </c>
      <c r="B45" s="22" t="s">
        <v>114</v>
      </c>
      <c r="C45" s="21" t="s">
        <v>110</v>
      </c>
      <c r="D45" s="21" t="s">
        <v>85</v>
      </c>
      <c r="E45" s="21" t="s">
        <v>742</v>
      </c>
      <c r="F45" s="21" t="s">
        <v>743</v>
      </c>
      <c r="G45" s="21" t="s">
        <v>744</v>
      </c>
      <c r="H45" s="22" t="s">
        <v>822</v>
      </c>
      <c r="I45" s="22" t="s">
        <v>823</v>
      </c>
      <c r="J45" s="22"/>
    </row>
    <row r="46" customFormat="false" ht="23.85" hidden="false" customHeight="false" outlineLevel="0" collapsed="false">
      <c r="A46" s="24" t="n">
        <v>6</v>
      </c>
      <c r="B46" s="25" t="s">
        <v>114</v>
      </c>
      <c r="C46" s="24" t="s">
        <v>110</v>
      </c>
      <c r="D46" s="24" t="s">
        <v>85</v>
      </c>
      <c r="E46" s="24" t="s">
        <v>742</v>
      </c>
      <c r="F46" s="24" t="s">
        <v>747</v>
      </c>
      <c r="G46" s="24" t="s">
        <v>748</v>
      </c>
      <c r="H46" s="25" t="s">
        <v>824</v>
      </c>
      <c r="I46" s="25" t="s">
        <v>825</v>
      </c>
      <c r="J46" s="25"/>
    </row>
    <row r="47" customFormat="false" ht="23.85" hidden="false" customHeight="false" outlineLevel="0" collapsed="false">
      <c r="A47" s="16" t="n">
        <v>7</v>
      </c>
      <c r="B47" s="17" t="s">
        <v>129</v>
      </c>
      <c r="C47" s="16" t="s">
        <v>133</v>
      </c>
      <c r="D47" s="16" t="s">
        <v>72</v>
      </c>
      <c r="E47" s="16" t="s">
        <v>719</v>
      </c>
      <c r="F47" s="16" t="s">
        <v>720</v>
      </c>
      <c r="G47" s="16" t="s">
        <v>721</v>
      </c>
      <c r="H47" s="18" t="s">
        <v>826</v>
      </c>
      <c r="I47" s="17" t="s">
        <v>827</v>
      </c>
      <c r="J47" s="17" t="s">
        <v>828</v>
      </c>
    </row>
    <row r="48" customFormat="false" ht="15" hidden="false" customHeight="false" outlineLevel="0" collapsed="false">
      <c r="A48" s="16" t="n">
        <v>7</v>
      </c>
      <c r="B48" s="17" t="s">
        <v>129</v>
      </c>
      <c r="C48" s="16" t="s">
        <v>133</v>
      </c>
      <c r="D48" s="16" t="s">
        <v>72</v>
      </c>
      <c r="E48" s="16" t="s">
        <v>719</v>
      </c>
      <c r="F48" s="16" t="s">
        <v>725</v>
      </c>
      <c r="G48" s="16" t="s">
        <v>726</v>
      </c>
      <c r="H48" s="17" t="s">
        <v>829</v>
      </c>
      <c r="I48" s="17" t="s">
        <v>830</v>
      </c>
      <c r="J48" s="17"/>
    </row>
    <row r="49" customFormat="false" ht="23.85" hidden="false" customHeight="false" outlineLevel="0" collapsed="false">
      <c r="A49" s="16" t="n">
        <v>7</v>
      </c>
      <c r="B49" s="17" t="s">
        <v>129</v>
      </c>
      <c r="C49" s="16" t="s">
        <v>133</v>
      </c>
      <c r="D49" s="16" t="s">
        <v>72</v>
      </c>
      <c r="E49" s="16" t="s">
        <v>729</v>
      </c>
      <c r="F49" s="16" t="s">
        <v>730</v>
      </c>
      <c r="G49" s="16" t="s">
        <v>731</v>
      </c>
      <c r="H49" s="17" t="s">
        <v>831</v>
      </c>
      <c r="I49" s="17" t="s">
        <v>832</v>
      </c>
      <c r="J49" s="17"/>
    </row>
    <row r="50" customFormat="false" ht="23.85" hidden="false" customHeight="false" outlineLevel="0" collapsed="false">
      <c r="A50" s="16" t="n">
        <v>7</v>
      </c>
      <c r="B50" s="17" t="s">
        <v>129</v>
      </c>
      <c r="C50" s="16" t="s">
        <v>133</v>
      </c>
      <c r="D50" s="16" t="s">
        <v>72</v>
      </c>
      <c r="E50" s="16" t="s">
        <v>729</v>
      </c>
      <c r="F50" s="16" t="s">
        <v>734</v>
      </c>
      <c r="G50" s="16" t="s">
        <v>735</v>
      </c>
      <c r="H50" s="17" t="s">
        <v>833</v>
      </c>
      <c r="I50" s="17" t="s">
        <v>834</v>
      </c>
      <c r="J50" s="17"/>
    </row>
    <row r="51" customFormat="false" ht="15" hidden="false" customHeight="false" outlineLevel="0" collapsed="false">
      <c r="A51" s="16" t="n">
        <v>7</v>
      </c>
      <c r="B51" s="17" t="s">
        <v>129</v>
      </c>
      <c r="C51" s="16" t="s">
        <v>133</v>
      </c>
      <c r="D51" s="16" t="s">
        <v>72</v>
      </c>
      <c r="E51" s="16" t="s">
        <v>729</v>
      </c>
      <c r="F51" s="16" t="s">
        <v>738</v>
      </c>
      <c r="G51" s="16" t="s">
        <v>739</v>
      </c>
      <c r="H51" s="17" t="s">
        <v>835</v>
      </c>
      <c r="I51" s="17" t="s">
        <v>836</v>
      </c>
      <c r="J51" s="17"/>
    </row>
    <row r="52" customFormat="false" ht="15" hidden="false" customHeight="false" outlineLevel="0" collapsed="false">
      <c r="A52" s="16" t="n">
        <v>7</v>
      </c>
      <c r="B52" s="17" t="s">
        <v>129</v>
      </c>
      <c r="C52" s="16" t="s">
        <v>133</v>
      </c>
      <c r="D52" s="16" t="s">
        <v>72</v>
      </c>
      <c r="E52" s="16" t="s">
        <v>742</v>
      </c>
      <c r="F52" s="16" t="s">
        <v>743</v>
      </c>
      <c r="G52" s="16" t="s">
        <v>744</v>
      </c>
      <c r="H52" s="17" t="s">
        <v>837</v>
      </c>
      <c r="I52" s="17" t="s">
        <v>838</v>
      </c>
      <c r="J52" s="17"/>
    </row>
    <row r="53" customFormat="false" ht="23.85" hidden="false" customHeight="false" outlineLevel="0" collapsed="false">
      <c r="A53" s="19" t="n">
        <v>7</v>
      </c>
      <c r="B53" s="20" t="s">
        <v>129</v>
      </c>
      <c r="C53" s="19" t="s">
        <v>133</v>
      </c>
      <c r="D53" s="19" t="s">
        <v>72</v>
      </c>
      <c r="E53" s="19" t="s">
        <v>742</v>
      </c>
      <c r="F53" s="19" t="s">
        <v>747</v>
      </c>
      <c r="G53" s="19" t="s">
        <v>748</v>
      </c>
      <c r="H53" s="20" t="s">
        <v>839</v>
      </c>
      <c r="I53" s="20" t="s">
        <v>840</v>
      </c>
      <c r="J53" s="20"/>
    </row>
    <row r="54" customFormat="false" ht="35.05" hidden="false" customHeight="false" outlineLevel="0" collapsed="false">
      <c r="A54" s="21" t="n">
        <v>8</v>
      </c>
      <c r="B54" s="22" t="s">
        <v>135</v>
      </c>
      <c r="C54" s="21" t="s">
        <v>133</v>
      </c>
      <c r="D54" s="21" t="s">
        <v>113</v>
      </c>
      <c r="E54" s="21" t="s">
        <v>719</v>
      </c>
      <c r="F54" s="21" t="s">
        <v>720</v>
      </c>
      <c r="G54" s="21" t="s">
        <v>721</v>
      </c>
      <c r="H54" s="23" t="s">
        <v>841</v>
      </c>
      <c r="I54" s="22" t="s">
        <v>842</v>
      </c>
      <c r="J54" s="22" t="s">
        <v>843</v>
      </c>
    </row>
    <row r="55" customFormat="false" ht="23.85" hidden="false" customHeight="false" outlineLevel="0" collapsed="false">
      <c r="A55" s="21" t="n">
        <v>8</v>
      </c>
      <c r="B55" s="22" t="s">
        <v>135</v>
      </c>
      <c r="C55" s="21" t="s">
        <v>133</v>
      </c>
      <c r="D55" s="21" t="s">
        <v>113</v>
      </c>
      <c r="E55" s="21" t="s">
        <v>719</v>
      </c>
      <c r="F55" s="21" t="s">
        <v>725</v>
      </c>
      <c r="G55" s="21" t="s">
        <v>726</v>
      </c>
      <c r="H55" s="22" t="s">
        <v>844</v>
      </c>
      <c r="I55" s="22" t="s">
        <v>845</v>
      </c>
      <c r="J55" s="22"/>
    </row>
    <row r="56" customFormat="false" ht="15" hidden="false" customHeight="false" outlineLevel="0" collapsed="false">
      <c r="A56" s="21" t="n">
        <v>8</v>
      </c>
      <c r="B56" s="22" t="s">
        <v>135</v>
      </c>
      <c r="C56" s="21" t="s">
        <v>133</v>
      </c>
      <c r="D56" s="21" t="s">
        <v>113</v>
      </c>
      <c r="E56" s="21" t="s">
        <v>729</v>
      </c>
      <c r="F56" s="21" t="s">
        <v>730</v>
      </c>
      <c r="G56" s="21" t="s">
        <v>731</v>
      </c>
      <c r="H56" s="22" t="s">
        <v>846</v>
      </c>
      <c r="I56" s="22" t="s">
        <v>847</v>
      </c>
      <c r="J56" s="22"/>
    </row>
    <row r="57" customFormat="false" ht="15" hidden="false" customHeight="false" outlineLevel="0" collapsed="false">
      <c r="A57" s="21" t="n">
        <v>8</v>
      </c>
      <c r="B57" s="22" t="s">
        <v>135</v>
      </c>
      <c r="C57" s="21" t="s">
        <v>133</v>
      </c>
      <c r="D57" s="21" t="s">
        <v>113</v>
      </c>
      <c r="E57" s="21" t="s">
        <v>729</v>
      </c>
      <c r="F57" s="21" t="s">
        <v>734</v>
      </c>
      <c r="G57" s="21" t="s">
        <v>735</v>
      </c>
      <c r="H57" s="22" t="s">
        <v>848</v>
      </c>
      <c r="I57" s="22" t="s">
        <v>849</v>
      </c>
      <c r="J57" s="22"/>
    </row>
    <row r="58" customFormat="false" ht="15" hidden="false" customHeight="false" outlineLevel="0" collapsed="false">
      <c r="A58" s="21" t="n">
        <v>8</v>
      </c>
      <c r="B58" s="22" t="s">
        <v>135</v>
      </c>
      <c r="C58" s="21" t="s">
        <v>133</v>
      </c>
      <c r="D58" s="21" t="s">
        <v>113</v>
      </c>
      <c r="E58" s="21" t="s">
        <v>729</v>
      </c>
      <c r="F58" s="21" t="s">
        <v>738</v>
      </c>
      <c r="G58" s="21" t="s">
        <v>739</v>
      </c>
      <c r="H58" s="22" t="s">
        <v>850</v>
      </c>
      <c r="I58" s="22" t="s">
        <v>851</v>
      </c>
      <c r="J58" s="22"/>
    </row>
    <row r="59" customFormat="false" ht="15" hidden="false" customHeight="false" outlineLevel="0" collapsed="false">
      <c r="A59" s="21" t="n">
        <v>8</v>
      </c>
      <c r="B59" s="22" t="s">
        <v>135</v>
      </c>
      <c r="C59" s="21" t="s">
        <v>133</v>
      </c>
      <c r="D59" s="21" t="s">
        <v>113</v>
      </c>
      <c r="E59" s="21" t="s">
        <v>742</v>
      </c>
      <c r="F59" s="21" t="s">
        <v>743</v>
      </c>
      <c r="G59" s="21" t="s">
        <v>744</v>
      </c>
      <c r="H59" s="22" t="s">
        <v>852</v>
      </c>
      <c r="I59" s="22" t="s">
        <v>853</v>
      </c>
      <c r="J59" s="22"/>
    </row>
    <row r="60" customFormat="false" ht="23.85" hidden="false" customHeight="false" outlineLevel="0" collapsed="false">
      <c r="A60" s="24" t="n">
        <v>8</v>
      </c>
      <c r="B60" s="25" t="s">
        <v>135</v>
      </c>
      <c r="C60" s="24" t="s">
        <v>133</v>
      </c>
      <c r="D60" s="24" t="s">
        <v>113</v>
      </c>
      <c r="E60" s="24" t="s">
        <v>742</v>
      </c>
      <c r="F60" s="24" t="s">
        <v>747</v>
      </c>
      <c r="G60" s="24" t="s">
        <v>748</v>
      </c>
      <c r="H60" s="25" t="s">
        <v>854</v>
      </c>
      <c r="I60" s="25" t="s">
        <v>855</v>
      </c>
      <c r="J60" s="25"/>
    </row>
    <row r="61" customFormat="false" ht="35.05" hidden="false" customHeight="false" outlineLevel="0" collapsed="false">
      <c r="A61" s="16" t="n">
        <v>9</v>
      </c>
      <c r="B61" s="17" t="s">
        <v>140</v>
      </c>
      <c r="C61" s="16" t="s">
        <v>133</v>
      </c>
      <c r="D61" s="16" t="s">
        <v>96</v>
      </c>
      <c r="E61" s="16" t="s">
        <v>719</v>
      </c>
      <c r="F61" s="16" t="s">
        <v>720</v>
      </c>
      <c r="G61" s="16" t="s">
        <v>721</v>
      </c>
      <c r="H61" s="18" t="s">
        <v>856</v>
      </c>
      <c r="I61" s="17" t="s">
        <v>857</v>
      </c>
      <c r="J61" s="17" t="s">
        <v>858</v>
      </c>
    </row>
    <row r="62" customFormat="false" ht="15" hidden="false" customHeight="false" outlineLevel="0" collapsed="false">
      <c r="A62" s="16" t="n">
        <v>9</v>
      </c>
      <c r="B62" s="17" t="s">
        <v>140</v>
      </c>
      <c r="C62" s="16" t="s">
        <v>133</v>
      </c>
      <c r="D62" s="16" t="s">
        <v>96</v>
      </c>
      <c r="E62" s="16" t="s">
        <v>719</v>
      </c>
      <c r="F62" s="16" t="s">
        <v>725</v>
      </c>
      <c r="G62" s="16" t="s">
        <v>726</v>
      </c>
      <c r="H62" s="17" t="s">
        <v>859</v>
      </c>
      <c r="I62" s="17" t="s">
        <v>860</v>
      </c>
      <c r="J62" s="17"/>
    </row>
    <row r="63" customFormat="false" ht="23.85" hidden="false" customHeight="false" outlineLevel="0" collapsed="false">
      <c r="A63" s="16" t="n">
        <v>9</v>
      </c>
      <c r="B63" s="17" t="s">
        <v>140</v>
      </c>
      <c r="C63" s="16" t="s">
        <v>133</v>
      </c>
      <c r="D63" s="16" t="s">
        <v>96</v>
      </c>
      <c r="E63" s="16" t="s">
        <v>729</v>
      </c>
      <c r="F63" s="16" t="s">
        <v>730</v>
      </c>
      <c r="G63" s="16" t="s">
        <v>731</v>
      </c>
      <c r="H63" s="17" t="s">
        <v>861</v>
      </c>
      <c r="I63" s="17" t="s">
        <v>862</v>
      </c>
      <c r="J63" s="17"/>
    </row>
    <row r="64" customFormat="false" ht="23.85" hidden="false" customHeight="false" outlineLevel="0" collapsed="false">
      <c r="A64" s="16" t="n">
        <v>9</v>
      </c>
      <c r="B64" s="17" t="s">
        <v>140</v>
      </c>
      <c r="C64" s="16" t="s">
        <v>133</v>
      </c>
      <c r="D64" s="16" t="s">
        <v>96</v>
      </c>
      <c r="E64" s="16" t="s">
        <v>729</v>
      </c>
      <c r="F64" s="16" t="s">
        <v>734</v>
      </c>
      <c r="G64" s="16" t="s">
        <v>735</v>
      </c>
      <c r="H64" s="17" t="s">
        <v>863</v>
      </c>
      <c r="I64" s="17" t="s">
        <v>864</v>
      </c>
      <c r="J64" s="17"/>
    </row>
    <row r="65" customFormat="false" ht="15" hidden="false" customHeight="false" outlineLevel="0" collapsed="false">
      <c r="A65" s="16" t="n">
        <v>9</v>
      </c>
      <c r="B65" s="17" t="s">
        <v>140</v>
      </c>
      <c r="C65" s="16" t="s">
        <v>133</v>
      </c>
      <c r="D65" s="16" t="s">
        <v>96</v>
      </c>
      <c r="E65" s="16" t="s">
        <v>729</v>
      </c>
      <c r="F65" s="16" t="s">
        <v>738</v>
      </c>
      <c r="G65" s="16" t="s">
        <v>739</v>
      </c>
      <c r="H65" s="17" t="s">
        <v>865</v>
      </c>
      <c r="I65" s="17" t="s">
        <v>866</v>
      </c>
      <c r="J65" s="17"/>
    </row>
    <row r="66" customFormat="false" ht="15" hidden="false" customHeight="false" outlineLevel="0" collapsed="false">
      <c r="A66" s="16" t="n">
        <v>9</v>
      </c>
      <c r="B66" s="17" t="s">
        <v>140</v>
      </c>
      <c r="C66" s="16" t="s">
        <v>133</v>
      </c>
      <c r="D66" s="16" t="s">
        <v>96</v>
      </c>
      <c r="E66" s="16" t="s">
        <v>742</v>
      </c>
      <c r="F66" s="16" t="s">
        <v>743</v>
      </c>
      <c r="G66" s="16" t="s">
        <v>744</v>
      </c>
      <c r="H66" s="17" t="s">
        <v>867</v>
      </c>
      <c r="I66" s="17" t="s">
        <v>868</v>
      </c>
      <c r="J66" s="17"/>
    </row>
    <row r="67" customFormat="false" ht="23.85" hidden="false" customHeight="false" outlineLevel="0" collapsed="false">
      <c r="A67" s="19" t="n">
        <v>9</v>
      </c>
      <c r="B67" s="20" t="s">
        <v>140</v>
      </c>
      <c r="C67" s="19" t="s">
        <v>133</v>
      </c>
      <c r="D67" s="19" t="s">
        <v>96</v>
      </c>
      <c r="E67" s="19" t="s">
        <v>742</v>
      </c>
      <c r="F67" s="19" t="s">
        <v>747</v>
      </c>
      <c r="G67" s="19" t="s">
        <v>748</v>
      </c>
      <c r="H67" s="20" t="s">
        <v>869</v>
      </c>
      <c r="I67" s="20" t="s">
        <v>870</v>
      </c>
      <c r="J67" s="20"/>
    </row>
    <row r="68" customFormat="false" ht="23.85" hidden="false" customHeight="false" outlineLevel="0" collapsed="false">
      <c r="A68" s="21" t="n">
        <v>10</v>
      </c>
      <c r="B68" s="22" t="s">
        <v>149</v>
      </c>
      <c r="C68" s="21" t="s">
        <v>133</v>
      </c>
      <c r="D68" s="21" t="s">
        <v>72</v>
      </c>
      <c r="E68" s="21" t="s">
        <v>719</v>
      </c>
      <c r="F68" s="21" t="s">
        <v>720</v>
      </c>
      <c r="G68" s="21" t="s">
        <v>721</v>
      </c>
      <c r="H68" s="23" t="s">
        <v>871</v>
      </c>
      <c r="I68" s="22" t="s">
        <v>872</v>
      </c>
      <c r="J68" s="22" t="s">
        <v>873</v>
      </c>
    </row>
    <row r="69" customFormat="false" ht="23.85" hidden="false" customHeight="false" outlineLevel="0" collapsed="false">
      <c r="A69" s="21" t="n">
        <v>10</v>
      </c>
      <c r="B69" s="22" t="s">
        <v>149</v>
      </c>
      <c r="C69" s="21" t="s">
        <v>133</v>
      </c>
      <c r="D69" s="21" t="s">
        <v>72</v>
      </c>
      <c r="E69" s="21" t="s">
        <v>719</v>
      </c>
      <c r="F69" s="21" t="s">
        <v>725</v>
      </c>
      <c r="G69" s="21" t="s">
        <v>726</v>
      </c>
      <c r="H69" s="22" t="s">
        <v>874</v>
      </c>
      <c r="I69" s="22" t="s">
        <v>875</v>
      </c>
      <c r="J69" s="22"/>
    </row>
    <row r="70" customFormat="false" ht="23.85" hidden="false" customHeight="false" outlineLevel="0" collapsed="false">
      <c r="A70" s="21" t="n">
        <v>10</v>
      </c>
      <c r="B70" s="22" t="s">
        <v>149</v>
      </c>
      <c r="C70" s="21" t="s">
        <v>133</v>
      </c>
      <c r="D70" s="21" t="s">
        <v>72</v>
      </c>
      <c r="E70" s="21" t="s">
        <v>729</v>
      </c>
      <c r="F70" s="21" t="s">
        <v>730</v>
      </c>
      <c r="G70" s="21" t="s">
        <v>731</v>
      </c>
      <c r="H70" s="22" t="s">
        <v>876</v>
      </c>
      <c r="I70" s="22" t="s">
        <v>877</v>
      </c>
      <c r="J70" s="22"/>
    </row>
    <row r="71" customFormat="false" ht="23.85" hidden="false" customHeight="false" outlineLevel="0" collapsed="false">
      <c r="A71" s="21" t="n">
        <v>10</v>
      </c>
      <c r="B71" s="22" t="s">
        <v>149</v>
      </c>
      <c r="C71" s="21" t="s">
        <v>133</v>
      </c>
      <c r="D71" s="21" t="s">
        <v>72</v>
      </c>
      <c r="E71" s="21" t="s">
        <v>729</v>
      </c>
      <c r="F71" s="21" t="s">
        <v>734</v>
      </c>
      <c r="G71" s="21" t="s">
        <v>735</v>
      </c>
      <c r="H71" s="22" t="s">
        <v>878</v>
      </c>
      <c r="I71" s="22" t="s">
        <v>879</v>
      </c>
      <c r="J71" s="22"/>
    </row>
    <row r="72" customFormat="false" ht="23.85" hidden="false" customHeight="false" outlineLevel="0" collapsed="false">
      <c r="A72" s="21" t="n">
        <v>10</v>
      </c>
      <c r="B72" s="22" t="s">
        <v>149</v>
      </c>
      <c r="C72" s="21" t="s">
        <v>133</v>
      </c>
      <c r="D72" s="21" t="s">
        <v>72</v>
      </c>
      <c r="E72" s="21" t="s">
        <v>729</v>
      </c>
      <c r="F72" s="21" t="s">
        <v>738</v>
      </c>
      <c r="G72" s="21" t="s">
        <v>739</v>
      </c>
      <c r="H72" s="22" t="s">
        <v>880</v>
      </c>
      <c r="I72" s="22" t="s">
        <v>881</v>
      </c>
      <c r="J72" s="22"/>
    </row>
    <row r="73" customFormat="false" ht="23.85" hidden="false" customHeight="false" outlineLevel="0" collapsed="false">
      <c r="A73" s="21" t="n">
        <v>10</v>
      </c>
      <c r="B73" s="22" t="s">
        <v>149</v>
      </c>
      <c r="C73" s="21" t="s">
        <v>133</v>
      </c>
      <c r="D73" s="21" t="s">
        <v>72</v>
      </c>
      <c r="E73" s="21" t="s">
        <v>742</v>
      </c>
      <c r="F73" s="21" t="s">
        <v>743</v>
      </c>
      <c r="G73" s="21" t="s">
        <v>744</v>
      </c>
      <c r="H73" s="22" t="s">
        <v>882</v>
      </c>
      <c r="I73" s="22" t="s">
        <v>883</v>
      </c>
      <c r="J73" s="22"/>
    </row>
    <row r="74" customFormat="false" ht="23.85" hidden="false" customHeight="false" outlineLevel="0" collapsed="false">
      <c r="A74" s="24" t="n">
        <v>10</v>
      </c>
      <c r="B74" s="25" t="s">
        <v>149</v>
      </c>
      <c r="C74" s="24" t="s">
        <v>133</v>
      </c>
      <c r="D74" s="24" t="s">
        <v>72</v>
      </c>
      <c r="E74" s="24" t="s">
        <v>742</v>
      </c>
      <c r="F74" s="24" t="s">
        <v>747</v>
      </c>
      <c r="G74" s="24" t="s">
        <v>748</v>
      </c>
      <c r="H74" s="25" t="s">
        <v>884</v>
      </c>
      <c r="I74" s="25" t="s">
        <v>885</v>
      </c>
      <c r="J74" s="25"/>
    </row>
    <row r="75" customFormat="false" ht="23.85" hidden="false" customHeight="false" outlineLevel="0" collapsed="false">
      <c r="A75" s="16" t="n">
        <v>11</v>
      </c>
      <c r="B75" s="17" t="s">
        <v>155</v>
      </c>
      <c r="C75" s="16" t="s">
        <v>63</v>
      </c>
      <c r="D75" s="16" t="s">
        <v>164</v>
      </c>
      <c r="E75" s="16" t="s">
        <v>719</v>
      </c>
      <c r="F75" s="16" t="s">
        <v>720</v>
      </c>
      <c r="G75" s="16" t="s">
        <v>721</v>
      </c>
      <c r="H75" s="18" t="s">
        <v>886</v>
      </c>
      <c r="I75" s="17" t="s">
        <v>887</v>
      </c>
      <c r="J75" s="17" t="s">
        <v>888</v>
      </c>
    </row>
    <row r="76" customFormat="false" ht="15" hidden="false" customHeight="false" outlineLevel="0" collapsed="false">
      <c r="A76" s="16" t="n">
        <v>11</v>
      </c>
      <c r="B76" s="17" t="s">
        <v>155</v>
      </c>
      <c r="C76" s="16" t="s">
        <v>63</v>
      </c>
      <c r="D76" s="16" t="s">
        <v>164</v>
      </c>
      <c r="E76" s="16" t="s">
        <v>719</v>
      </c>
      <c r="F76" s="16" t="s">
        <v>725</v>
      </c>
      <c r="G76" s="16" t="s">
        <v>726</v>
      </c>
      <c r="H76" s="17" t="s">
        <v>889</v>
      </c>
      <c r="I76" s="17" t="s">
        <v>890</v>
      </c>
      <c r="J76" s="17"/>
    </row>
    <row r="77" customFormat="false" ht="15" hidden="false" customHeight="false" outlineLevel="0" collapsed="false">
      <c r="A77" s="16" t="n">
        <v>11</v>
      </c>
      <c r="B77" s="17" t="s">
        <v>155</v>
      </c>
      <c r="C77" s="16" t="s">
        <v>63</v>
      </c>
      <c r="D77" s="16" t="s">
        <v>164</v>
      </c>
      <c r="E77" s="16" t="s">
        <v>729</v>
      </c>
      <c r="F77" s="16" t="s">
        <v>730</v>
      </c>
      <c r="G77" s="16" t="s">
        <v>731</v>
      </c>
      <c r="H77" s="17" t="s">
        <v>891</v>
      </c>
      <c r="I77" s="17" t="s">
        <v>892</v>
      </c>
      <c r="J77" s="17"/>
    </row>
    <row r="78" customFormat="false" ht="23.85" hidden="false" customHeight="false" outlineLevel="0" collapsed="false">
      <c r="A78" s="16" t="n">
        <v>11</v>
      </c>
      <c r="B78" s="17" t="s">
        <v>155</v>
      </c>
      <c r="C78" s="16" t="s">
        <v>63</v>
      </c>
      <c r="D78" s="16" t="s">
        <v>164</v>
      </c>
      <c r="E78" s="16" t="s">
        <v>729</v>
      </c>
      <c r="F78" s="16" t="s">
        <v>734</v>
      </c>
      <c r="G78" s="16" t="s">
        <v>735</v>
      </c>
      <c r="H78" s="17" t="s">
        <v>893</v>
      </c>
      <c r="I78" s="17" t="s">
        <v>894</v>
      </c>
      <c r="J78" s="17"/>
    </row>
    <row r="79" customFormat="false" ht="15" hidden="false" customHeight="false" outlineLevel="0" collapsed="false">
      <c r="A79" s="16" t="n">
        <v>11</v>
      </c>
      <c r="B79" s="17" t="s">
        <v>155</v>
      </c>
      <c r="C79" s="16" t="s">
        <v>63</v>
      </c>
      <c r="D79" s="16" t="s">
        <v>164</v>
      </c>
      <c r="E79" s="16" t="s">
        <v>729</v>
      </c>
      <c r="F79" s="16" t="s">
        <v>738</v>
      </c>
      <c r="G79" s="16" t="s">
        <v>739</v>
      </c>
      <c r="H79" s="17" t="s">
        <v>895</v>
      </c>
      <c r="I79" s="17" t="s">
        <v>896</v>
      </c>
      <c r="J79" s="17"/>
    </row>
    <row r="80" customFormat="false" ht="15" hidden="false" customHeight="false" outlineLevel="0" collapsed="false">
      <c r="A80" s="16" t="n">
        <v>11</v>
      </c>
      <c r="B80" s="17" t="s">
        <v>155</v>
      </c>
      <c r="C80" s="16" t="s">
        <v>63</v>
      </c>
      <c r="D80" s="16" t="s">
        <v>164</v>
      </c>
      <c r="E80" s="16" t="s">
        <v>742</v>
      </c>
      <c r="F80" s="16" t="s">
        <v>743</v>
      </c>
      <c r="G80" s="16" t="s">
        <v>744</v>
      </c>
      <c r="H80" s="17" t="s">
        <v>897</v>
      </c>
      <c r="I80" s="17" t="s">
        <v>898</v>
      </c>
      <c r="J80" s="17"/>
    </row>
    <row r="81" customFormat="false" ht="23.85" hidden="false" customHeight="false" outlineLevel="0" collapsed="false">
      <c r="A81" s="19" t="n">
        <v>11</v>
      </c>
      <c r="B81" s="20" t="s">
        <v>155</v>
      </c>
      <c r="C81" s="19" t="s">
        <v>63</v>
      </c>
      <c r="D81" s="19" t="s">
        <v>164</v>
      </c>
      <c r="E81" s="19" t="s">
        <v>742</v>
      </c>
      <c r="F81" s="19" t="s">
        <v>747</v>
      </c>
      <c r="G81" s="19" t="s">
        <v>748</v>
      </c>
      <c r="H81" s="20" t="s">
        <v>899</v>
      </c>
      <c r="I81" s="20" t="s">
        <v>900</v>
      </c>
      <c r="J81" s="20"/>
    </row>
    <row r="82" customFormat="false" ht="23.85" hidden="false" customHeight="false" outlineLevel="0" collapsed="false">
      <c r="A82" s="21" t="n">
        <v>12</v>
      </c>
      <c r="B82" s="22" t="s">
        <v>165</v>
      </c>
      <c r="C82" s="21" t="s">
        <v>77</v>
      </c>
      <c r="D82" s="21" t="s">
        <v>96</v>
      </c>
      <c r="E82" s="21" t="s">
        <v>719</v>
      </c>
      <c r="F82" s="21" t="s">
        <v>720</v>
      </c>
      <c r="G82" s="21" t="s">
        <v>721</v>
      </c>
      <c r="H82" s="23" t="s">
        <v>901</v>
      </c>
      <c r="I82" s="22" t="s">
        <v>902</v>
      </c>
      <c r="J82" s="22" t="s">
        <v>903</v>
      </c>
    </row>
    <row r="83" customFormat="false" ht="23.85" hidden="false" customHeight="false" outlineLevel="0" collapsed="false">
      <c r="A83" s="21" t="n">
        <v>12</v>
      </c>
      <c r="B83" s="22" t="s">
        <v>165</v>
      </c>
      <c r="C83" s="21" t="s">
        <v>77</v>
      </c>
      <c r="D83" s="21" t="s">
        <v>96</v>
      </c>
      <c r="E83" s="21" t="s">
        <v>719</v>
      </c>
      <c r="F83" s="21" t="s">
        <v>725</v>
      </c>
      <c r="G83" s="21" t="s">
        <v>726</v>
      </c>
      <c r="H83" s="22" t="s">
        <v>904</v>
      </c>
      <c r="I83" s="22" t="s">
        <v>905</v>
      </c>
      <c r="J83" s="22"/>
    </row>
    <row r="84" customFormat="false" ht="15" hidden="false" customHeight="false" outlineLevel="0" collapsed="false">
      <c r="A84" s="21" t="n">
        <v>12</v>
      </c>
      <c r="B84" s="22" t="s">
        <v>165</v>
      </c>
      <c r="C84" s="21" t="s">
        <v>77</v>
      </c>
      <c r="D84" s="21" t="s">
        <v>96</v>
      </c>
      <c r="E84" s="21" t="s">
        <v>729</v>
      </c>
      <c r="F84" s="21" t="s">
        <v>730</v>
      </c>
      <c r="G84" s="21" t="s">
        <v>731</v>
      </c>
      <c r="H84" s="22" t="s">
        <v>906</v>
      </c>
      <c r="I84" s="22" t="s">
        <v>907</v>
      </c>
      <c r="J84" s="22"/>
    </row>
    <row r="85" customFormat="false" ht="23.85" hidden="false" customHeight="false" outlineLevel="0" collapsed="false">
      <c r="A85" s="21" t="n">
        <v>12</v>
      </c>
      <c r="B85" s="22" t="s">
        <v>165</v>
      </c>
      <c r="C85" s="21" t="s">
        <v>77</v>
      </c>
      <c r="D85" s="21" t="s">
        <v>96</v>
      </c>
      <c r="E85" s="21" t="s">
        <v>729</v>
      </c>
      <c r="F85" s="21" t="s">
        <v>734</v>
      </c>
      <c r="G85" s="21" t="s">
        <v>735</v>
      </c>
      <c r="H85" s="22" t="s">
        <v>908</v>
      </c>
      <c r="I85" s="22" t="s">
        <v>909</v>
      </c>
      <c r="J85" s="22"/>
    </row>
    <row r="86" customFormat="false" ht="15" hidden="false" customHeight="false" outlineLevel="0" collapsed="false">
      <c r="A86" s="21" t="n">
        <v>12</v>
      </c>
      <c r="B86" s="22" t="s">
        <v>165</v>
      </c>
      <c r="C86" s="21" t="s">
        <v>77</v>
      </c>
      <c r="D86" s="21" t="s">
        <v>96</v>
      </c>
      <c r="E86" s="21" t="s">
        <v>729</v>
      </c>
      <c r="F86" s="21" t="s">
        <v>738</v>
      </c>
      <c r="G86" s="21" t="s">
        <v>739</v>
      </c>
      <c r="H86" s="22" t="s">
        <v>910</v>
      </c>
      <c r="I86" s="22" t="s">
        <v>911</v>
      </c>
      <c r="J86" s="22"/>
    </row>
    <row r="87" customFormat="false" ht="15" hidden="false" customHeight="false" outlineLevel="0" collapsed="false">
      <c r="A87" s="21" t="n">
        <v>12</v>
      </c>
      <c r="B87" s="22" t="s">
        <v>165</v>
      </c>
      <c r="C87" s="21" t="s">
        <v>77</v>
      </c>
      <c r="D87" s="21" t="s">
        <v>96</v>
      </c>
      <c r="E87" s="21" t="s">
        <v>742</v>
      </c>
      <c r="F87" s="21" t="s">
        <v>743</v>
      </c>
      <c r="G87" s="21" t="s">
        <v>744</v>
      </c>
      <c r="H87" s="22" t="s">
        <v>912</v>
      </c>
      <c r="I87" s="22" t="s">
        <v>913</v>
      </c>
      <c r="J87" s="22"/>
    </row>
    <row r="88" customFormat="false" ht="23.85" hidden="false" customHeight="false" outlineLevel="0" collapsed="false">
      <c r="A88" s="24" t="n">
        <v>12</v>
      </c>
      <c r="B88" s="25" t="s">
        <v>165</v>
      </c>
      <c r="C88" s="24" t="s">
        <v>77</v>
      </c>
      <c r="D88" s="24" t="s">
        <v>96</v>
      </c>
      <c r="E88" s="24" t="s">
        <v>742</v>
      </c>
      <c r="F88" s="24" t="s">
        <v>747</v>
      </c>
      <c r="G88" s="24" t="s">
        <v>748</v>
      </c>
      <c r="H88" s="25" t="s">
        <v>914</v>
      </c>
      <c r="I88" s="25" t="s">
        <v>915</v>
      </c>
      <c r="J88" s="25"/>
    </row>
    <row r="89" customFormat="false" ht="23.85" hidden="false" customHeight="false" outlineLevel="0" collapsed="false">
      <c r="A89" s="16" t="n">
        <v>13</v>
      </c>
      <c r="B89" s="17" t="s">
        <v>174</v>
      </c>
      <c r="C89" s="16" t="s">
        <v>90</v>
      </c>
      <c r="D89" s="16" t="s">
        <v>113</v>
      </c>
      <c r="E89" s="16" t="s">
        <v>719</v>
      </c>
      <c r="F89" s="16" t="s">
        <v>720</v>
      </c>
      <c r="G89" s="16" t="s">
        <v>721</v>
      </c>
      <c r="H89" s="18" t="s">
        <v>916</v>
      </c>
      <c r="I89" s="17" t="s">
        <v>917</v>
      </c>
      <c r="J89" s="17" t="s">
        <v>918</v>
      </c>
    </row>
    <row r="90" customFormat="false" ht="23.85" hidden="false" customHeight="false" outlineLevel="0" collapsed="false">
      <c r="A90" s="16" t="n">
        <v>13</v>
      </c>
      <c r="B90" s="17" t="s">
        <v>174</v>
      </c>
      <c r="C90" s="16" t="s">
        <v>90</v>
      </c>
      <c r="D90" s="16" t="s">
        <v>113</v>
      </c>
      <c r="E90" s="16" t="s">
        <v>719</v>
      </c>
      <c r="F90" s="16" t="s">
        <v>725</v>
      </c>
      <c r="G90" s="16" t="s">
        <v>726</v>
      </c>
      <c r="H90" s="17" t="s">
        <v>919</v>
      </c>
      <c r="I90" s="17" t="s">
        <v>920</v>
      </c>
      <c r="J90" s="17"/>
    </row>
    <row r="91" customFormat="false" ht="23.85" hidden="false" customHeight="false" outlineLevel="0" collapsed="false">
      <c r="A91" s="16" t="n">
        <v>13</v>
      </c>
      <c r="B91" s="17" t="s">
        <v>174</v>
      </c>
      <c r="C91" s="16" t="s">
        <v>90</v>
      </c>
      <c r="D91" s="16" t="s">
        <v>113</v>
      </c>
      <c r="E91" s="16" t="s">
        <v>729</v>
      </c>
      <c r="F91" s="16" t="s">
        <v>730</v>
      </c>
      <c r="G91" s="16" t="s">
        <v>731</v>
      </c>
      <c r="H91" s="17" t="s">
        <v>921</v>
      </c>
      <c r="I91" s="17" t="s">
        <v>922</v>
      </c>
      <c r="J91" s="17"/>
    </row>
    <row r="92" customFormat="false" ht="23.85" hidden="false" customHeight="false" outlineLevel="0" collapsed="false">
      <c r="A92" s="16" t="n">
        <v>13</v>
      </c>
      <c r="B92" s="17" t="s">
        <v>174</v>
      </c>
      <c r="C92" s="16" t="s">
        <v>90</v>
      </c>
      <c r="D92" s="16" t="s">
        <v>113</v>
      </c>
      <c r="E92" s="16" t="s">
        <v>729</v>
      </c>
      <c r="F92" s="16" t="s">
        <v>734</v>
      </c>
      <c r="G92" s="16" t="s">
        <v>735</v>
      </c>
      <c r="H92" s="17" t="s">
        <v>923</v>
      </c>
      <c r="I92" s="17" t="s">
        <v>924</v>
      </c>
      <c r="J92" s="17"/>
    </row>
    <row r="93" customFormat="false" ht="23.85" hidden="false" customHeight="false" outlineLevel="0" collapsed="false">
      <c r="A93" s="16" t="n">
        <v>13</v>
      </c>
      <c r="B93" s="17" t="s">
        <v>174</v>
      </c>
      <c r="C93" s="16" t="s">
        <v>90</v>
      </c>
      <c r="D93" s="16" t="s">
        <v>113</v>
      </c>
      <c r="E93" s="16" t="s">
        <v>729</v>
      </c>
      <c r="F93" s="16" t="s">
        <v>738</v>
      </c>
      <c r="G93" s="16" t="s">
        <v>739</v>
      </c>
      <c r="H93" s="17" t="s">
        <v>925</v>
      </c>
      <c r="I93" s="17" t="s">
        <v>926</v>
      </c>
      <c r="J93" s="17"/>
    </row>
    <row r="94" customFormat="false" ht="15" hidden="false" customHeight="false" outlineLevel="0" collapsed="false">
      <c r="A94" s="16" t="n">
        <v>13</v>
      </c>
      <c r="B94" s="17" t="s">
        <v>174</v>
      </c>
      <c r="C94" s="16" t="s">
        <v>90</v>
      </c>
      <c r="D94" s="16" t="s">
        <v>113</v>
      </c>
      <c r="E94" s="16" t="s">
        <v>742</v>
      </c>
      <c r="F94" s="16" t="s">
        <v>743</v>
      </c>
      <c r="G94" s="16" t="s">
        <v>744</v>
      </c>
      <c r="H94" s="17" t="s">
        <v>927</v>
      </c>
      <c r="I94" s="17" t="s">
        <v>928</v>
      </c>
      <c r="J94" s="17"/>
    </row>
    <row r="95" customFormat="false" ht="23.85" hidden="false" customHeight="false" outlineLevel="0" collapsed="false">
      <c r="A95" s="19" t="n">
        <v>13</v>
      </c>
      <c r="B95" s="20" t="s">
        <v>174</v>
      </c>
      <c r="C95" s="19" t="s">
        <v>90</v>
      </c>
      <c r="D95" s="19" t="s">
        <v>113</v>
      </c>
      <c r="E95" s="19" t="s">
        <v>742</v>
      </c>
      <c r="F95" s="19" t="s">
        <v>747</v>
      </c>
      <c r="G95" s="19" t="s">
        <v>748</v>
      </c>
      <c r="H95" s="20" t="s">
        <v>929</v>
      </c>
      <c r="I95" s="20" t="s">
        <v>930</v>
      </c>
      <c r="J95" s="20"/>
    </row>
    <row r="96" customFormat="false" ht="23.85" hidden="false" customHeight="false" outlineLevel="0" collapsed="false">
      <c r="A96" s="21" t="n">
        <v>14</v>
      </c>
      <c r="B96" s="22" t="s">
        <v>182</v>
      </c>
      <c r="C96" s="21" t="s">
        <v>110</v>
      </c>
      <c r="D96" s="21" t="s">
        <v>96</v>
      </c>
      <c r="E96" s="21" t="s">
        <v>719</v>
      </c>
      <c r="F96" s="21" t="s">
        <v>720</v>
      </c>
      <c r="G96" s="21" t="s">
        <v>721</v>
      </c>
      <c r="H96" s="23" t="s">
        <v>931</v>
      </c>
      <c r="I96" s="22" t="s">
        <v>932</v>
      </c>
      <c r="J96" s="22" t="s">
        <v>933</v>
      </c>
    </row>
    <row r="97" customFormat="false" ht="15" hidden="false" customHeight="false" outlineLevel="0" collapsed="false">
      <c r="A97" s="21" t="n">
        <v>14</v>
      </c>
      <c r="B97" s="22" t="s">
        <v>182</v>
      </c>
      <c r="C97" s="21" t="s">
        <v>110</v>
      </c>
      <c r="D97" s="21" t="s">
        <v>96</v>
      </c>
      <c r="E97" s="21" t="s">
        <v>719</v>
      </c>
      <c r="F97" s="21" t="s">
        <v>725</v>
      </c>
      <c r="G97" s="21" t="s">
        <v>726</v>
      </c>
      <c r="H97" s="22" t="s">
        <v>934</v>
      </c>
      <c r="I97" s="22" t="s">
        <v>935</v>
      </c>
      <c r="J97" s="22"/>
    </row>
    <row r="98" customFormat="false" ht="23.85" hidden="false" customHeight="false" outlineLevel="0" collapsed="false">
      <c r="A98" s="21" t="n">
        <v>14</v>
      </c>
      <c r="B98" s="22" t="s">
        <v>182</v>
      </c>
      <c r="C98" s="21" t="s">
        <v>110</v>
      </c>
      <c r="D98" s="21" t="s">
        <v>96</v>
      </c>
      <c r="E98" s="21" t="s">
        <v>729</v>
      </c>
      <c r="F98" s="21" t="s">
        <v>730</v>
      </c>
      <c r="G98" s="21" t="s">
        <v>731</v>
      </c>
      <c r="H98" s="22" t="s">
        <v>936</v>
      </c>
      <c r="I98" s="22" t="s">
        <v>937</v>
      </c>
      <c r="J98" s="22"/>
    </row>
    <row r="99" customFormat="false" ht="23.85" hidden="false" customHeight="false" outlineLevel="0" collapsed="false">
      <c r="A99" s="21" t="n">
        <v>14</v>
      </c>
      <c r="B99" s="22" t="s">
        <v>182</v>
      </c>
      <c r="C99" s="21" t="s">
        <v>110</v>
      </c>
      <c r="D99" s="21" t="s">
        <v>96</v>
      </c>
      <c r="E99" s="21" t="s">
        <v>729</v>
      </c>
      <c r="F99" s="21" t="s">
        <v>734</v>
      </c>
      <c r="G99" s="21" t="s">
        <v>735</v>
      </c>
      <c r="H99" s="22" t="s">
        <v>938</v>
      </c>
      <c r="I99" s="22" t="s">
        <v>939</v>
      </c>
      <c r="J99" s="22"/>
    </row>
    <row r="100" customFormat="false" ht="15" hidden="false" customHeight="false" outlineLevel="0" collapsed="false">
      <c r="A100" s="21" t="n">
        <v>14</v>
      </c>
      <c r="B100" s="22" t="s">
        <v>182</v>
      </c>
      <c r="C100" s="21" t="s">
        <v>110</v>
      </c>
      <c r="D100" s="21" t="s">
        <v>96</v>
      </c>
      <c r="E100" s="21" t="s">
        <v>729</v>
      </c>
      <c r="F100" s="21" t="s">
        <v>738</v>
      </c>
      <c r="G100" s="21" t="s">
        <v>739</v>
      </c>
      <c r="H100" s="22" t="s">
        <v>940</v>
      </c>
      <c r="I100" s="22" t="s">
        <v>941</v>
      </c>
      <c r="J100" s="22"/>
    </row>
    <row r="101" customFormat="false" ht="15" hidden="false" customHeight="false" outlineLevel="0" collapsed="false">
      <c r="A101" s="21" t="n">
        <v>14</v>
      </c>
      <c r="B101" s="22" t="s">
        <v>182</v>
      </c>
      <c r="C101" s="21" t="s">
        <v>110</v>
      </c>
      <c r="D101" s="21" t="s">
        <v>96</v>
      </c>
      <c r="E101" s="21" t="s">
        <v>742</v>
      </c>
      <c r="F101" s="21" t="s">
        <v>743</v>
      </c>
      <c r="G101" s="21" t="s">
        <v>744</v>
      </c>
      <c r="H101" s="22" t="s">
        <v>942</v>
      </c>
      <c r="I101" s="22" t="s">
        <v>943</v>
      </c>
      <c r="J101" s="22"/>
    </row>
    <row r="102" customFormat="false" ht="23.85" hidden="false" customHeight="false" outlineLevel="0" collapsed="false">
      <c r="A102" s="24" t="n">
        <v>14</v>
      </c>
      <c r="B102" s="25" t="s">
        <v>182</v>
      </c>
      <c r="C102" s="24" t="s">
        <v>110</v>
      </c>
      <c r="D102" s="24" t="s">
        <v>96</v>
      </c>
      <c r="E102" s="24" t="s">
        <v>742</v>
      </c>
      <c r="F102" s="24" t="s">
        <v>747</v>
      </c>
      <c r="G102" s="24" t="s">
        <v>748</v>
      </c>
      <c r="H102" s="25" t="s">
        <v>944</v>
      </c>
      <c r="I102" s="25" t="s">
        <v>945</v>
      </c>
      <c r="J102" s="25"/>
    </row>
    <row r="103" customFormat="false" ht="23.85" hidden="false" customHeight="false" outlineLevel="0" collapsed="false">
      <c r="A103" s="16" t="n">
        <v>15</v>
      </c>
      <c r="B103" s="17" t="s">
        <v>188</v>
      </c>
      <c r="C103" s="16" t="s">
        <v>110</v>
      </c>
      <c r="D103" s="16" t="s">
        <v>85</v>
      </c>
      <c r="E103" s="16" t="s">
        <v>719</v>
      </c>
      <c r="F103" s="16" t="s">
        <v>720</v>
      </c>
      <c r="G103" s="16" t="s">
        <v>721</v>
      </c>
      <c r="H103" s="18" t="s">
        <v>946</v>
      </c>
      <c r="I103" s="17" t="s">
        <v>947</v>
      </c>
      <c r="J103" s="17" t="s">
        <v>948</v>
      </c>
    </row>
    <row r="104" customFormat="false" ht="15" hidden="false" customHeight="false" outlineLevel="0" collapsed="false">
      <c r="A104" s="16" t="n">
        <v>15</v>
      </c>
      <c r="B104" s="17" t="s">
        <v>188</v>
      </c>
      <c r="C104" s="16" t="s">
        <v>110</v>
      </c>
      <c r="D104" s="16" t="s">
        <v>85</v>
      </c>
      <c r="E104" s="16" t="s">
        <v>719</v>
      </c>
      <c r="F104" s="16" t="s">
        <v>725</v>
      </c>
      <c r="G104" s="16" t="s">
        <v>726</v>
      </c>
      <c r="H104" s="17" t="s">
        <v>949</v>
      </c>
      <c r="I104" s="17" t="s">
        <v>950</v>
      </c>
      <c r="J104" s="17"/>
    </row>
    <row r="105" customFormat="false" ht="23.85" hidden="false" customHeight="false" outlineLevel="0" collapsed="false">
      <c r="A105" s="16" t="n">
        <v>15</v>
      </c>
      <c r="B105" s="17" t="s">
        <v>188</v>
      </c>
      <c r="C105" s="16" t="s">
        <v>110</v>
      </c>
      <c r="D105" s="16" t="s">
        <v>85</v>
      </c>
      <c r="E105" s="16" t="s">
        <v>729</v>
      </c>
      <c r="F105" s="16" t="s">
        <v>730</v>
      </c>
      <c r="G105" s="16" t="s">
        <v>731</v>
      </c>
      <c r="H105" s="17" t="s">
        <v>951</v>
      </c>
      <c r="I105" s="17" t="s">
        <v>952</v>
      </c>
      <c r="J105" s="17"/>
    </row>
    <row r="106" customFormat="false" ht="15" hidden="false" customHeight="false" outlineLevel="0" collapsed="false">
      <c r="A106" s="16" t="n">
        <v>15</v>
      </c>
      <c r="B106" s="17" t="s">
        <v>188</v>
      </c>
      <c r="C106" s="16" t="s">
        <v>110</v>
      </c>
      <c r="D106" s="16" t="s">
        <v>85</v>
      </c>
      <c r="E106" s="16" t="s">
        <v>729</v>
      </c>
      <c r="F106" s="16" t="s">
        <v>734</v>
      </c>
      <c r="G106" s="16" t="s">
        <v>735</v>
      </c>
      <c r="H106" s="17" t="s">
        <v>953</v>
      </c>
      <c r="I106" s="17" t="s">
        <v>954</v>
      </c>
      <c r="J106" s="17"/>
    </row>
    <row r="107" customFormat="false" ht="23.85" hidden="false" customHeight="false" outlineLevel="0" collapsed="false">
      <c r="A107" s="16" t="n">
        <v>15</v>
      </c>
      <c r="B107" s="17" t="s">
        <v>188</v>
      </c>
      <c r="C107" s="16" t="s">
        <v>110</v>
      </c>
      <c r="D107" s="16" t="s">
        <v>85</v>
      </c>
      <c r="E107" s="16" t="s">
        <v>729</v>
      </c>
      <c r="F107" s="16" t="s">
        <v>738</v>
      </c>
      <c r="G107" s="16" t="s">
        <v>739</v>
      </c>
      <c r="H107" s="17" t="s">
        <v>955</v>
      </c>
      <c r="I107" s="17" t="s">
        <v>956</v>
      </c>
      <c r="J107" s="17"/>
    </row>
    <row r="108" customFormat="false" ht="15" hidden="false" customHeight="false" outlineLevel="0" collapsed="false">
      <c r="A108" s="16" t="n">
        <v>15</v>
      </c>
      <c r="B108" s="17" t="s">
        <v>188</v>
      </c>
      <c r="C108" s="16" t="s">
        <v>110</v>
      </c>
      <c r="D108" s="16" t="s">
        <v>85</v>
      </c>
      <c r="E108" s="16" t="s">
        <v>742</v>
      </c>
      <c r="F108" s="16" t="s">
        <v>743</v>
      </c>
      <c r="G108" s="16" t="s">
        <v>744</v>
      </c>
      <c r="H108" s="17" t="s">
        <v>957</v>
      </c>
      <c r="I108" s="17" t="s">
        <v>958</v>
      </c>
      <c r="J108" s="17"/>
    </row>
    <row r="109" customFormat="false" ht="23.85" hidden="false" customHeight="false" outlineLevel="0" collapsed="false">
      <c r="A109" s="19" t="n">
        <v>15</v>
      </c>
      <c r="B109" s="20" t="s">
        <v>188</v>
      </c>
      <c r="C109" s="19" t="s">
        <v>110</v>
      </c>
      <c r="D109" s="19" t="s">
        <v>85</v>
      </c>
      <c r="E109" s="19" t="s">
        <v>742</v>
      </c>
      <c r="F109" s="19" t="s">
        <v>747</v>
      </c>
      <c r="G109" s="19" t="s">
        <v>748</v>
      </c>
      <c r="H109" s="20" t="s">
        <v>959</v>
      </c>
      <c r="I109" s="20" t="s">
        <v>960</v>
      </c>
      <c r="J109" s="20"/>
    </row>
    <row r="110" customFormat="false" ht="23.85" hidden="false" customHeight="false" outlineLevel="0" collapsed="false">
      <c r="A110" s="21" t="n">
        <v>16</v>
      </c>
      <c r="B110" s="22" t="s">
        <v>194</v>
      </c>
      <c r="C110" s="21" t="s">
        <v>133</v>
      </c>
      <c r="D110" s="21" t="s">
        <v>105</v>
      </c>
      <c r="E110" s="21" t="s">
        <v>719</v>
      </c>
      <c r="F110" s="21" t="s">
        <v>720</v>
      </c>
      <c r="G110" s="21" t="s">
        <v>721</v>
      </c>
      <c r="H110" s="23" t="s">
        <v>961</v>
      </c>
      <c r="I110" s="22" t="s">
        <v>962</v>
      </c>
      <c r="J110" s="22" t="s">
        <v>963</v>
      </c>
    </row>
    <row r="111" customFormat="false" ht="23.85" hidden="false" customHeight="false" outlineLevel="0" collapsed="false">
      <c r="A111" s="21" t="n">
        <v>16</v>
      </c>
      <c r="B111" s="22" t="s">
        <v>194</v>
      </c>
      <c r="C111" s="21" t="s">
        <v>133</v>
      </c>
      <c r="D111" s="21" t="s">
        <v>105</v>
      </c>
      <c r="E111" s="21" t="s">
        <v>719</v>
      </c>
      <c r="F111" s="21" t="s">
        <v>725</v>
      </c>
      <c r="G111" s="21" t="s">
        <v>726</v>
      </c>
      <c r="H111" s="22" t="s">
        <v>964</v>
      </c>
      <c r="I111" s="22" t="s">
        <v>965</v>
      </c>
      <c r="J111" s="22"/>
    </row>
    <row r="112" customFormat="false" ht="15" hidden="false" customHeight="false" outlineLevel="0" collapsed="false">
      <c r="A112" s="21" t="n">
        <v>16</v>
      </c>
      <c r="B112" s="22" t="s">
        <v>194</v>
      </c>
      <c r="C112" s="21" t="s">
        <v>133</v>
      </c>
      <c r="D112" s="21" t="s">
        <v>105</v>
      </c>
      <c r="E112" s="21" t="s">
        <v>729</v>
      </c>
      <c r="F112" s="21" t="s">
        <v>730</v>
      </c>
      <c r="G112" s="21" t="s">
        <v>731</v>
      </c>
      <c r="H112" s="22" t="s">
        <v>966</v>
      </c>
      <c r="I112" s="22" t="s">
        <v>967</v>
      </c>
      <c r="J112" s="22"/>
    </row>
    <row r="113" customFormat="false" ht="15" hidden="false" customHeight="false" outlineLevel="0" collapsed="false">
      <c r="A113" s="21" t="n">
        <v>16</v>
      </c>
      <c r="B113" s="22" t="s">
        <v>194</v>
      </c>
      <c r="C113" s="21" t="s">
        <v>133</v>
      </c>
      <c r="D113" s="21" t="s">
        <v>105</v>
      </c>
      <c r="E113" s="21" t="s">
        <v>729</v>
      </c>
      <c r="F113" s="21" t="s">
        <v>734</v>
      </c>
      <c r="G113" s="21" t="s">
        <v>735</v>
      </c>
      <c r="H113" s="22" t="s">
        <v>968</v>
      </c>
      <c r="I113" s="22" t="s">
        <v>969</v>
      </c>
      <c r="J113" s="22"/>
    </row>
    <row r="114" customFormat="false" ht="23.85" hidden="false" customHeight="false" outlineLevel="0" collapsed="false">
      <c r="A114" s="21" t="n">
        <v>16</v>
      </c>
      <c r="B114" s="22" t="s">
        <v>194</v>
      </c>
      <c r="C114" s="21" t="s">
        <v>133</v>
      </c>
      <c r="D114" s="21" t="s">
        <v>105</v>
      </c>
      <c r="E114" s="21" t="s">
        <v>729</v>
      </c>
      <c r="F114" s="21" t="s">
        <v>738</v>
      </c>
      <c r="G114" s="21" t="s">
        <v>739</v>
      </c>
      <c r="H114" s="22" t="s">
        <v>970</v>
      </c>
      <c r="I114" s="22" t="s">
        <v>971</v>
      </c>
      <c r="J114" s="22"/>
    </row>
    <row r="115" customFormat="false" ht="15" hidden="false" customHeight="false" outlineLevel="0" collapsed="false">
      <c r="A115" s="21" t="n">
        <v>16</v>
      </c>
      <c r="B115" s="22" t="s">
        <v>194</v>
      </c>
      <c r="C115" s="21" t="s">
        <v>133</v>
      </c>
      <c r="D115" s="21" t="s">
        <v>105</v>
      </c>
      <c r="E115" s="21" t="s">
        <v>742</v>
      </c>
      <c r="F115" s="21" t="s">
        <v>743</v>
      </c>
      <c r="G115" s="21" t="s">
        <v>744</v>
      </c>
      <c r="H115" s="22" t="s">
        <v>972</v>
      </c>
      <c r="I115" s="22" t="s">
        <v>973</v>
      </c>
      <c r="J115" s="22"/>
    </row>
    <row r="116" customFormat="false" ht="23.85" hidden="false" customHeight="false" outlineLevel="0" collapsed="false">
      <c r="A116" s="24" t="n">
        <v>16</v>
      </c>
      <c r="B116" s="25" t="s">
        <v>194</v>
      </c>
      <c r="C116" s="24" t="s">
        <v>133</v>
      </c>
      <c r="D116" s="24" t="s">
        <v>105</v>
      </c>
      <c r="E116" s="24" t="s">
        <v>742</v>
      </c>
      <c r="F116" s="24" t="s">
        <v>747</v>
      </c>
      <c r="G116" s="24" t="s">
        <v>748</v>
      </c>
      <c r="H116" s="25" t="s">
        <v>974</v>
      </c>
      <c r="I116" s="25" t="s">
        <v>975</v>
      </c>
      <c r="J116" s="25"/>
    </row>
    <row r="117" customFormat="false" ht="23.85" hidden="false" customHeight="false" outlineLevel="0" collapsed="false">
      <c r="A117" s="16" t="n">
        <v>17</v>
      </c>
      <c r="B117" s="17" t="s">
        <v>204</v>
      </c>
      <c r="C117" s="16" t="s">
        <v>133</v>
      </c>
      <c r="D117" s="16" t="s">
        <v>72</v>
      </c>
      <c r="E117" s="16" t="s">
        <v>719</v>
      </c>
      <c r="F117" s="16" t="s">
        <v>720</v>
      </c>
      <c r="G117" s="16" t="s">
        <v>721</v>
      </c>
      <c r="H117" s="18" t="s">
        <v>976</v>
      </c>
      <c r="I117" s="17" t="s">
        <v>977</v>
      </c>
      <c r="J117" s="17" t="s">
        <v>978</v>
      </c>
    </row>
    <row r="118" customFormat="false" ht="15" hidden="false" customHeight="false" outlineLevel="0" collapsed="false">
      <c r="A118" s="16" t="n">
        <v>17</v>
      </c>
      <c r="B118" s="17" t="s">
        <v>204</v>
      </c>
      <c r="C118" s="16" t="s">
        <v>133</v>
      </c>
      <c r="D118" s="16" t="s">
        <v>72</v>
      </c>
      <c r="E118" s="16" t="s">
        <v>719</v>
      </c>
      <c r="F118" s="16" t="s">
        <v>725</v>
      </c>
      <c r="G118" s="16" t="s">
        <v>726</v>
      </c>
      <c r="H118" s="17" t="s">
        <v>979</v>
      </c>
      <c r="I118" s="17" t="s">
        <v>980</v>
      </c>
      <c r="J118" s="17"/>
    </row>
    <row r="119" customFormat="false" ht="23.85" hidden="false" customHeight="false" outlineLevel="0" collapsed="false">
      <c r="A119" s="16" t="n">
        <v>17</v>
      </c>
      <c r="B119" s="17" t="s">
        <v>204</v>
      </c>
      <c r="C119" s="16" t="s">
        <v>133</v>
      </c>
      <c r="D119" s="16" t="s">
        <v>72</v>
      </c>
      <c r="E119" s="16" t="s">
        <v>729</v>
      </c>
      <c r="F119" s="16" t="s">
        <v>730</v>
      </c>
      <c r="G119" s="16" t="s">
        <v>731</v>
      </c>
      <c r="H119" s="17" t="s">
        <v>981</v>
      </c>
      <c r="I119" s="17" t="s">
        <v>982</v>
      </c>
      <c r="J119" s="17"/>
    </row>
    <row r="120" customFormat="false" ht="15" hidden="false" customHeight="false" outlineLevel="0" collapsed="false">
      <c r="A120" s="16" t="n">
        <v>17</v>
      </c>
      <c r="B120" s="17" t="s">
        <v>204</v>
      </c>
      <c r="C120" s="16" t="s">
        <v>133</v>
      </c>
      <c r="D120" s="16" t="s">
        <v>72</v>
      </c>
      <c r="E120" s="16" t="s">
        <v>729</v>
      </c>
      <c r="F120" s="16" t="s">
        <v>734</v>
      </c>
      <c r="G120" s="16" t="s">
        <v>735</v>
      </c>
      <c r="H120" s="17" t="s">
        <v>983</v>
      </c>
      <c r="I120" s="17" t="s">
        <v>984</v>
      </c>
      <c r="J120" s="17"/>
    </row>
    <row r="121" customFormat="false" ht="15" hidden="false" customHeight="false" outlineLevel="0" collapsed="false">
      <c r="A121" s="16" t="n">
        <v>17</v>
      </c>
      <c r="B121" s="17" t="s">
        <v>204</v>
      </c>
      <c r="C121" s="16" t="s">
        <v>133</v>
      </c>
      <c r="D121" s="16" t="s">
        <v>72</v>
      </c>
      <c r="E121" s="16" t="s">
        <v>729</v>
      </c>
      <c r="F121" s="16" t="s">
        <v>738</v>
      </c>
      <c r="G121" s="16" t="s">
        <v>739</v>
      </c>
      <c r="H121" s="17" t="s">
        <v>985</v>
      </c>
      <c r="I121" s="17" t="s">
        <v>986</v>
      </c>
      <c r="J121" s="17"/>
    </row>
    <row r="122" customFormat="false" ht="15" hidden="false" customHeight="false" outlineLevel="0" collapsed="false">
      <c r="A122" s="16" t="n">
        <v>17</v>
      </c>
      <c r="B122" s="17" t="s">
        <v>204</v>
      </c>
      <c r="C122" s="16" t="s">
        <v>133</v>
      </c>
      <c r="D122" s="16" t="s">
        <v>72</v>
      </c>
      <c r="E122" s="16" t="s">
        <v>742</v>
      </c>
      <c r="F122" s="16" t="s">
        <v>743</v>
      </c>
      <c r="G122" s="16" t="s">
        <v>744</v>
      </c>
      <c r="H122" s="17" t="s">
        <v>987</v>
      </c>
      <c r="I122" s="17" t="s">
        <v>988</v>
      </c>
      <c r="J122" s="17"/>
    </row>
    <row r="123" customFormat="false" ht="23.85" hidden="false" customHeight="false" outlineLevel="0" collapsed="false">
      <c r="A123" s="19" t="n">
        <v>17</v>
      </c>
      <c r="B123" s="20" t="s">
        <v>204</v>
      </c>
      <c r="C123" s="19" t="s">
        <v>133</v>
      </c>
      <c r="D123" s="19" t="s">
        <v>72</v>
      </c>
      <c r="E123" s="19" t="s">
        <v>742</v>
      </c>
      <c r="F123" s="19" t="s">
        <v>747</v>
      </c>
      <c r="G123" s="19" t="s">
        <v>748</v>
      </c>
      <c r="H123" s="20" t="s">
        <v>989</v>
      </c>
      <c r="I123" s="20" t="s">
        <v>990</v>
      </c>
      <c r="J123" s="20"/>
    </row>
    <row r="124" customFormat="false" ht="23.85" hidden="false" customHeight="false" outlineLevel="0" collapsed="false">
      <c r="A124" s="21" t="n">
        <v>18</v>
      </c>
      <c r="B124" s="22" t="s">
        <v>209</v>
      </c>
      <c r="C124" s="21" t="s">
        <v>110</v>
      </c>
      <c r="D124" s="21" t="s">
        <v>85</v>
      </c>
      <c r="E124" s="21" t="s">
        <v>719</v>
      </c>
      <c r="F124" s="21" t="s">
        <v>720</v>
      </c>
      <c r="G124" s="21" t="s">
        <v>721</v>
      </c>
      <c r="H124" s="23" t="s">
        <v>991</v>
      </c>
      <c r="I124" s="22" t="s">
        <v>992</v>
      </c>
      <c r="J124" s="22" t="s">
        <v>993</v>
      </c>
    </row>
    <row r="125" customFormat="false" ht="15" hidden="false" customHeight="false" outlineLevel="0" collapsed="false">
      <c r="A125" s="21" t="n">
        <v>18</v>
      </c>
      <c r="B125" s="22" t="s">
        <v>209</v>
      </c>
      <c r="C125" s="21" t="s">
        <v>110</v>
      </c>
      <c r="D125" s="21" t="s">
        <v>85</v>
      </c>
      <c r="E125" s="21" t="s">
        <v>719</v>
      </c>
      <c r="F125" s="21" t="s">
        <v>725</v>
      </c>
      <c r="G125" s="21" t="s">
        <v>726</v>
      </c>
      <c r="H125" s="22" t="s">
        <v>994</v>
      </c>
      <c r="I125" s="22" t="s">
        <v>995</v>
      </c>
      <c r="J125" s="22"/>
    </row>
    <row r="126" customFormat="false" ht="15" hidden="false" customHeight="false" outlineLevel="0" collapsed="false">
      <c r="A126" s="21" t="n">
        <v>18</v>
      </c>
      <c r="B126" s="22" t="s">
        <v>209</v>
      </c>
      <c r="C126" s="21" t="s">
        <v>110</v>
      </c>
      <c r="D126" s="21" t="s">
        <v>85</v>
      </c>
      <c r="E126" s="21" t="s">
        <v>729</v>
      </c>
      <c r="F126" s="21" t="s">
        <v>730</v>
      </c>
      <c r="G126" s="21" t="s">
        <v>731</v>
      </c>
      <c r="H126" s="22" t="s">
        <v>996</v>
      </c>
      <c r="I126" s="22" t="s">
        <v>997</v>
      </c>
      <c r="J126" s="22"/>
    </row>
    <row r="127" customFormat="false" ht="15" hidden="false" customHeight="false" outlineLevel="0" collapsed="false">
      <c r="A127" s="21" t="n">
        <v>18</v>
      </c>
      <c r="B127" s="22" t="s">
        <v>209</v>
      </c>
      <c r="C127" s="21" t="s">
        <v>110</v>
      </c>
      <c r="D127" s="21" t="s">
        <v>85</v>
      </c>
      <c r="E127" s="21" t="s">
        <v>729</v>
      </c>
      <c r="F127" s="21" t="s">
        <v>734</v>
      </c>
      <c r="G127" s="21" t="s">
        <v>735</v>
      </c>
      <c r="H127" s="22" t="s">
        <v>998</v>
      </c>
      <c r="I127" s="22" t="s">
        <v>999</v>
      </c>
      <c r="J127" s="22"/>
    </row>
    <row r="128" customFormat="false" ht="23.85" hidden="false" customHeight="false" outlineLevel="0" collapsed="false">
      <c r="A128" s="21" t="n">
        <v>18</v>
      </c>
      <c r="B128" s="22" t="s">
        <v>209</v>
      </c>
      <c r="C128" s="21" t="s">
        <v>110</v>
      </c>
      <c r="D128" s="21" t="s">
        <v>85</v>
      </c>
      <c r="E128" s="21" t="s">
        <v>729</v>
      </c>
      <c r="F128" s="21" t="s">
        <v>738</v>
      </c>
      <c r="G128" s="21" t="s">
        <v>739</v>
      </c>
      <c r="H128" s="22" t="s">
        <v>1000</v>
      </c>
      <c r="I128" s="22" t="s">
        <v>1001</v>
      </c>
      <c r="J128" s="22"/>
    </row>
    <row r="129" customFormat="false" ht="15" hidden="false" customHeight="false" outlineLevel="0" collapsed="false">
      <c r="A129" s="21" t="n">
        <v>18</v>
      </c>
      <c r="B129" s="22" t="s">
        <v>209</v>
      </c>
      <c r="C129" s="21" t="s">
        <v>110</v>
      </c>
      <c r="D129" s="21" t="s">
        <v>85</v>
      </c>
      <c r="E129" s="21" t="s">
        <v>742</v>
      </c>
      <c r="F129" s="21" t="s">
        <v>743</v>
      </c>
      <c r="G129" s="21" t="s">
        <v>744</v>
      </c>
      <c r="H129" s="22" t="s">
        <v>1002</v>
      </c>
      <c r="I129" s="22" t="s">
        <v>1003</v>
      </c>
      <c r="J129" s="22"/>
    </row>
    <row r="130" customFormat="false" ht="23.85" hidden="false" customHeight="false" outlineLevel="0" collapsed="false">
      <c r="A130" s="24" t="n">
        <v>18</v>
      </c>
      <c r="B130" s="25" t="s">
        <v>209</v>
      </c>
      <c r="C130" s="24" t="s">
        <v>110</v>
      </c>
      <c r="D130" s="24" t="s">
        <v>85</v>
      </c>
      <c r="E130" s="24" t="s">
        <v>742</v>
      </c>
      <c r="F130" s="24" t="s">
        <v>747</v>
      </c>
      <c r="G130" s="24" t="s">
        <v>748</v>
      </c>
      <c r="H130" s="25" t="s">
        <v>1004</v>
      </c>
      <c r="I130" s="25" t="s">
        <v>1005</v>
      </c>
      <c r="J130" s="25"/>
    </row>
    <row r="131" customFormat="false" ht="35.05" hidden="false" customHeight="false" outlineLevel="0" collapsed="false">
      <c r="A131" s="16" t="n">
        <v>19</v>
      </c>
      <c r="B131" s="17" t="s">
        <v>223</v>
      </c>
      <c r="C131" s="16" t="s">
        <v>133</v>
      </c>
      <c r="D131" s="16" t="s">
        <v>96</v>
      </c>
      <c r="E131" s="16" t="s">
        <v>719</v>
      </c>
      <c r="F131" s="16" t="s">
        <v>720</v>
      </c>
      <c r="G131" s="16" t="s">
        <v>721</v>
      </c>
      <c r="H131" s="18" t="s">
        <v>1006</v>
      </c>
      <c r="I131" s="17" t="s">
        <v>1007</v>
      </c>
      <c r="J131" s="17" t="s">
        <v>1008</v>
      </c>
    </row>
    <row r="132" customFormat="false" ht="23.85" hidden="false" customHeight="false" outlineLevel="0" collapsed="false">
      <c r="A132" s="16" t="n">
        <v>19</v>
      </c>
      <c r="B132" s="17" t="s">
        <v>223</v>
      </c>
      <c r="C132" s="16" t="s">
        <v>133</v>
      </c>
      <c r="D132" s="16" t="s">
        <v>96</v>
      </c>
      <c r="E132" s="16" t="s">
        <v>719</v>
      </c>
      <c r="F132" s="16" t="s">
        <v>725</v>
      </c>
      <c r="G132" s="16" t="s">
        <v>726</v>
      </c>
      <c r="H132" s="17" t="s">
        <v>1009</v>
      </c>
      <c r="I132" s="17" t="s">
        <v>1010</v>
      </c>
      <c r="J132" s="17"/>
    </row>
    <row r="133" customFormat="false" ht="15" hidden="false" customHeight="false" outlineLevel="0" collapsed="false">
      <c r="A133" s="16" t="n">
        <v>19</v>
      </c>
      <c r="B133" s="17" t="s">
        <v>223</v>
      </c>
      <c r="C133" s="16" t="s">
        <v>133</v>
      </c>
      <c r="D133" s="16" t="s">
        <v>96</v>
      </c>
      <c r="E133" s="16" t="s">
        <v>729</v>
      </c>
      <c r="F133" s="16" t="s">
        <v>730</v>
      </c>
      <c r="G133" s="16" t="s">
        <v>731</v>
      </c>
      <c r="H133" s="17" t="s">
        <v>1011</v>
      </c>
      <c r="I133" s="17" t="s">
        <v>1012</v>
      </c>
      <c r="J133" s="17"/>
    </row>
    <row r="134" customFormat="false" ht="15" hidden="false" customHeight="false" outlineLevel="0" collapsed="false">
      <c r="A134" s="16" t="n">
        <v>19</v>
      </c>
      <c r="B134" s="17" t="s">
        <v>223</v>
      </c>
      <c r="C134" s="16" t="s">
        <v>133</v>
      </c>
      <c r="D134" s="16" t="s">
        <v>96</v>
      </c>
      <c r="E134" s="16" t="s">
        <v>729</v>
      </c>
      <c r="F134" s="16" t="s">
        <v>734</v>
      </c>
      <c r="G134" s="16" t="s">
        <v>735</v>
      </c>
      <c r="H134" s="17" t="s">
        <v>1013</v>
      </c>
      <c r="I134" s="17" t="s">
        <v>1014</v>
      </c>
      <c r="J134" s="17"/>
    </row>
    <row r="135" customFormat="false" ht="15" hidden="false" customHeight="false" outlineLevel="0" collapsed="false">
      <c r="A135" s="16" t="n">
        <v>19</v>
      </c>
      <c r="B135" s="17" t="s">
        <v>223</v>
      </c>
      <c r="C135" s="16" t="s">
        <v>133</v>
      </c>
      <c r="D135" s="16" t="s">
        <v>96</v>
      </c>
      <c r="E135" s="16" t="s">
        <v>729</v>
      </c>
      <c r="F135" s="16" t="s">
        <v>738</v>
      </c>
      <c r="G135" s="16" t="s">
        <v>739</v>
      </c>
      <c r="H135" s="17" t="s">
        <v>1015</v>
      </c>
      <c r="I135" s="17" t="s">
        <v>1016</v>
      </c>
      <c r="J135" s="17"/>
    </row>
    <row r="136" customFormat="false" ht="15" hidden="false" customHeight="false" outlineLevel="0" collapsed="false">
      <c r="A136" s="16" t="n">
        <v>19</v>
      </c>
      <c r="B136" s="17" t="s">
        <v>223</v>
      </c>
      <c r="C136" s="16" t="s">
        <v>133</v>
      </c>
      <c r="D136" s="16" t="s">
        <v>96</v>
      </c>
      <c r="E136" s="16" t="s">
        <v>742</v>
      </c>
      <c r="F136" s="16" t="s">
        <v>743</v>
      </c>
      <c r="G136" s="16" t="s">
        <v>744</v>
      </c>
      <c r="H136" s="17" t="s">
        <v>1017</v>
      </c>
      <c r="I136" s="17" t="s">
        <v>1018</v>
      </c>
      <c r="J136" s="17"/>
    </row>
    <row r="137" customFormat="false" ht="23.85" hidden="false" customHeight="false" outlineLevel="0" collapsed="false">
      <c r="A137" s="19" t="n">
        <v>19</v>
      </c>
      <c r="B137" s="20" t="s">
        <v>223</v>
      </c>
      <c r="C137" s="19" t="s">
        <v>133</v>
      </c>
      <c r="D137" s="19" t="s">
        <v>96</v>
      </c>
      <c r="E137" s="19" t="s">
        <v>742</v>
      </c>
      <c r="F137" s="19" t="s">
        <v>747</v>
      </c>
      <c r="G137" s="19" t="s">
        <v>748</v>
      </c>
      <c r="H137" s="20" t="s">
        <v>1019</v>
      </c>
      <c r="I137" s="20" t="s">
        <v>1020</v>
      </c>
      <c r="J137" s="20"/>
    </row>
    <row r="138" customFormat="false" ht="23.85" hidden="false" customHeight="false" outlineLevel="0" collapsed="false">
      <c r="A138" s="21" t="n">
        <v>20</v>
      </c>
      <c r="B138" s="22" t="s">
        <v>227</v>
      </c>
      <c r="C138" s="21" t="s">
        <v>133</v>
      </c>
      <c r="D138" s="21" t="s">
        <v>113</v>
      </c>
      <c r="E138" s="21" t="s">
        <v>719</v>
      </c>
      <c r="F138" s="21" t="s">
        <v>720</v>
      </c>
      <c r="G138" s="21" t="s">
        <v>721</v>
      </c>
      <c r="H138" s="23" t="s">
        <v>1021</v>
      </c>
      <c r="I138" s="22" t="s">
        <v>1022</v>
      </c>
      <c r="J138" s="22" t="s">
        <v>1023</v>
      </c>
    </row>
    <row r="139" customFormat="false" ht="15" hidden="false" customHeight="false" outlineLevel="0" collapsed="false">
      <c r="A139" s="21" t="n">
        <v>20</v>
      </c>
      <c r="B139" s="22" t="s">
        <v>227</v>
      </c>
      <c r="C139" s="21" t="s">
        <v>133</v>
      </c>
      <c r="D139" s="21" t="s">
        <v>113</v>
      </c>
      <c r="E139" s="21" t="s">
        <v>719</v>
      </c>
      <c r="F139" s="21" t="s">
        <v>725</v>
      </c>
      <c r="G139" s="21" t="s">
        <v>726</v>
      </c>
      <c r="H139" s="22" t="s">
        <v>1024</v>
      </c>
      <c r="I139" s="22" t="s">
        <v>1025</v>
      </c>
      <c r="J139" s="22"/>
    </row>
    <row r="140" customFormat="false" ht="23.85" hidden="false" customHeight="false" outlineLevel="0" collapsed="false">
      <c r="A140" s="21" t="n">
        <v>20</v>
      </c>
      <c r="B140" s="22" t="s">
        <v>227</v>
      </c>
      <c r="C140" s="21" t="s">
        <v>133</v>
      </c>
      <c r="D140" s="21" t="s">
        <v>113</v>
      </c>
      <c r="E140" s="21" t="s">
        <v>729</v>
      </c>
      <c r="F140" s="21" t="s">
        <v>730</v>
      </c>
      <c r="G140" s="21" t="s">
        <v>731</v>
      </c>
      <c r="H140" s="22" t="s">
        <v>1026</v>
      </c>
      <c r="I140" s="22" t="s">
        <v>1027</v>
      </c>
      <c r="J140" s="22"/>
    </row>
    <row r="141" customFormat="false" ht="15" hidden="false" customHeight="false" outlineLevel="0" collapsed="false">
      <c r="A141" s="21" t="n">
        <v>20</v>
      </c>
      <c r="B141" s="22" t="s">
        <v>227</v>
      </c>
      <c r="C141" s="21" t="s">
        <v>133</v>
      </c>
      <c r="D141" s="21" t="s">
        <v>113</v>
      </c>
      <c r="E141" s="21" t="s">
        <v>729</v>
      </c>
      <c r="F141" s="21" t="s">
        <v>734</v>
      </c>
      <c r="G141" s="21" t="s">
        <v>735</v>
      </c>
      <c r="H141" s="22" t="s">
        <v>1028</v>
      </c>
      <c r="I141" s="22" t="s">
        <v>1029</v>
      </c>
      <c r="J141" s="22"/>
    </row>
    <row r="142" customFormat="false" ht="15" hidden="false" customHeight="false" outlineLevel="0" collapsed="false">
      <c r="A142" s="21" t="n">
        <v>20</v>
      </c>
      <c r="B142" s="22" t="s">
        <v>227</v>
      </c>
      <c r="C142" s="21" t="s">
        <v>133</v>
      </c>
      <c r="D142" s="21" t="s">
        <v>113</v>
      </c>
      <c r="E142" s="21" t="s">
        <v>729</v>
      </c>
      <c r="F142" s="21" t="s">
        <v>738</v>
      </c>
      <c r="G142" s="21" t="s">
        <v>739</v>
      </c>
      <c r="H142" s="22" t="s">
        <v>1030</v>
      </c>
      <c r="I142" s="22" t="s">
        <v>1031</v>
      </c>
      <c r="J142" s="22"/>
    </row>
    <row r="143" customFormat="false" ht="15" hidden="false" customHeight="false" outlineLevel="0" collapsed="false">
      <c r="A143" s="21" t="n">
        <v>20</v>
      </c>
      <c r="B143" s="22" t="s">
        <v>227</v>
      </c>
      <c r="C143" s="21" t="s">
        <v>133</v>
      </c>
      <c r="D143" s="21" t="s">
        <v>113</v>
      </c>
      <c r="E143" s="21" t="s">
        <v>742</v>
      </c>
      <c r="F143" s="21" t="s">
        <v>743</v>
      </c>
      <c r="G143" s="21" t="s">
        <v>744</v>
      </c>
      <c r="H143" s="22" t="s">
        <v>1032</v>
      </c>
      <c r="I143" s="22" t="s">
        <v>1033</v>
      </c>
      <c r="J143" s="22"/>
    </row>
    <row r="144" customFormat="false" ht="23.85" hidden="false" customHeight="false" outlineLevel="0" collapsed="false">
      <c r="A144" s="24" t="n">
        <v>20</v>
      </c>
      <c r="B144" s="25" t="s">
        <v>227</v>
      </c>
      <c r="C144" s="24" t="s">
        <v>133</v>
      </c>
      <c r="D144" s="24" t="s">
        <v>113</v>
      </c>
      <c r="E144" s="24" t="s">
        <v>742</v>
      </c>
      <c r="F144" s="24" t="s">
        <v>747</v>
      </c>
      <c r="G144" s="24" t="s">
        <v>748</v>
      </c>
      <c r="H144" s="25" t="s">
        <v>1034</v>
      </c>
      <c r="I144" s="25" t="s">
        <v>1035</v>
      </c>
      <c r="J144" s="25"/>
    </row>
    <row r="145" customFormat="false" ht="23.85" hidden="false" customHeight="false" outlineLevel="0" collapsed="false">
      <c r="A145" s="16" t="n">
        <v>21</v>
      </c>
      <c r="B145" s="17" t="s">
        <v>233</v>
      </c>
      <c r="C145" s="16" t="s">
        <v>110</v>
      </c>
      <c r="D145" s="16" t="s">
        <v>85</v>
      </c>
      <c r="E145" s="16" t="s">
        <v>719</v>
      </c>
      <c r="F145" s="16" t="s">
        <v>720</v>
      </c>
      <c r="G145" s="16" t="s">
        <v>721</v>
      </c>
      <c r="H145" s="18" t="s">
        <v>1036</v>
      </c>
      <c r="I145" s="17" t="s">
        <v>1037</v>
      </c>
      <c r="J145" s="17" t="s">
        <v>1038</v>
      </c>
    </row>
    <row r="146" customFormat="false" ht="15" hidden="false" customHeight="false" outlineLevel="0" collapsed="false">
      <c r="A146" s="16" t="n">
        <v>21</v>
      </c>
      <c r="B146" s="17" t="s">
        <v>233</v>
      </c>
      <c r="C146" s="16" t="s">
        <v>110</v>
      </c>
      <c r="D146" s="16" t="s">
        <v>85</v>
      </c>
      <c r="E146" s="16" t="s">
        <v>719</v>
      </c>
      <c r="F146" s="16" t="s">
        <v>725</v>
      </c>
      <c r="G146" s="16" t="s">
        <v>726</v>
      </c>
      <c r="H146" s="17" t="s">
        <v>1039</v>
      </c>
      <c r="I146" s="17" t="s">
        <v>1040</v>
      </c>
      <c r="J146" s="17"/>
    </row>
    <row r="147" customFormat="false" ht="23.85" hidden="false" customHeight="false" outlineLevel="0" collapsed="false">
      <c r="A147" s="16" t="n">
        <v>21</v>
      </c>
      <c r="B147" s="17" t="s">
        <v>233</v>
      </c>
      <c r="C147" s="16" t="s">
        <v>110</v>
      </c>
      <c r="D147" s="16" t="s">
        <v>85</v>
      </c>
      <c r="E147" s="16" t="s">
        <v>729</v>
      </c>
      <c r="F147" s="16" t="s">
        <v>730</v>
      </c>
      <c r="G147" s="16" t="s">
        <v>731</v>
      </c>
      <c r="H147" s="17" t="s">
        <v>1041</v>
      </c>
      <c r="I147" s="17" t="s">
        <v>1042</v>
      </c>
      <c r="J147" s="17"/>
    </row>
    <row r="148" customFormat="false" ht="15" hidden="false" customHeight="false" outlineLevel="0" collapsed="false">
      <c r="A148" s="16" t="n">
        <v>21</v>
      </c>
      <c r="B148" s="17" t="s">
        <v>233</v>
      </c>
      <c r="C148" s="16" t="s">
        <v>110</v>
      </c>
      <c r="D148" s="16" t="s">
        <v>85</v>
      </c>
      <c r="E148" s="16" t="s">
        <v>729</v>
      </c>
      <c r="F148" s="16" t="s">
        <v>734</v>
      </c>
      <c r="G148" s="16" t="s">
        <v>735</v>
      </c>
      <c r="H148" s="17" t="s">
        <v>1043</v>
      </c>
      <c r="I148" s="17" t="s">
        <v>1044</v>
      </c>
      <c r="J148" s="17"/>
    </row>
    <row r="149" customFormat="false" ht="15" hidden="false" customHeight="false" outlineLevel="0" collapsed="false">
      <c r="A149" s="16" t="n">
        <v>21</v>
      </c>
      <c r="B149" s="17" t="s">
        <v>233</v>
      </c>
      <c r="C149" s="16" t="s">
        <v>110</v>
      </c>
      <c r="D149" s="16" t="s">
        <v>85</v>
      </c>
      <c r="E149" s="16" t="s">
        <v>729</v>
      </c>
      <c r="F149" s="16" t="s">
        <v>738</v>
      </c>
      <c r="G149" s="16" t="s">
        <v>739</v>
      </c>
      <c r="H149" s="17" t="s">
        <v>1045</v>
      </c>
      <c r="I149" s="17" t="s">
        <v>1046</v>
      </c>
      <c r="J149" s="17"/>
    </row>
    <row r="150" customFormat="false" ht="15" hidden="false" customHeight="false" outlineLevel="0" collapsed="false">
      <c r="A150" s="16" t="n">
        <v>21</v>
      </c>
      <c r="B150" s="17" t="s">
        <v>233</v>
      </c>
      <c r="C150" s="16" t="s">
        <v>110</v>
      </c>
      <c r="D150" s="16" t="s">
        <v>85</v>
      </c>
      <c r="E150" s="16" t="s">
        <v>742</v>
      </c>
      <c r="F150" s="16" t="s">
        <v>743</v>
      </c>
      <c r="G150" s="16" t="s">
        <v>744</v>
      </c>
      <c r="H150" s="17" t="s">
        <v>1047</v>
      </c>
      <c r="I150" s="17" t="s">
        <v>1048</v>
      </c>
      <c r="J150" s="17"/>
    </row>
    <row r="151" customFormat="false" ht="15" hidden="false" customHeight="false" outlineLevel="0" collapsed="false">
      <c r="A151" s="19" t="n">
        <v>21</v>
      </c>
      <c r="B151" s="20" t="s">
        <v>233</v>
      </c>
      <c r="C151" s="19" t="s">
        <v>110</v>
      </c>
      <c r="D151" s="19" t="s">
        <v>85</v>
      </c>
      <c r="E151" s="19" t="s">
        <v>742</v>
      </c>
      <c r="F151" s="19" t="s">
        <v>747</v>
      </c>
      <c r="G151" s="19" t="s">
        <v>748</v>
      </c>
      <c r="H151" s="20" t="s">
        <v>1049</v>
      </c>
      <c r="I151" s="20" t="s">
        <v>1050</v>
      </c>
      <c r="J151" s="20"/>
    </row>
    <row r="152" customFormat="false" ht="23.85" hidden="false" customHeight="false" outlineLevel="0" collapsed="false">
      <c r="A152" s="21" t="n">
        <v>22</v>
      </c>
      <c r="B152" s="22" t="s">
        <v>247</v>
      </c>
      <c r="C152" s="21" t="s">
        <v>63</v>
      </c>
      <c r="D152" s="21" t="s">
        <v>85</v>
      </c>
      <c r="E152" s="21" t="s">
        <v>719</v>
      </c>
      <c r="F152" s="21" t="s">
        <v>720</v>
      </c>
      <c r="G152" s="21" t="s">
        <v>721</v>
      </c>
      <c r="H152" s="23" t="s">
        <v>1051</v>
      </c>
      <c r="I152" s="22" t="s">
        <v>1052</v>
      </c>
      <c r="J152" s="22" t="s">
        <v>1053</v>
      </c>
    </row>
    <row r="153" customFormat="false" ht="15" hidden="false" customHeight="false" outlineLevel="0" collapsed="false">
      <c r="A153" s="21" t="n">
        <v>22</v>
      </c>
      <c r="B153" s="22" t="s">
        <v>247</v>
      </c>
      <c r="C153" s="21" t="s">
        <v>63</v>
      </c>
      <c r="D153" s="21" t="s">
        <v>85</v>
      </c>
      <c r="E153" s="21" t="s">
        <v>719</v>
      </c>
      <c r="F153" s="21" t="s">
        <v>725</v>
      </c>
      <c r="G153" s="21" t="s">
        <v>726</v>
      </c>
      <c r="H153" s="22" t="s">
        <v>1054</v>
      </c>
      <c r="I153" s="22" t="s">
        <v>1055</v>
      </c>
      <c r="J153" s="22"/>
    </row>
    <row r="154" customFormat="false" ht="15" hidden="false" customHeight="false" outlineLevel="0" collapsed="false">
      <c r="A154" s="21" t="n">
        <v>22</v>
      </c>
      <c r="B154" s="22" t="s">
        <v>247</v>
      </c>
      <c r="C154" s="21" t="s">
        <v>63</v>
      </c>
      <c r="D154" s="21" t="s">
        <v>85</v>
      </c>
      <c r="E154" s="21" t="s">
        <v>729</v>
      </c>
      <c r="F154" s="21" t="s">
        <v>730</v>
      </c>
      <c r="G154" s="21" t="s">
        <v>731</v>
      </c>
      <c r="H154" s="22" t="s">
        <v>1056</v>
      </c>
      <c r="I154" s="22" t="s">
        <v>1057</v>
      </c>
      <c r="J154" s="22"/>
    </row>
    <row r="155" customFormat="false" ht="15" hidden="false" customHeight="false" outlineLevel="0" collapsed="false">
      <c r="A155" s="21" t="n">
        <v>22</v>
      </c>
      <c r="B155" s="22" t="s">
        <v>247</v>
      </c>
      <c r="C155" s="21" t="s">
        <v>63</v>
      </c>
      <c r="D155" s="21" t="s">
        <v>85</v>
      </c>
      <c r="E155" s="21" t="s">
        <v>729</v>
      </c>
      <c r="F155" s="21" t="s">
        <v>734</v>
      </c>
      <c r="G155" s="21" t="s">
        <v>735</v>
      </c>
      <c r="H155" s="22" t="s">
        <v>1058</v>
      </c>
      <c r="I155" s="22" t="s">
        <v>1059</v>
      </c>
      <c r="J155" s="22"/>
    </row>
    <row r="156" customFormat="false" ht="15" hidden="false" customHeight="false" outlineLevel="0" collapsed="false">
      <c r="A156" s="21" t="n">
        <v>22</v>
      </c>
      <c r="B156" s="22" t="s">
        <v>247</v>
      </c>
      <c r="C156" s="21" t="s">
        <v>63</v>
      </c>
      <c r="D156" s="21" t="s">
        <v>85</v>
      </c>
      <c r="E156" s="21" t="s">
        <v>729</v>
      </c>
      <c r="F156" s="21" t="s">
        <v>738</v>
      </c>
      <c r="G156" s="21" t="s">
        <v>739</v>
      </c>
      <c r="H156" s="22" t="s">
        <v>1060</v>
      </c>
      <c r="I156" s="22" t="s">
        <v>1061</v>
      </c>
      <c r="J156" s="22"/>
    </row>
    <row r="157" customFormat="false" ht="15" hidden="false" customHeight="false" outlineLevel="0" collapsed="false">
      <c r="A157" s="21" t="n">
        <v>22</v>
      </c>
      <c r="B157" s="22" t="s">
        <v>247</v>
      </c>
      <c r="C157" s="21" t="s">
        <v>63</v>
      </c>
      <c r="D157" s="21" t="s">
        <v>85</v>
      </c>
      <c r="E157" s="21" t="s">
        <v>742</v>
      </c>
      <c r="F157" s="21" t="s">
        <v>743</v>
      </c>
      <c r="G157" s="21" t="s">
        <v>744</v>
      </c>
      <c r="H157" s="22" t="s">
        <v>1062</v>
      </c>
      <c r="I157" s="22" t="s">
        <v>1063</v>
      </c>
      <c r="J157" s="22"/>
    </row>
    <row r="158" customFormat="false" ht="23.85" hidden="false" customHeight="false" outlineLevel="0" collapsed="false">
      <c r="A158" s="24" t="n">
        <v>22</v>
      </c>
      <c r="B158" s="25" t="s">
        <v>247</v>
      </c>
      <c r="C158" s="24" t="s">
        <v>63</v>
      </c>
      <c r="D158" s="24" t="s">
        <v>85</v>
      </c>
      <c r="E158" s="24" t="s">
        <v>742</v>
      </c>
      <c r="F158" s="24" t="s">
        <v>747</v>
      </c>
      <c r="G158" s="24" t="s">
        <v>748</v>
      </c>
      <c r="H158" s="25" t="s">
        <v>1064</v>
      </c>
      <c r="I158" s="25" t="s">
        <v>1065</v>
      </c>
      <c r="J158" s="25"/>
    </row>
    <row r="159" customFormat="false" ht="23.85" hidden="false" customHeight="false" outlineLevel="0" collapsed="false">
      <c r="A159" s="16" t="n">
        <v>23</v>
      </c>
      <c r="B159" s="17" t="s">
        <v>256</v>
      </c>
      <c r="C159" s="16" t="s">
        <v>133</v>
      </c>
      <c r="D159" s="16" t="s">
        <v>96</v>
      </c>
      <c r="E159" s="16" t="s">
        <v>719</v>
      </c>
      <c r="F159" s="16" t="s">
        <v>720</v>
      </c>
      <c r="G159" s="16" t="s">
        <v>721</v>
      </c>
      <c r="H159" s="18" t="s">
        <v>1066</v>
      </c>
      <c r="I159" s="17" t="s">
        <v>1067</v>
      </c>
      <c r="J159" s="17" t="s">
        <v>1068</v>
      </c>
    </row>
    <row r="160" customFormat="false" ht="15" hidden="false" customHeight="false" outlineLevel="0" collapsed="false">
      <c r="A160" s="16" t="n">
        <v>23</v>
      </c>
      <c r="B160" s="17" t="s">
        <v>256</v>
      </c>
      <c r="C160" s="16" t="s">
        <v>133</v>
      </c>
      <c r="D160" s="16" t="s">
        <v>96</v>
      </c>
      <c r="E160" s="16" t="s">
        <v>719</v>
      </c>
      <c r="F160" s="16" t="s">
        <v>725</v>
      </c>
      <c r="G160" s="16" t="s">
        <v>726</v>
      </c>
      <c r="H160" s="17" t="s">
        <v>1069</v>
      </c>
      <c r="I160" s="17" t="s">
        <v>1070</v>
      </c>
      <c r="J160" s="17"/>
    </row>
    <row r="161" customFormat="false" ht="23.85" hidden="false" customHeight="false" outlineLevel="0" collapsed="false">
      <c r="A161" s="16" t="n">
        <v>23</v>
      </c>
      <c r="B161" s="17" t="s">
        <v>256</v>
      </c>
      <c r="C161" s="16" t="s">
        <v>133</v>
      </c>
      <c r="D161" s="16" t="s">
        <v>96</v>
      </c>
      <c r="E161" s="16" t="s">
        <v>729</v>
      </c>
      <c r="F161" s="16" t="s">
        <v>730</v>
      </c>
      <c r="G161" s="16" t="s">
        <v>731</v>
      </c>
      <c r="H161" s="17" t="s">
        <v>1071</v>
      </c>
      <c r="I161" s="17" t="s">
        <v>1072</v>
      </c>
      <c r="J161" s="17"/>
    </row>
    <row r="162" customFormat="false" ht="15" hidden="false" customHeight="false" outlineLevel="0" collapsed="false">
      <c r="A162" s="16" t="n">
        <v>23</v>
      </c>
      <c r="B162" s="17" t="s">
        <v>256</v>
      </c>
      <c r="C162" s="16" t="s">
        <v>133</v>
      </c>
      <c r="D162" s="16" t="s">
        <v>96</v>
      </c>
      <c r="E162" s="16" t="s">
        <v>729</v>
      </c>
      <c r="F162" s="16" t="s">
        <v>734</v>
      </c>
      <c r="G162" s="16" t="s">
        <v>735</v>
      </c>
      <c r="H162" s="17" t="s">
        <v>1073</v>
      </c>
      <c r="I162" s="17" t="s">
        <v>1074</v>
      </c>
      <c r="J162" s="17"/>
    </row>
    <row r="163" customFormat="false" ht="15" hidden="false" customHeight="false" outlineLevel="0" collapsed="false">
      <c r="A163" s="16" t="n">
        <v>23</v>
      </c>
      <c r="B163" s="17" t="s">
        <v>256</v>
      </c>
      <c r="C163" s="16" t="s">
        <v>133</v>
      </c>
      <c r="D163" s="16" t="s">
        <v>96</v>
      </c>
      <c r="E163" s="16" t="s">
        <v>729</v>
      </c>
      <c r="F163" s="16" t="s">
        <v>738</v>
      </c>
      <c r="G163" s="16" t="s">
        <v>739</v>
      </c>
      <c r="H163" s="17" t="s">
        <v>1075</v>
      </c>
      <c r="I163" s="17" t="s">
        <v>1076</v>
      </c>
      <c r="J163" s="17"/>
    </row>
    <row r="164" customFormat="false" ht="15" hidden="false" customHeight="false" outlineLevel="0" collapsed="false">
      <c r="A164" s="16" t="n">
        <v>23</v>
      </c>
      <c r="B164" s="17" t="s">
        <v>256</v>
      </c>
      <c r="C164" s="16" t="s">
        <v>133</v>
      </c>
      <c r="D164" s="16" t="s">
        <v>96</v>
      </c>
      <c r="E164" s="16" t="s">
        <v>742</v>
      </c>
      <c r="F164" s="16" t="s">
        <v>743</v>
      </c>
      <c r="G164" s="16" t="s">
        <v>744</v>
      </c>
      <c r="H164" s="17" t="s">
        <v>1077</v>
      </c>
      <c r="I164" s="17" t="s">
        <v>1078</v>
      </c>
      <c r="J164" s="17"/>
    </row>
    <row r="165" customFormat="false" ht="23.85" hidden="false" customHeight="false" outlineLevel="0" collapsed="false">
      <c r="A165" s="19" t="n">
        <v>23</v>
      </c>
      <c r="B165" s="20" t="s">
        <v>256</v>
      </c>
      <c r="C165" s="19" t="s">
        <v>133</v>
      </c>
      <c r="D165" s="19" t="s">
        <v>96</v>
      </c>
      <c r="E165" s="19" t="s">
        <v>742</v>
      </c>
      <c r="F165" s="19" t="s">
        <v>747</v>
      </c>
      <c r="G165" s="19" t="s">
        <v>748</v>
      </c>
      <c r="H165" s="20" t="s">
        <v>1079</v>
      </c>
      <c r="I165" s="20" t="s">
        <v>1080</v>
      </c>
      <c r="J165" s="20"/>
    </row>
    <row r="166" customFormat="false" ht="23.85" hidden="false" customHeight="false" outlineLevel="0" collapsed="false">
      <c r="A166" s="21" t="n">
        <v>24</v>
      </c>
      <c r="B166" s="22" t="s">
        <v>265</v>
      </c>
      <c r="C166" s="21" t="s">
        <v>77</v>
      </c>
      <c r="D166" s="21" t="s">
        <v>85</v>
      </c>
      <c r="E166" s="21" t="s">
        <v>719</v>
      </c>
      <c r="F166" s="21" t="s">
        <v>720</v>
      </c>
      <c r="G166" s="21" t="s">
        <v>721</v>
      </c>
      <c r="H166" s="23" t="s">
        <v>1081</v>
      </c>
      <c r="I166" s="22" t="s">
        <v>1082</v>
      </c>
      <c r="J166" s="22" t="s">
        <v>1083</v>
      </c>
    </row>
    <row r="167" customFormat="false" ht="15" hidden="false" customHeight="false" outlineLevel="0" collapsed="false">
      <c r="A167" s="21" t="n">
        <v>24</v>
      </c>
      <c r="B167" s="22" t="s">
        <v>265</v>
      </c>
      <c r="C167" s="21" t="s">
        <v>77</v>
      </c>
      <c r="D167" s="21" t="s">
        <v>85</v>
      </c>
      <c r="E167" s="21" t="s">
        <v>719</v>
      </c>
      <c r="F167" s="21" t="s">
        <v>725</v>
      </c>
      <c r="G167" s="21" t="s">
        <v>726</v>
      </c>
      <c r="H167" s="22" t="s">
        <v>1084</v>
      </c>
      <c r="I167" s="22" t="s">
        <v>1085</v>
      </c>
      <c r="J167" s="22"/>
    </row>
    <row r="168" customFormat="false" ht="23.85" hidden="false" customHeight="false" outlineLevel="0" collapsed="false">
      <c r="A168" s="21" t="n">
        <v>24</v>
      </c>
      <c r="B168" s="22" t="s">
        <v>265</v>
      </c>
      <c r="C168" s="21" t="s">
        <v>77</v>
      </c>
      <c r="D168" s="21" t="s">
        <v>85</v>
      </c>
      <c r="E168" s="21" t="s">
        <v>729</v>
      </c>
      <c r="F168" s="21" t="s">
        <v>730</v>
      </c>
      <c r="G168" s="21" t="s">
        <v>731</v>
      </c>
      <c r="H168" s="22" t="s">
        <v>1086</v>
      </c>
      <c r="I168" s="22" t="s">
        <v>1087</v>
      </c>
      <c r="J168" s="22"/>
    </row>
    <row r="169" customFormat="false" ht="15" hidden="false" customHeight="false" outlineLevel="0" collapsed="false">
      <c r="A169" s="21" t="n">
        <v>24</v>
      </c>
      <c r="B169" s="22" t="s">
        <v>265</v>
      </c>
      <c r="C169" s="21" t="s">
        <v>77</v>
      </c>
      <c r="D169" s="21" t="s">
        <v>85</v>
      </c>
      <c r="E169" s="21" t="s">
        <v>729</v>
      </c>
      <c r="F169" s="21" t="s">
        <v>734</v>
      </c>
      <c r="G169" s="21" t="s">
        <v>735</v>
      </c>
      <c r="H169" s="22" t="s">
        <v>1088</v>
      </c>
      <c r="I169" s="22" t="s">
        <v>1089</v>
      </c>
      <c r="J169" s="22"/>
    </row>
    <row r="170" customFormat="false" ht="15" hidden="false" customHeight="false" outlineLevel="0" collapsed="false">
      <c r="A170" s="21" t="n">
        <v>24</v>
      </c>
      <c r="B170" s="22" t="s">
        <v>265</v>
      </c>
      <c r="C170" s="21" t="s">
        <v>77</v>
      </c>
      <c r="D170" s="21" t="s">
        <v>85</v>
      </c>
      <c r="E170" s="21" t="s">
        <v>729</v>
      </c>
      <c r="F170" s="21" t="s">
        <v>738</v>
      </c>
      <c r="G170" s="21" t="s">
        <v>739</v>
      </c>
      <c r="H170" s="22" t="s">
        <v>1090</v>
      </c>
      <c r="I170" s="22" t="s">
        <v>1091</v>
      </c>
      <c r="J170" s="22"/>
    </row>
    <row r="171" customFormat="false" ht="15" hidden="false" customHeight="false" outlineLevel="0" collapsed="false">
      <c r="A171" s="21" t="n">
        <v>24</v>
      </c>
      <c r="B171" s="22" t="s">
        <v>265</v>
      </c>
      <c r="C171" s="21" t="s">
        <v>77</v>
      </c>
      <c r="D171" s="21" t="s">
        <v>85</v>
      </c>
      <c r="E171" s="21" t="s">
        <v>742</v>
      </c>
      <c r="F171" s="21" t="s">
        <v>743</v>
      </c>
      <c r="G171" s="21" t="s">
        <v>744</v>
      </c>
      <c r="H171" s="22" t="s">
        <v>1092</v>
      </c>
      <c r="I171" s="22" t="s">
        <v>1093</v>
      </c>
      <c r="J171" s="22"/>
    </row>
    <row r="172" customFormat="false" ht="23.85" hidden="false" customHeight="false" outlineLevel="0" collapsed="false">
      <c r="A172" s="24" t="n">
        <v>24</v>
      </c>
      <c r="B172" s="25" t="s">
        <v>265</v>
      </c>
      <c r="C172" s="24" t="s">
        <v>77</v>
      </c>
      <c r="D172" s="24" t="s">
        <v>85</v>
      </c>
      <c r="E172" s="24" t="s">
        <v>742</v>
      </c>
      <c r="F172" s="24" t="s">
        <v>747</v>
      </c>
      <c r="G172" s="24" t="s">
        <v>748</v>
      </c>
      <c r="H172" s="25" t="s">
        <v>1094</v>
      </c>
      <c r="I172" s="25" t="s">
        <v>1095</v>
      </c>
      <c r="J172" s="25"/>
    </row>
    <row r="173" customFormat="false" ht="23.85" hidden="false" customHeight="false" outlineLevel="0" collapsed="false">
      <c r="A173" s="16" t="n">
        <v>25</v>
      </c>
      <c r="B173" s="17" t="s">
        <v>274</v>
      </c>
      <c r="C173" s="16" t="s">
        <v>90</v>
      </c>
      <c r="D173" s="16" t="s">
        <v>72</v>
      </c>
      <c r="E173" s="16" t="s">
        <v>719</v>
      </c>
      <c r="F173" s="16" t="s">
        <v>720</v>
      </c>
      <c r="G173" s="16" t="s">
        <v>721</v>
      </c>
      <c r="H173" s="18" t="s">
        <v>1096</v>
      </c>
      <c r="I173" s="17" t="s">
        <v>1097</v>
      </c>
      <c r="J173" s="17" t="s">
        <v>1098</v>
      </c>
    </row>
    <row r="174" customFormat="false" ht="15" hidden="false" customHeight="false" outlineLevel="0" collapsed="false">
      <c r="A174" s="16" t="n">
        <v>25</v>
      </c>
      <c r="B174" s="17" t="s">
        <v>274</v>
      </c>
      <c r="C174" s="16" t="s">
        <v>90</v>
      </c>
      <c r="D174" s="16" t="s">
        <v>72</v>
      </c>
      <c r="E174" s="16" t="s">
        <v>719</v>
      </c>
      <c r="F174" s="16" t="s">
        <v>725</v>
      </c>
      <c r="G174" s="16" t="s">
        <v>726</v>
      </c>
      <c r="H174" s="17" t="s">
        <v>1099</v>
      </c>
      <c r="I174" s="17" t="s">
        <v>1100</v>
      </c>
      <c r="J174" s="17"/>
    </row>
    <row r="175" customFormat="false" ht="15" hidden="false" customHeight="false" outlineLevel="0" collapsed="false">
      <c r="A175" s="16" t="n">
        <v>25</v>
      </c>
      <c r="B175" s="17" t="s">
        <v>274</v>
      </c>
      <c r="C175" s="16" t="s">
        <v>90</v>
      </c>
      <c r="D175" s="16" t="s">
        <v>72</v>
      </c>
      <c r="E175" s="16" t="s">
        <v>729</v>
      </c>
      <c r="F175" s="16" t="s">
        <v>730</v>
      </c>
      <c r="G175" s="16" t="s">
        <v>731</v>
      </c>
      <c r="H175" s="17" t="s">
        <v>1101</v>
      </c>
      <c r="I175" s="17" t="s">
        <v>1102</v>
      </c>
      <c r="J175" s="17"/>
    </row>
    <row r="176" customFormat="false" ht="23.85" hidden="false" customHeight="false" outlineLevel="0" collapsed="false">
      <c r="A176" s="16" t="n">
        <v>25</v>
      </c>
      <c r="B176" s="17" t="s">
        <v>274</v>
      </c>
      <c r="C176" s="16" t="s">
        <v>90</v>
      </c>
      <c r="D176" s="16" t="s">
        <v>72</v>
      </c>
      <c r="E176" s="16" t="s">
        <v>729</v>
      </c>
      <c r="F176" s="16" t="s">
        <v>734</v>
      </c>
      <c r="G176" s="16" t="s">
        <v>735</v>
      </c>
      <c r="H176" s="17" t="s">
        <v>1103</v>
      </c>
      <c r="I176" s="17" t="s">
        <v>1104</v>
      </c>
      <c r="J176" s="17"/>
    </row>
    <row r="177" customFormat="false" ht="23.85" hidden="false" customHeight="false" outlineLevel="0" collapsed="false">
      <c r="A177" s="16" t="n">
        <v>25</v>
      </c>
      <c r="B177" s="17" t="s">
        <v>274</v>
      </c>
      <c r="C177" s="16" t="s">
        <v>90</v>
      </c>
      <c r="D177" s="16" t="s">
        <v>72</v>
      </c>
      <c r="E177" s="16" t="s">
        <v>729</v>
      </c>
      <c r="F177" s="16" t="s">
        <v>738</v>
      </c>
      <c r="G177" s="16" t="s">
        <v>739</v>
      </c>
      <c r="H177" s="17" t="s">
        <v>1105</v>
      </c>
      <c r="I177" s="17" t="s">
        <v>1106</v>
      </c>
      <c r="J177" s="17"/>
    </row>
    <row r="178" customFormat="false" ht="15" hidden="false" customHeight="false" outlineLevel="0" collapsed="false">
      <c r="A178" s="16" t="n">
        <v>25</v>
      </c>
      <c r="B178" s="17" t="s">
        <v>274</v>
      </c>
      <c r="C178" s="16" t="s">
        <v>90</v>
      </c>
      <c r="D178" s="16" t="s">
        <v>72</v>
      </c>
      <c r="E178" s="16" t="s">
        <v>742</v>
      </c>
      <c r="F178" s="16" t="s">
        <v>743</v>
      </c>
      <c r="G178" s="16" t="s">
        <v>744</v>
      </c>
      <c r="H178" s="17" t="s">
        <v>1107</v>
      </c>
      <c r="I178" s="17" t="s">
        <v>1108</v>
      </c>
      <c r="J178" s="17"/>
    </row>
    <row r="179" customFormat="false" ht="23.85" hidden="false" customHeight="false" outlineLevel="0" collapsed="false">
      <c r="A179" s="19" t="n">
        <v>25</v>
      </c>
      <c r="B179" s="20" t="s">
        <v>274</v>
      </c>
      <c r="C179" s="19" t="s">
        <v>90</v>
      </c>
      <c r="D179" s="19" t="s">
        <v>72</v>
      </c>
      <c r="E179" s="19" t="s">
        <v>742</v>
      </c>
      <c r="F179" s="19" t="s">
        <v>747</v>
      </c>
      <c r="G179" s="19" t="s">
        <v>748</v>
      </c>
      <c r="H179" s="20" t="s">
        <v>1109</v>
      </c>
      <c r="I179" s="20" t="s">
        <v>1110</v>
      </c>
      <c r="J179" s="20"/>
    </row>
    <row r="180" customFormat="false" ht="35.05" hidden="false" customHeight="false" outlineLevel="0" collapsed="false">
      <c r="A180" s="21" t="n">
        <v>26</v>
      </c>
      <c r="B180" s="22" t="s">
        <v>282</v>
      </c>
      <c r="C180" s="21" t="s">
        <v>133</v>
      </c>
      <c r="D180" s="21" t="s">
        <v>85</v>
      </c>
      <c r="E180" s="21" t="s">
        <v>719</v>
      </c>
      <c r="F180" s="21" t="s">
        <v>720</v>
      </c>
      <c r="G180" s="21" t="s">
        <v>721</v>
      </c>
      <c r="H180" s="23" t="s">
        <v>1111</v>
      </c>
      <c r="I180" s="22" t="s">
        <v>1112</v>
      </c>
      <c r="J180" s="22" t="s">
        <v>1113</v>
      </c>
    </row>
    <row r="181" customFormat="false" ht="15" hidden="false" customHeight="false" outlineLevel="0" collapsed="false">
      <c r="A181" s="21" t="n">
        <v>26</v>
      </c>
      <c r="B181" s="22" t="s">
        <v>282</v>
      </c>
      <c r="C181" s="21" t="s">
        <v>133</v>
      </c>
      <c r="D181" s="21" t="s">
        <v>85</v>
      </c>
      <c r="E181" s="21" t="s">
        <v>719</v>
      </c>
      <c r="F181" s="21" t="s">
        <v>725</v>
      </c>
      <c r="G181" s="21" t="s">
        <v>726</v>
      </c>
      <c r="H181" s="22" t="s">
        <v>1114</v>
      </c>
      <c r="I181" s="22" t="s">
        <v>1115</v>
      </c>
      <c r="J181" s="22"/>
    </row>
    <row r="182" customFormat="false" ht="23.85" hidden="false" customHeight="false" outlineLevel="0" collapsed="false">
      <c r="A182" s="21" t="n">
        <v>26</v>
      </c>
      <c r="B182" s="22" t="s">
        <v>282</v>
      </c>
      <c r="C182" s="21" t="s">
        <v>133</v>
      </c>
      <c r="D182" s="21" t="s">
        <v>85</v>
      </c>
      <c r="E182" s="21" t="s">
        <v>729</v>
      </c>
      <c r="F182" s="21" t="s">
        <v>730</v>
      </c>
      <c r="G182" s="21" t="s">
        <v>731</v>
      </c>
      <c r="H182" s="22" t="s">
        <v>1116</v>
      </c>
      <c r="I182" s="22" t="s">
        <v>1117</v>
      </c>
      <c r="J182" s="22"/>
    </row>
    <row r="183" customFormat="false" ht="15" hidden="false" customHeight="false" outlineLevel="0" collapsed="false">
      <c r="A183" s="21" t="n">
        <v>26</v>
      </c>
      <c r="B183" s="22" t="s">
        <v>282</v>
      </c>
      <c r="C183" s="21" t="s">
        <v>133</v>
      </c>
      <c r="D183" s="21" t="s">
        <v>85</v>
      </c>
      <c r="E183" s="21" t="s">
        <v>729</v>
      </c>
      <c r="F183" s="21" t="s">
        <v>734</v>
      </c>
      <c r="G183" s="21" t="s">
        <v>735</v>
      </c>
      <c r="H183" s="22" t="s">
        <v>1118</v>
      </c>
      <c r="I183" s="22" t="s">
        <v>1119</v>
      </c>
      <c r="J183" s="22"/>
    </row>
    <row r="184" customFormat="false" ht="15" hidden="false" customHeight="false" outlineLevel="0" collapsed="false">
      <c r="A184" s="21" t="n">
        <v>26</v>
      </c>
      <c r="B184" s="22" t="s">
        <v>282</v>
      </c>
      <c r="C184" s="21" t="s">
        <v>133</v>
      </c>
      <c r="D184" s="21" t="s">
        <v>85</v>
      </c>
      <c r="E184" s="21" t="s">
        <v>729</v>
      </c>
      <c r="F184" s="21" t="s">
        <v>738</v>
      </c>
      <c r="G184" s="21" t="s">
        <v>739</v>
      </c>
      <c r="H184" s="22" t="s">
        <v>1120</v>
      </c>
      <c r="I184" s="22" t="s">
        <v>1121</v>
      </c>
      <c r="J184" s="22"/>
    </row>
    <row r="185" customFormat="false" ht="15" hidden="false" customHeight="false" outlineLevel="0" collapsed="false">
      <c r="A185" s="21" t="n">
        <v>26</v>
      </c>
      <c r="B185" s="22" t="s">
        <v>282</v>
      </c>
      <c r="C185" s="21" t="s">
        <v>133</v>
      </c>
      <c r="D185" s="21" t="s">
        <v>85</v>
      </c>
      <c r="E185" s="21" t="s">
        <v>742</v>
      </c>
      <c r="F185" s="21" t="s">
        <v>743</v>
      </c>
      <c r="G185" s="21" t="s">
        <v>744</v>
      </c>
      <c r="H185" s="22" t="s">
        <v>1122</v>
      </c>
      <c r="I185" s="22" t="s">
        <v>1123</v>
      </c>
      <c r="J185" s="22"/>
    </row>
    <row r="186" customFormat="false" ht="23.85" hidden="false" customHeight="false" outlineLevel="0" collapsed="false">
      <c r="A186" s="24" t="n">
        <v>26</v>
      </c>
      <c r="B186" s="25" t="s">
        <v>282</v>
      </c>
      <c r="C186" s="24" t="s">
        <v>133</v>
      </c>
      <c r="D186" s="24" t="s">
        <v>85</v>
      </c>
      <c r="E186" s="24" t="s">
        <v>742</v>
      </c>
      <c r="F186" s="24" t="s">
        <v>747</v>
      </c>
      <c r="G186" s="24" t="s">
        <v>748</v>
      </c>
      <c r="H186" s="25" t="s">
        <v>1124</v>
      </c>
      <c r="I186" s="25" t="s">
        <v>1125</v>
      </c>
      <c r="J186" s="25"/>
    </row>
    <row r="187" customFormat="false" ht="35.05" hidden="false" customHeight="false" outlineLevel="0" collapsed="false">
      <c r="A187" s="16" t="n">
        <v>27</v>
      </c>
      <c r="B187" s="17" t="s">
        <v>287</v>
      </c>
      <c r="C187" s="16" t="s">
        <v>133</v>
      </c>
      <c r="D187" s="16" t="s">
        <v>164</v>
      </c>
      <c r="E187" s="16" t="s">
        <v>719</v>
      </c>
      <c r="F187" s="16" t="s">
        <v>720</v>
      </c>
      <c r="G187" s="16" t="s">
        <v>721</v>
      </c>
      <c r="H187" s="18" t="s">
        <v>1126</v>
      </c>
      <c r="I187" s="17" t="s">
        <v>1127</v>
      </c>
      <c r="J187" s="17" t="s">
        <v>1128</v>
      </c>
    </row>
    <row r="188" customFormat="false" ht="15" hidden="false" customHeight="false" outlineLevel="0" collapsed="false">
      <c r="A188" s="16" t="n">
        <v>27</v>
      </c>
      <c r="B188" s="17" t="s">
        <v>287</v>
      </c>
      <c r="C188" s="16" t="s">
        <v>133</v>
      </c>
      <c r="D188" s="16" t="s">
        <v>164</v>
      </c>
      <c r="E188" s="16" t="s">
        <v>719</v>
      </c>
      <c r="F188" s="16" t="s">
        <v>725</v>
      </c>
      <c r="G188" s="16" t="s">
        <v>726</v>
      </c>
      <c r="H188" s="17" t="s">
        <v>1129</v>
      </c>
      <c r="I188" s="17" t="s">
        <v>1130</v>
      </c>
      <c r="J188" s="17"/>
    </row>
    <row r="189" customFormat="false" ht="23.85" hidden="false" customHeight="false" outlineLevel="0" collapsed="false">
      <c r="A189" s="16" t="n">
        <v>27</v>
      </c>
      <c r="B189" s="17" t="s">
        <v>287</v>
      </c>
      <c r="C189" s="16" t="s">
        <v>133</v>
      </c>
      <c r="D189" s="16" t="s">
        <v>164</v>
      </c>
      <c r="E189" s="16" t="s">
        <v>729</v>
      </c>
      <c r="F189" s="16" t="s">
        <v>730</v>
      </c>
      <c r="G189" s="16" t="s">
        <v>731</v>
      </c>
      <c r="H189" s="17" t="s">
        <v>1131</v>
      </c>
      <c r="I189" s="17" t="s">
        <v>1132</v>
      </c>
      <c r="J189" s="17"/>
    </row>
    <row r="190" customFormat="false" ht="23.85" hidden="false" customHeight="false" outlineLevel="0" collapsed="false">
      <c r="A190" s="16" t="n">
        <v>27</v>
      </c>
      <c r="B190" s="17" t="s">
        <v>287</v>
      </c>
      <c r="C190" s="16" t="s">
        <v>133</v>
      </c>
      <c r="D190" s="16" t="s">
        <v>164</v>
      </c>
      <c r="E190" s="16" t="s">
        <v>729</v>
      </c>
      <c r="F190" s="16" t="s">
        <v>734</v>
      </c>
      <c r="G190" s="16" t="s">
        <v>735</v>
      </c>
      <c r="H190" s="17" t="s">
        <v>1133</v>
      </c>
      <c r="I190" s="17" t="s">
        <v>1134</v>
      </c>
      <c r="J190" s="17"/>
    </row>
    <row r="191" customFormat="false" ht="15" hidden="false" customHeight="false" outlineLevel="0" collapsed="false">
      <c r="A191" s="16" t="n">
        <v>27</v>
      </c>
      <c r="B191" s="17" t="s">
        <v>287</v>
      </c>
      <c r="C191" s="16" t="s">
        <v>133</v>
      </c>
      <c r="D191" s="16" t="s">
        <v>164</v>
      </c>
      <c r="E191" s="16" t="s">
        <v>729</v>
      </c>
      <c r="F191" s="16" t="s">
        <v>738</v>
      </c>
      <c r="G191" s="16" t="s">
        <v>739</v>
      </c>
      <c r="H191" s="17" t="s">
        <v>1135</v>
      </c>
      <c r="I191" s="17" t="s">
        <v>1136</v>
      </c>
      <c r="J191" s="17"/>
    </row>
    <row r="192" customFormat="false" ht="15" hidden="false" customHeight="false" outlineLevel="0" collapsed="false">
      <c r="A192" s="16" t="n">
        <v>27</v>
      </c>
      <c r="B192" s="17" t="s">
        <v>287</v>
      </c>
      <c r="C192" s="16" t="s">
        <v>133</v>
      </c>
      <c r="D192" s="16" t="s">
        <v>164</v>
      </c>
      <c r="E192" s="16" t="s">
        <v>742</v>
      </c>
      <c r="F192" s="16" t="s">
        <v>743</v>
      </c>
      <c r="G192" s="16" t="s">
        <v>744</v>
      </c>
      <c r="H192" s="17" t="s">
        <v>1137</v>
      </c>
      <c r="I192" s="17" t="s">
        <v>1138</v>
      </c>
      <c r="J192" s="17"/>
    </row>
    <row r="193" customFormat="false" ht="23.85" hidden="false" customHeight="false" outlineLevel="0" collapsed="false">
      <c r="A193" s="19" t="n">
        <v>27</v>
      </c>
      <c r="B193" s="20" t="s">
        <v>287</v>
      </c>
      <c r="C193" s="19" t="s">
        <v>133</v>
      </c>
      <c r="D193" s="19" t="s">
        <v>164</v>
      </c>
      <c r="E193" s="19" t="s">
        <v>742</v>
      </c>
      <c r="F193" s="19" t="s">
        <v>747</v>
      </c>
      <c r="G193" s="19" t="s">
        <v>748</v>
      </c>
      <c r="H193" s="20" t="s">
        <v>1139</v>
      </c>
      <c r="I193" s="20" t="s">
        <v>1140</v>
      </c>
      <c r="J193" s="20"/>
    </row>
    <row r="194" customFormat="false" ht="23.85" hidden="false" customHeight="false" outlineLevel="0" collapsed="false">
      <c r="A194" s="21" t="n">
        <v>28</v>
      </c>
      <c r="B194" s="22" t="s">
        <v>291</v>
      </c>
      <c r="C194" s="21" t="s">
        <v>133</v>
      </c>
      <c r="D194" s="21" t="s">
        <v>72</v>
      </c>
      <c r="E194" s="21" t="s">
        <v>719</v>
      </c>
      <c r="F194" s="21" t="s">
        <v>720</v>
      </c>
      <c r="G194" s="21" t="s">
        <v>721</v>
      </c>
      <c r="H194" s="23" t="s">
        <v>1141</v>
      </c>
      <c r="I194" s="22" t="s">
        <v>1142</v>
      </c>
      <c r="J194" s="22" t="s">
        <v>1143</v>
      </c>
    </row>
    <row r="195" customFormat="false" ht="15" hidden="false" customHeight="false" outlineLevel="0" collapsed="false">
      <c r="A195" s="21" t="n">
        <v>28</v>
      </c>
      <c r="B195" s="22" t="s">
        <v>291</v>
      </c>
      <c r="C195" s="21" t="s">
        <v>133</v>
      </c>
      <c r="D195" s="21" t="s">
        <v>72</v>
      </c>
      <c r="E195" s="21" t="s">
        <v>719</v>
      </c>
      <c r="F195" s="21" t="s">
        <v>725</v>
      </c>
      <c r="G195" s="21" t="s">
        <v>726</v>
      </c>
      <c r="H195" s="22" t="s">
        <v>1144</v>
      </c>
      <c r="I195" s="22" t="s">
        <v>1145</v>
      </c>
      <c r="J195" s="22"/>
    </row>
    <row r="196" customFormat="false" ht="15" hidden="false" customHeight="false" outlineLevel="0" collapsed="false">
      <c r="A196" s="21" t="n">
        <v>28</v>
      </c>
      <c r="B196" s="22" t="s">
        <v>291</v>
      </c>
      <c r="C196" s="21" t="s">
        <v>133</v>
      </c>
      <c r="D196" s="21" t="s">
        <v>72</v>
      </c>
      <c r="E196" s="21" t="s">
        <v>729</v>
      </c>
      <c r="F196" s="21" t="s">
        <v>730</v>
      </c>
      <c r="G196" s="21" t="s">
        <v>731</v>
      </c>
      <c r="H196" s="22" t="s">
        <v>1146</v>
      </c>
      <c r="I196" s="22" t="s">
        <v>1147</v>
      </c>
      <c r="J196" s="22"/>
    </row>
    <row r="197" customFormat="false" ht="15" hidden="false" customHeight="false" outlineLevel="0" collapsed="false">
      <c r="A197" s="21" t="n">
        <v>28</v>
      </c>
      <c r="B197" s="22" t="s">
        <v>291</v>
      </c>
      <c r="C197" s="21" t="s">
        <v>133</v>
      </c>
      <c r="D197" s="21" t="s">
        <v>72</v>
      </c>
      <c r="E197" s="21" t="s">
        <v>729</v>
      </c>
      <c r="F197" s="21" t="s">
        <v>734</v>
      </c>
      <c r="G197" s="21" t="s">
        <v>735</v>
      </c>
      <c r="H197" s="22" t="s">
        <v>1148</v>
      </c>
      <c r="I197" s="22" t="s">
        <v>1149</v>
      </c>
      <c r="J197" s="22"/>
    </row>
    <row r="198" customFormat="false" ht="15" hidden="false" customHeight="false" outlineLevel="0" collapsed="false">
      <c r="A198" s="21" t="n">
        <v>28</v>
      </c>
      <c r="B198" s="22" t="s">
        <v>291</v>
      </c>
      <c r="C198" s="21" t="s">
        <v>133</v>
      </c>
      <c r="D198" s="21" t="s">
        <v>72</v>
      </c>
      <c r="E198" s="21" t="s">
        <v>729</v>
      </c>
      <c r="F198" s="21" t="s">
        <v>738</v>
      </c>
      <c r="G198" s="21" t="s">
        <v>739</v>
      </c>
      <c r="H198" s="22" t="s">
        <v>1150</v>
      </c>
      <c r="I198" s="22" t="s">
        <v>1151</v>
      </c>
      <c r="J198" s="22"/>
    </row>
    <row r="199" customFormat="false" ht="15" hidden="false" customHeight="false" outlineLevel="0" collapsed="false">
      <c r="A199" s="21" t="n">
        <v>28</v>
      </c>
      <c r="B199" s="22" t="s">
        <v>291</v>
      </c>
      <c r="C199" s="21" t="s">
        <v>133</v>
      </c>
      <c r="D199" s="21" t="s">
        <v>72</v>
      </c>
      <c r="E199" s="21" t="s">
        <v>742</v>
      </c>
      <c r="F199" s="21" t="s">
        <v>743</v>
      </c>
      <c r="G199" s="21" t="s">
        <v>744</v>
      </c>
      <c r="H199" s="22" t="s">
        <v>1152</v>
      </c>
      <c r="I199" s="22" t="s">
        <v>1153</v>
      </c>
      <c r="J199" s="22"/>
    </row>
    <row r="200" customFormat="false" ht="23.85" hidden="false" customHeight="false" outlineLevel="0" collapsed="false">
      <c r="A200" s="24" t="n">
        <v>28</v>
      </c>
      <c r="B200" s="25" t="s">
        <v>291</v>
      </c>
      <c r="C200" s="24" t="s">
        <v>133</v>
      </c>
      <c r="D200" s="24" t="s">
        <v>72</v>
      </c>
      <c r="E200" s="24" t="s">
        <v>742</v>
      </c>
      <c r="F200" s="24" t="s">
        <v>747</v>
      </c>
      <c r="G200" s="24" t="s">
        <v>748</v>
      </c>
      <c r="H200" s="25" t="s">
        <v>1154</v>
      </c>
      <c r="I200" s="25" t="s">
        <v>1155</v>
      </c>
      <c r="J200" s="25"/>
    </row>
    <row r="201" customFormat="false" ht="23.85" hidden="false" customHeight="false" outlineLevel="0" collapsed="false">
      <c r="A201" s="16" t="n">
        <v>29</v>
      </c>
      <c r="B201" s="17" t="s">
        <v>295</v>
      </c>
      <c r="C201" s="16" t="s">
        <v>133</v>
      </c>
      <c r="D201" s="16" t="s">
        <v>96</v>
      </c>
      <c r="E201" s="16" t="s">
        <v>719</v>
      </c>
      <c r="F201" s="16" t="s">
        <v>720</v>
      </c>
      <c r="G201" s="16" t="s">
        <v>721</v>
      </c>
      <c r="H201" s="18" t="s">
        <v>1156</v>
      </c>
      <c r="I201" s="17" t="s">
        <v>1157</v>
      </c>
      <c r="J201" s="17" t="s">
        <v>1158</v>
      </c>
    </row>
    <row r="202" customFormat="false" ht="15" hidden="false" customHeight="false" outlineLevel="0" collapsed="false">
      <c r="A202" s="16" t="n">
        <v>29</v>
      </c>
      <c r="B202" s="17" t="s">
        <v>295</v>
      </c>
      <c r="C202" s="16" t="s">
        <v>133</v>
      </c>
      <c r="D202" s="16" t="s">
        <v>96</v>
      </c>
      <c r="E202" s="16" t="s">
        <v>719</v>
      </c>
      <c r="F202" s="16" t="s">
        <v>725</v>
      </c>
      <c r="G202" s="16" t="s">
        <v>726</v>
      </c>
      <c r="H202" s="17" t="s">
        <v>1159</v>
      </c>
      <c r="I202" s="17" t="s">
        <v>1160</v>
      </c>
      <c r="J202" s="17"/>
    </row>
    <row r="203" customFormat="false" ht="23.85" hidden="false" customHeight="false" outlineLevel="0" collapsed="false">
      <c r="A203" s="16" t="n">
        <v>29</v>
      </c>
      <c r="B203" s="17" t="s">
        <v>295</v>
      </c>
      <c r="C203" s="16" t="s">
        <v>133</v>
      </c>
      <c r="D203" s="16" t="s">
        <v>96</v>
      </c>
      <c r="E203" s="16" t="s">
        <v>729</v>
      </c>
      <c r="F203" s="16" t="s">
        <v>730</v>
      </c>
      <c r="G203" s="16" t="s">
        <v>731</v>
      </c>
      <c r="H203" s="17" t="s">
        <v>1161</v>
      </c>
      <c r="I203" s="17" t="s">
        <v>1162</v>
      </c>
      <c r="J203" s="17"/>
    </row>
    <row r="204" customFormat="false" ht="15" hidden="false" customHeight="false" outlineLevel="0" collapsed="false">
      <c r="A204" s="16" t="n">
        <v>29</v>
      </c>
      <c r="B204" s="17" t="s">
        <v>295</v>
      </c>
      <c r="C204" s="16" t="s">
        <v>133</v>
      </c>
      <c r="D204" s="16" t="s">
        <v>96</v>
      </c>
      <c r="E204" s="16" t="s">
        <v>729</v>
      </c>
      <c r="F204" s="16" t="s">
        <v>734</v>
      </c>
      <c r="G204" s="16" t="s">
        <v>735</v>
      </c>
      <c r="H204" s="17" t="s">
        <v>1163</v>
      </c>
      <c r="I204" s="17" t="s">
        <v>1164</v>
      </c>
      <c r="J204" s="17"/>
    </row>
    <row r="205" customFormat="false" ht="15" hidden="false" customHeight="false" outlineLevel="0" collapsed="false">
      <c r="A205" s="16" t="n">
        <v>29</v>
      </c>
      <c r="B205" s="17" t="s">
        <v>295</v>
      </c>
      <c r="C205" s="16" t="s">
        <v>133</v>
      </c>
      <c r="D205" s="16" t="s">
        <v>96</v>
      </c>
      <c r="E205" s="16" t="s">
        <v>729</v>
      </c>
      <c r="F205" s="16" t="s">
        <v>738</v>
      </c>
      <c r="G205" s="16" t="s">
        <v>739</v>
      </c>
      <c r="H205" s="17" t="s">
        <v>1165</v>
      </c>
      <c r="I205" s="17" t="s">
        <v>1166</v>
      </c>
      <c r="J205" s="17"/>
    </row>
    <row r="206" customFormat="false" ht="15" hidden="false" customHeight="false" outlineLevel="0" collapsed="false">
      <c r="A206" s="16" t="n">
        <v>29</v>
      </c>
      <c r="B206" s="17" t="s">
        <v>295</v>
      </c>
      <c r="C206" s="16" t="s">
        <v>133</v>
      </c>
      <c r="D206" s="16" t="s">
        <v>96</v>
      </c>
      <c r="E206" s="16" t="s">
        <v>742</v>
      </c>
      <c r="F206" s="16" t="s">
        <v>743</v>
      </c>
      <c r="G206" s="16" t="s">
        <v>744</v>
      </c>
      <c r="H206" s="17" t="s">
        <v>1167</v>
      </c>
      <c r="I206" s="17" t="s">
        <v>1168</v>
      </c>
      <c r="J206" s="17"/>
    </row>
    <row r="207" customFormat="false" ht="23.85" hidden="false" customHeight="false" outlineLevel="0" collapsed="false">
      <c r="A207" s="19" t="n">
        <v>29</v>
      </c>
      <c r="B207" s="20" t="s">
        <v>295</v>
      </c>
      <c r="C207" s="19" t="s">
        <v>133</v>
      </c>
      <c r="D207" s="19" t="s">
        <v>96</v>
      </c>
      <c r="E207" s="19" t="s">
        <v>742</v>
      </c>
      <c r="F207" s="19" t="s">
        <v>747</v>
      </c>
      <c r="G207" s="19" t="s">
        <v>748</v>
      </c>
      <c r="H207" s="20" t="s">
        <v>1169</v>
      </c>
      <c r="I207" s="20" t="s">
        <v>1170</v>
      </c>
      <c r="J207" s="20"/>
    </row>
    <row r="208" customFormat="false" ht="23.85" hidden="false" customHeight="false" outlineLevel="0" collapsed="false">
      <c r="A208" s="21" t="n">
        <v>30</v>
      </c>
      <c r="B208" s="22" t="s">
        <v>300</v>
      </c>
      <c r="C208" s="21" t="s">
        <v>133</v>
      </c>
      <c r="D208" s="21" t="s">
        <v>96</v>
      </c>
      <c r="E208" s="21" t="s">
        <v>719</v>
      </c>
      <c r="F208" s="21" t="s">
        <v>720</v>
      </c>
      <c r="G208" s="21" t="s">
        <v>721</v>
      </c>
      <c r="H208" s="23" t="s">
        <v>1171</v>
      </c>
      <c r="I208" s="22" t="s">
        <v>1172</v>
      </c>
      <c r="J208" s="22" t="s">
        <v>1173</v>
      </c>
    </row>
    <row r="209" customFormat="false" ht="15" hidden="false" customHeight="false" outlineLevel="0" collapsed="false">
      <c r="A209" s="21" t="n">
        <v>30</v>
      </c>
      <c r="B209" s="22" t="s">
        <v>300</v>
      </c>
      <c r="C209" s="21" t="s">
        <v>133</v>
      </c>
      <c r="D209" s="21" t="s">
        <v>96</v>
      </c>
      <c r="E209" s="21" t="s">
        <v>719</v>
      </c>
      <c r="F209" s="21" t="s">
        <v>725</v>
      </c>
      <c r="G209" s="21" t="s">
        <v>726</v>
      </c>
      <c r="H209" s="22" t="s">
        <v>1174</v>
      </c>
      <c r="I209" s="22" t="s">
        <v>1175</v>
      </c>
      <c r="J209" s="22"/>
    </row>
    <row r="210" customFormat="false" ht="23.85" hidden="false" customHeight="false" outlineLevel="0" collapsed="false">
      <c r="A210" s="21" t="n">
        <v>30</v>
      </c>
      <c r="B210" s="22" t="s">
        <v>300</v>
      </c>
      <c r="C210" s="21" t="s">
        <v>133</v>
      </c>
      <c r="D210" s="21" t="s">
        <v>96</v>
      </c>
      <c r="E210" s="21" t="s">
        <v>729</v>
      </c>
      <c r="F210" s="21" t="s">
        <v>730</v>
      </c>
      <c r="G210" s="21" t="s">
        <v>731</v>
      </c>
      <c r="H210" s="22" t="s">
        <v>1176</v>
      </c>
      <c r="I210" s="22" t="s">
        <v>1177</v>
      </c>
      <c r="J210" s="22"/>
    </row>
    <row r="211" customFormat="false" ht="23.85" hidden="false" customHeight="false" outlineLevel="0" collapsed="false">
      <c r="A211" s="21" t="n">
        <v>30</v>
      </c>
      <c r="B211" s="22" t="s">
        <v>300</v>
      </c>
      <c r="C211" s="21" t="s">
        <v>133</v>
      </c>
      <c r="D211" s="21" t="s">
        <v>96</v>
      </c>
      <c r="E211" s="21" t="s">
        <v>729</v>
      </c>
      <c r="F211" s="21" t="s">
        <v>734</v>
      </c>
      <c r="G211" s="21" t="s">
        <v>735</v>
      </c>
      <c r="H211" s="22" t="s">
        <v>1178</v>
      </c>
      <c r="I211" s="22" t="s">
        <v>1179</v>
      </c>
      <c r="J211" s="22"/>
    </row>
    <row r="212" customFormat="false" ht="15" hidden="false" customHeight="false" outlineLevel="0" collapsed="false">
      <c r="A212" s="21" t="n">
        <v>30</v>
      </c>
      <c r="B212" s="22" t="s">
        <v>300</v>
      </c>
      <c r="C212" s="21" t="s">
        <v>133</v>
      </c>
      <c r="D212" s="21" t="s">
        <v>96</v>
      </c>
      <c r="E212" s="21" t="s">
        <v>729</v>
      </c>
      <c r="F212" s="21" t="s">
        <v>738</v>
      </c>
      <c r="G212" s="21" t="s">
        <v>739</v>
      </c>
      <c r="H212" s="22" t="s">
        <v>1180</v>
      </c>
      <c r="I212" s="22" t="s">
        <v>1181</v>
      </c>
      <c r="J212" s="22"/>
    </row>
    <row r="213" customFormat="false" ht="15" hidden="false" customHeight="false" outlineLevel="0" collapsed="false">
      <c r="A213" s="21" t="n">
        <v>30</v>
      </c>
      <c r="B213" s="22" t="s">
        <v>300</v>
      </c>
      <c r="C213" s="21" t="s">
        <v>133</v>
      </c>
      <c r="D213" s="21" t="s">
        <v>96</v>
      </c>
      <c r="E213" s="21" t="s">
        <v>742</v>
      </c>
      <c r="F213" s="21" t="s">
        <v>743</v>
      </c>
      <c r="G213" s="21" t="s">
        <v>744</v>
      </c>
      <c r="H213" s="22" t="s">
        <v>1182</v>
      </c>
      <c r="I213" s="22" t="s">
        <v>1183</v>
      </c>
      <c r="J213" s="22"/>
    </row>
    <row r="214" customFormat="false" ht="23.85" hidden="false" customHeight="false" outlineLevel="0" collapsed="false">
      <c r="A214" s="24" t="n">
        <v>30</v>
      </c>
      <c r="B214" s="25" t="s">
        <v>300</v>
      </c>
      <c r="C214" s="24" t="s">
        <v>133</v>
      </c>
      <c r="D214" s="24" t="s">
        <v>96</v>
      </c>
      <c r="E214" s="24" t="s">
        <v>742</v>
      </c>
      <c r="F214" s="24" t="s">
        <v>747</v>
      </c>
      <c r="G214" s="24" t="s">
        <v>748</v>
      </c>
      <c r="H214" s="25" t="s">
        <v>1184</v>
      </c>
      <c r="I214" s="25" t="s">
        <v>1185</v>
      </c>
      <c r="J214" s="25"/>
    </row>
    <row r="215" customFormat="false" ht="23.85" hidden="false" customHeight="false" outlineLevel="0" collapsed="false">
      <c r="A215" s="16" t="n">
        <v>31</v>
      </c>
      <c r="B215" s="17" t="s">
        <v>305</v>
      </c>
      <c r="C215" s="16" t="s">
        <v>133</v>
      </c>
      <c r="D215" s="16" t="s">
        <v>96</v>
      </c>
      <c r="E215" s="16" t="s">
        <v>719</v>
      </c>
      <c r="F215" s="16" t="s">
        <v>720</v>
      </c>
      <c r="G215" s="16" t="s">
        <v>721</v>
      </c>
      <c r="H215" s="18" t="s">
        <v>1186</v>
      </c>
      <c r="I215" s="17" t="s">
        <v>1187</v>
      </c>
      <c r="J215" s="17" t="s">
        <v>1188</v>
      </c>
    </row>
    <row r="216" customFormat="false" ht="15" hidden="false" customHeight="false" outlineLevel="0" collapsed="false">
      <c r="A216" s="16" t="n">
        <v>31</v>
      </c>
      <c r="B216" s="17" t="s">
        <v>305</v>
      </c>
      <c r="C216" s="16" t="s">
        <v>133</v>
      </c>
      <c r="D216" s="16" t="s">
        <v>96</v>
      </c>
      <c r="E216" s="16" t="s">
        <v>719</v>
      </c>
      <c r="F216" s="16" t="s">
        <v>725</v>
      </c>
      <c r="G216" s="16" t="s">
        <v>726</v>
      </c>
      <c r="H216" s="17" t="s">
        <v>1189</v>
      </c>
      <c r="I216" s="17" t="s">
        <v>1190</v>
      </c>
      <c r="J216" s="17"/>
    </row>
    <row r="217" customFormat="false" ht="23.85" hidden="false" customHeight="false" outlineLevel="0" collapsed="false">
      <c r="A217" s="16" t="n">
        <v>31</v>
      </c>
      <c r="B217" s="17" t="s">
        <v>305</v>
      </c>
      <c r="C217" s="16" t="s">
        <v>133</v>
      </c>
      <c r="D217" s="16" t="s">
        <v>96</v>
      </c>
      <c r="E217" s="16" t="s">
        <v>729</v>
      </c>
      <c r="F217" s="16" t="s">
        <v>730</v>
      </c>
      <c r="G217" s="16" t="s">
        <v>731</v>
      </c>
      <c r="H217" s="17" t="s">
        <v>1191</v>
      </c>
      <c r="I217" s="17" t="s">
        <v>1192</v>
      </c>
      <c r="J217" s="17"/>
    </row>
    <row r="218" customFormat="false" ht="23.85" hidden="false" customHeight="false" outlineLevel="0" collapsed="false">
      <c r="A218" s="16" t="n">
        <v>31</v>
      </c>
      <c r="B218" s="17" t="s">
        <v>305</v>
      </c>
      <c r="C218" s="16" t="s">
        <v>133</v>
      </c>
      <c r="D218" s="16" t="s">
        <v>96</v>
      </c>
      <c r="E218" s="16" t="s">
        <v>729</v>
      </c>
      <c r="F218" s="16" t="s">
        <v>734</v>
      </c>
      <c r="G218" s="16" t="s">
        <v>735</v>
      </c>
      <c r="H218" s="17" t="s">
        <v>1193</v>
      </c>
      <c r="I218" s="17" t="s">
        <v>1194</v>
      </c>
      <c r="J218" s="17"/>
    </row>
    <row r="219" customFormat="false" ht="15" hidden="false" customHeight="false" outlineLevel="0" collapsed="false">
      <c r="A219" s="16" t="n">
        <v>31</v>
      </c>
      <c r="B219" s="17" t="s">
        <v>305</v>
      </c>
      <c r="C219" s="16" t="s">
        <v>133</v>
      </c>
      <c r="D219" s="16" t="s">
        <v>96</v>
      </c>
      <c r="E219" s="16" t="s">
        <v>729</v>
      </c>
      <c r="F219" s="16" t="s">
        <v>738</v>
      </c>
      <c r="G219" s="16" t="s">
        <v>739</v>
      </c>
      <c r="H219" s="17" t="s">
        <v>1195</v>
      </c>
      <c r="I219" s="17" t="s">
        <v>1196</v>
      </c>
      <c r="J219" s="17"/>
    </row>
    <row r="220" customFormat="false" ht="15" hidden="false" customHeight="false" outlineLevel="0" collapsed="false">
      <c r="A220" s="16" t="n">
        <v>31</v>
      </c>
      <c r="B220" s="17" t="s">
        <v>305</v>
      </c>
      <c r="C220" s="16" t="s">
        <v>133</v>
      </c>
      <c r="D220" s="16" t="s">
        <v>96</v>
      </c>
      <c r="E220" s="16" t="s">
        <v>742</v>
      </c>
      <c r="F220" s="16" t="s">
        <v>743</v>
      </c>
      <c r="G220" s="16" t="s">
        <v>744</v>
      </c>
      <c r="H220" s="17" t="s">
        <v>1197</v>
      </c>
      <c r="I220" s="17" t="s">
        <v>1198</v>
      </c>
      <c r="J220" s="17"/>
    </row>
    <row r="221" customFormat="false" ht="23.85" hidden="false" customHeight="false" outlineLevel="0" collapsed="false">
      <c r="A221" s="19" t="n">
        <v>31</v>
      </c>
      <c r="B221" s="20" t="s">
        <v>305</v>
      </c>
      <c r="C221" s="19" t="s">
        <v>133</v>
      </c>
      <c r="D221" s="19" t="s">
        <v>96</v>
      </c>
      <c r="E221" s="19" t="s">
        <v>742</v>
      </c>
      <c r="F221" s="19" t="s">
        <v>747</v>
      </c>
      <c r="G221" s="19" t="s">
        <v>748</v>
      </c>
      <c r="H221" s="20" t="s">
        <v>1199</v>
      </c>
      <c r="I221" s="20" t="s">
        <v>1200</v>
      </c>
      <c r="J221" s="20"/>
    </row>
    <row r="222" customFormat="false" ht="35.05" hidden="false" customHeight="false" outlineLevel="0" collapsed="false">
      <c r="A222" s="21" t="n">
        <v>32</v>
      </c>
      <c r="B222" s="22" t="s">
        <v>309</v>
      </c>
      <c r="C222" s="21" t="s">
        <v>90</v>
      </c>
      <c r="D222" s="21" t="s">
        <v>317</v>
      </c>
      <c r="E222" s="21" t="s">
        <v>719</v>
      </c>
      <c r="F222" s="21" t="s">
        <v>720</v>
      </c>
      <c r="G222" s="21" t="s">
        <v>721</v>
      </c>
      <c r="H222" s="23" t="s">
        <v>1201</v>
      </c>
      <c r="I222" s="22" t="s">
        <v>1202</v>
      </c>
      <c r="J222" s="22" t="s">
        <v>1203</v>
      </c>
    </row>
    <row r="223" customFormat="false" ht="15" hidden="false" customHeight="false" outlineLevel="0" collapsed="false">
      <c r="A223" s="21" t="n">
        <v>32</v>
      </c>
      <c r="B223" s="22" t="s">
        <v>309</v>
      </c>
      <c r="C223" s="21" t="s">
        <v>90</v>
      </c>
      <c r="D223" s="21" t="s">
        <v>317</v>
      </c>
      <c r="E223" s="21" t="s">
        <v>719</v>
      </c>
      <c r="F223" s="21" t="s">
        <v>725</v>
      </c>
      <c r="G223" s="21" t="s">
        <v>726</v>
      </c>
      <c r="H223" s="22" t="s">
        <v>1204</v>
      </c>
      <c r="I223" s="22" t="s">
        <v>1205</v>
      </c>
      <c r="J223" s="22"/>
    </row>
    <row r="224" customFormat="false" ht="15" hidden="false" customHeight="false" outlineLevel="0" collapsed="false">
      <c r="A224" s="21" t="n">
        <v>32</v>
      </c>
      <c r="B224" s="22" t="s">
        <v>309</v>
      </c>
      <c r="C224" s="21" t="s">
        <v>90</v>
      </c>
      <c r="D224" s="21" t="s">
        <v>317</v>
      </c>
      <c r="E224" s="21" t="s">
        <v>729</v>
      </c>
      <c r="F224" s="21" t="s">
        <v>730</v>
      </c>
      <c r="G224" s="21" t="s">
        <v>731</v>
      </c>
      <c r="H224" s="22" t="s">
        <v>1206</v>
      </c>
      <c r="I224" s="22" t="s">
        <v>1207</v>
      </c>
      <c r="J224" s="22"/>
    </row>
    <row r="225" customFormat="false" ht="23.85" hidden="false" customHeight="false" outlineLevel="0" collapsed="false">
      <c r="A225" s="21" t="n">
        <v>32</v>
      </c>
      <c r="B225" s="22" t="s">
        <v>309</v>
      </c>
      <c r="C225" s="21" t="s">
        <v>90</v>
      </c>
      <c r="D225" s="21" t="s">
        <v>317</v>
      </c>
      <c r="E225" s="21" t="s">
        <v>729</v>
      </c>
      <c r="F225" s="21" t="s">
        <v>734</v>
      </c>
      <c r="G225" s="21" t="s">
        <v>735</v>
      </c>
      <c r="H225" s="22" t="s">
        <v>1208</v>
      </c>
      <c r="I225" s="22" t="s">
        <v>1209</v>
      </c>
      <c r="J225" s="22"/>
    </row>
    <row r="226" customFormat="false" ht="15" hidden="false" customHeight="false" outlineLevel="0" collapsed="false">
      <c r="A226" s="21" t="n">
        <v>32</v>
      </c>
      <c r="B226" s="22" t="s">
        <v>309</v>
      </c>
      <c r="C226" s="21" t="s">
        <v>90</v>
      </c>
      <c r="D226" s="21" t="s">
        <v>317</v>
      </c>
      <c r="E226" s="21" t="s">
        <v>729</v>
      </c>
      <c r="F226" s="21" t="s">
        <v>738</v>
      </c>
      <c r="G226" s="21" t="s">
        <v>739</v>
      </c>
      <c r="H226" s="22" t="s">
        <v>1210</v>
      </c>
      <c r="I226" s="22" t="s">
        <v>1211</v>
      </c>
      <c r="J226" s="22"/>
    </row>
    <row r="227" customFormat="false" ht="15" hidden="false" customHeight="false" outlineLevel="0" collapsed="false">
      <c r="A227" s="21" t="n">
        <v>32</v>
      </c>
      <c r="B227" s="22" t="s">
        <v>309</v>
      </c>
      <c r="C227" s="21" t="s">
        <v>90</v>
      </c>
      <c r="D227" s="21" t="s">
        <v>317</v>
      </c>
      <c r="E227" s="21" t="s">
        <v>742</v>
      </c>
      <c r="F227" s="21" t="s">
        <v>743</v>
      </c>
      <c r="G227" s="21" t="s">
        <v>744</v>
      </c>
      <c r="H227" s="22" t="s">
        <v>1212</v>
      </c>
      <c r="I227" s="22" t="s">
        <v>1213</v>
      </c>
      <c r="J227" s="22"/>
    </row>
    <row r="228" customFormat="false" ht="23.85" hidden="false" customHeight="false" outlineLevel="0" collapsed="false">
      <c r="A228" s="24" t="n">
        <v>32</v>
      </c>
      <c r="B228" s="25" t="s">
        <v>309</v>
      </c>
      <c r="C228" s="24" t="s">
        <v>90</v>
      </c>
      <c r="D228" s="24" t="s">
        <v>317</v>
      </c>
      <c r="E228" s="24" t="s">
        <v>742</v>
      </c>
      <c r="F228" s="24" t="s">
        <v>747</v>
      </c>
      <c r="G228" s="24" t="s">
        <v>748</v>
      </c>
      <c r="H228" s="25" t="s">
        <v>1214</v>
      </c>
      <c r="I228" s="25" t="s">
        <v>1215</v>
      </c>
      <c r="J228" s="25"/>
    </row>
    <row r="229" customFormat="false" ht="23.85" hidden="false" customHeight="false" outlineLevel="0" collapsed="false">
      <c r="A229" s="16" t="n">
        <v>33</v>
      </c>
      <c r="B229" s="17" t="s">
        <v>318</v>
      </c>
      <c r="C229" s="16" t="s">
        <v>133</v>
      </c>
      <c r="D229" s="16" t="s">
        <v>96</v>
      </c>
      <c r="E229" s="16" t="s">
        <v>719</v>
      </c>
      <c r="F229" s="16" t="s">
        <v>720</v>
      </c>
      <c r="G229" s="16" t="s">
        <v>721</v>
      </c>
      <c r="H229" s="18" t="s">
        <v>1216</v>
      </c>
      <c r="I229" s="17" t="s">
        <v>1217</v>
      </c>
      <c r="J229" s="17" t="s">
        <v>1218</v>
      </c>
    </row>
    <row r="230" customFormat="false" ht="15" hidden="false" customHeight="false" outlineLevel="0" collapsed="false">
      <c r="A230" s="16" t="n">
        <v>33</v>
      </c>
      <c r="B230" s="17" t="s">
        <v>318</v>
      </c>
      <c r="C230" s="16" t="s">
        <v>133</v>
      </c>
      <c r="D230" s="16" t="s">
        <v>96</v>
      </c>
      <c r="E230" s="16" t="s">
        <v>719</v>
      </c>
      <c r="F230" s="16" t="s">
        <v>725</v>
      </c>
      <c r="G230" s="16" t="s">
        <v>726</v>
      </c>
      <c r="H230" s="17" t="s">
        <v>1219</v>
      </c>
      <c r="I230" s="17" t="s">
        <v>1220</v>
      </c>
      <c r="J230" s="17"/>
    </row>
    <row r="231" customFormat="false" ht="15" hidden="false" customHeight="false" outlineLevel="0" collapsed="false">
      <c r="A231" s="16" t="n">
        <v>33</v>
      </c>
      <c r="B231" s="17" t="s">
        <v>318</v>
      </c>
      <c r="C231" s="16" t="s">
        <v>133</v>
      </c>
      <c r="D231" s="16" t="s">
        <v>96</v>
      </c>
      <c r="E231" s="16" t="s">
        <v>729</v>
      </c>
      <c r="F231" s="16" t="s">
        <v>730</v>
      </c>
      <c r="G231" s="16" t="s">
        <v>731</v>
      </c>
      <c r="H231" s="17" t="s">
        <v>1221</v>
      </c>
      <c r="I231" s="17" t="s">
        <v>1222</v>
      </c>
      <c r="J231" s="17"/>
    </row>
    <row r="232" customFormat="false" ht="15" hidden="false" customHeight="false" outlineLevel="0" collapsed="false">
      <c r="A232" s="16" t="n">
        <v>33</v>
      </c>
      <c r="B232" s="17" t="s">
        <v>318</v>
      </c>
      <c r="C232" s="16" t="s">
        <v>133</v>
      </c>
      <c r="D232" s="16" t="s">
        <v>96</v>
      </c>
      <c r="E232" s="16" t="s">
        <v>729</v>
      </c>
      <c r="F232" s="16" t="s">
        <v>734</v>
      </c>
      <c r="G232" s="16" t="s">
        <v>735</v>
      </c>
      <c r="H232" s="17" t="s">
        <v>1223</v>
      </c>
      <c r="I232" s="17" t="s">
        <v>1224</v>
      </c>
      <c r="J232" s="17"/>
    </row>
    <row r="233" customFormat="false" ht="15" hidden="false" customHeight="false" outlineLevel="0" collapsed="false">
      <c r="A233" s="16" t="n">
        <v>33</v>
      </c>
      <c r="B233" s="17" t="s">
        <v>318</v>
      </c>
      <c r="C233" s="16" t="s">
        <v>133</v>
      </c>
      <c r="D233" s="16" t="s">
        <v>96</v>
      </c>
      <c r="E233" s="16" t="s">
        <v>729</v>
      </c>
      <c r="F233" s="16" t="s">
        <v>738</v>
      </c>
      <c r="G233" s="16" t="s">
        <v>739</v>
      </c>
      <c r="H233" s="17" t="s">
        <v>1225</v>
      </c>
      <c r="I233" s="17" t="s">
        <v>1226</v>
      </c>
      <c r="J233" s="17"/>
    </row>
    <row r="234" customFormat="false" ht="15" hidden="false" customHeight="false" outlineLevel="0" collapsed="false">
      <c r="A234" s="16" t="n">
        <v>33</v>
      </c>
      <c r="B234" s="17" t="s">
        <v>318</v>
      </c>
      <c r="C234" s="16" t="s">
        <v>133</v>
      </c>
      <c r="D234" s="16" t="s">
        <v>96</v>
      </c>
      <c r="E234" s="16" t="s">
        <v>742</v>
      </c>
      <c r="F234" s="16" t="s">
        <v>743</v>
      </c>
      <c r="G234" s="16" t="s">
        <v>744</v>
      </c>
      <c r="H234" s="17" t="s">
        <v>1227</v>
      </c>
      <c r="I234" s="17" t="s">
        <v>1228</v>
      </c>
      <c r="J234" s="17"/>
    </row>
    <row r="235" customFormat="false" ht="23.85" hidden="false" customHeight="false" outlineLevel="0" collapsed="false">
      <c r="A235" s="19" t="n">
        <v>33</v>
      </c>
      <c r="B235" s="20" t="s">
        <v>318</v>
      </c>
      <c r="C235" s="19" t="s">
        <v>133</v>
      </c>
      <c r="D235" s="19" t="s">
        <v>96</v>
      </c>
      <c r="E235" s="19" t="s">
        <v>742</v>
      </c>
      <c r="F235" s="19" t="s">
        <v>747</v>
      </c>
      <c r="G235" s="19" t="s">
        <v>748</v>
      </c>
      <c r="H235" s="20" t="s">
        <v>1229</v>
      </c>
      <c r="I235" s="20" t="s">
        <v>1230</v>
      </c>
      <c r="J235" s="20"/>
    </row>
    <row r="236" customFormat="false" ht="23.85" hidden="false" customHeight="false" outlineLevel="0" collapsed="false">
      <c r="A236" s="21" t="n">
        <v>34</v>
      </c>
      <c r="B236" s="22" t="s">
        <v>323</v>
      </c>
      <c r="C236" s="21" t="s">
        <v>133</v>
      </c>
      <c r="D236" s="21" t="s">
        <v>96</v>
      </c>
      <c r="E236" s="21" t="s">
        <v>719</v>
      </c>
      <c r="F236" s="21" t="s">
        <v>720</v>
      </c>
      <c r="G236" s="21" t="s">
        <v>721</v>
      </c>
      <c r="H236" s="23" t="s">
        <v>1231</v>
      </c>
      <c r="I236" s="22" t="s">
        <v>1232</v>
      </c>
      <c r="J236" s="22" t="s">
        <v>1233</v>
      </c>
    </row>
    <row r="237" customFormat="false" ht="15" hidden="false" customHeight="false" outlineLevel="0" collapsed="false">
      <c r="A237" s="21" t="n">
        <v>34</v>
      </c>
      <c r="B237" s="22" t="s">
        <v>323</v>
      </c>
      <c r="C237" s="21" t="s">
        <v>133</v>
      </c>
      <c r="D237" s="21" t="s">
        <v>96</v>
      </c>
      <c r="E237" s="21" t="s">
        <v>719</v>
      </c>
      <c r="F237" s="21" t="s">
        <v>725</v>
      </c>
      <c r="G237" s="21" t="s">
        <v>726</v>
      </c>
      <c r="H237" s="22" t="s">
        <v>1234</v>
      </c>
      <c r="I237" s="22" t="s">
        <v>1235</v>
      </c>
      <c r="J237" s="22"/>
    </row>
    <row r="238" customFormat="false" ht="23.85" hidden="false" customHeight="false" outlineLevel="0" collapsed="false">
      <c r="A238" s="21" t="n">
        <v>34</v>
      </c>
      <c r="B238" s="22" t="s">
        <v>323</v>
      </c>
      <c r="C238" s="21" t="s">
        <v>133</v>
      </c>
      <c r="D238" s="21" t="s">
        <v>96</v>
      </c>
      <c r="E238" s="21" t="s">
        <v>729</v>
      </c>
      <c r="F238" s="21" t="s">
        <v>730</v>
      </c>
      <c r="G238" s="21" t="s">
        <v>731</v>
      </c>
      <c r="H238" s="22" t="s">
        <v>1236</v>
      </c>
      <c r="I238" s="22" t="s">
        <v>1237</v>
      </c>
      <c r="J238" s="22"/>
    </row>
    <row r="239" customFormat="false" ht="23.85" hidden="false" customHeight="false" outlineLevel="0" collapsed="false">
      <c r="A239" s="21" t="n">
        <v>34</v>
      </c>
      <c r="B239" s="22" t="s">
        <v>323</v>
      </c>
      <c r="C239" s="21" t="s">
        <v>133</v>
      </c>
      <c r="D239" s="21" t="s">
        <v>96</v>
      </c>
      <c r="E239" s="21" t="s">
        <v>729</v>
      </c>
      <c r="F239" s="21" t="s">
        <v>734</v>
      </c>
      <c r="G239" s="21" t="s">
        <v>735</v>
      </c>
      <c r="H239" s="22" t="s">
        <v>1238</v>
      </c>
      <c r="I239" s="22" t="s">
        <v>1239</v>
      </c>
      <c r="J239" s="22"/>
    </row>
    <row r="240" customFormat="false" ht="15" hidden="false" customHeight="false" outlineLevel="0" collapsed="false">
      <c r="A240" s="21" t="n">
        <v>34</v>
      </c>
      <c r="B240" s="22" t="s">
        <v>323</v>
      </c>
      <c r="C240" s="21" t="s">
        <v>133</v>
      </c>
      <c r="D240" s="21" t="s">
        <v>96</v>
      </c>
      <c r="E240" s="21" t="s">
        <v>729</v>
      </c>
      <c r="F240" s="21" t="s">
        <v>738</v>
      </c>
      <c r="G240" s="21" t="s">
        <v>739</v>
      </c>
      <c r="H240" s="22" t="s">
        <v>1240</v>
      </c>
      <c r="I240" s="22" t="s">
        <v>1241</v>
      </c>
      <c r="J240" s="22"/>
    </row>
    <row r="241" customFormat="false" ht="15" hidden="false" customHeight="false" outlineLevel="0" collapsed="false">
      <c r="A241" s="21" t="n">
        <v>34</v>
      </c>
      <c r="B241" s="22" t="s">
        <v>323</v>
      </c>
      <c r="C241" s="21" t="s">
        <v>133</v>
      </c>
      <c r="D241" s="21" t="s">
        <v>96</v>
      </c>
      <c r="E241" s="21" t="s">
        <v>742</v>
      </c>
      <c r="F241" s="21" t="s">
        <v>743</v>
      </c>
      <c r="G241" s="21" t="s">
        <v>744</v>
      </c>
      <c r="H241" s="22" t="s">
        <v>1242</v>
      </c>
      <c r="I241" s="22" t="s">
        <v>1243</v>
      </c>
      <c r="J241" s="22"/>
    </row>
    <row r="242" customFormat="false" ht="23.85" hidden="false" customHeight="false" outlineLevel="0" collapsed="false">
      <c r="A242" s="24" t="n">
        <v>34</v>
      </c>
      <c r="B242" s="25" t="s">
        <v>323</v>
      </c>
      <c r="C242" s="24" t="s">
        <v>133</v>
      </c>
      <c r="D242" s="24" t="s">
        <v>96</v>
      </c>
      <c r="E242" s="24" t="s">
        <v>742</v>
      </c>
      <c r="F242" s="24" t="s">
        <v>747</v>
      </c>
      <c r="G242" s="24" t="s">
        <v>748</v>
      </c>
      <c r="H242" s="25" t="s">
        <v>1244</v>
      </c>
      <c r="I242" s="25" t="s">
        <v>1245</v>
      </c>
      <c r="J242" s="25"/>
    </row>
    <row r="243" customFormat="false" ht="23.85" hidden="false" customHeight="false" outlineLevel="0" collapsed="false">
      <c r="A243" s="16" t="n">
        <v>35</v>
      </c>
      <c r="B243" s="17" t="s">
        <v>327</v>
      </c>
      <c r="C243" s="16" t="s">
        <v>90</v>
      </c>
      <c r="D243" s="16" t="s">
        <v>113</v>
      </c>
      <c r="E243" s="16" t="s">
        <v>719</v>
      </c>
      <c r="F243" s="16" t="s">
        <v>720</v>
      </c>
      <c r="G243" s="16" t="s">
        <v>721</v>
      </c>
      <c r="H243" s="18" t="s">
        <v>1246</v>
      </c>
      <c r="I243" s="17" t="s">
        <v>1247</v>
      </c>
      <c r="J243" s="17" t="s">
        <v>1248</v>
      </c>
    </row>
    <row r="244" customFormat="false" ht="23.85" hidden="false" customHeight="false" outlineLevel="0" collapsed="false">
      <c r="A244" s="16" t="n">
        <v>35</v>
      </c>
      <c r="B244" s="17" t="s">
        <v>327</v>
      </c>
      <c r="C244" s="16" t="s">
        <v>90</v>
      </c>
      <c r="D244" s="16" t="s">
        <v>113</v>
      </c>
      <c r="E244" s="16" t="s">
        <v>719</v>
      </c>
      <c r="F244" s="16" t="s">
        <v>725</v>
      </c>
      <c r="G244" s="16" t="s">
        <v>726</v>
      </c>
      <c r="H244" s="17" t="s">
        <v>1249</v>
      </c>
      <c r="I244" s="17" t="s">
        <v>1250</v>
      </c>
      <c r="J244" s="17"/>
    </row>
    <row r="245" customFormat="false" ht="15" hidden="false" customHeight="false" outlineLevel="0" collapsed="false">
      <c r="A245" s="16" t="n">
        <v>35</v>
      </c>
      <c r="B245" s="17" t="s">
        <v>327</v>
      </c>
      <c r="C245" s="16" t="s">
        <v>90</v>
      </c>
      <c r="D245" s="16" t="s">
        <v>113</v>
      </c>
      <c r="E245" s="16" t="s">
        <v>729</v>
      </c>
      <c r="F245" s="16" t="s">
        <v>730</v>
      </c>
      <c r="G245" s="16" t="s">
        <v>731</v>
      </c>
      <c r="H245" s="17" t="s">
        <v>1251</v>
      </c>
      <c r="I245" s="17" t="s">
        <v>1252</v>
      </c>
      <c r="J245" s="17"/>
    </row>
    <row r="246" customFormat="false" ht="23.85" hidden="false" customHeight="false" outlineLevel="0" collapsed="false">
      <c r="A246" s="16" t="n">
        <v>35</v>
      </c>
      <c r="B246" s="17" t="s">
        <v>327</v>
      </c>
      <c r="C246" s="16" t="s">
        <v>90</v>
      </c>
      <c r="D246" s="16" t="s">
        <v>113</v>
      </c>
      <c r="E246" s="16" t="s">
        <v>729</v>
      </c>
      <c r="F246" s="16" t="s">
        <v>734</v>
      </c>
      <c r="G246" s="16" t="s">
        <v>735</v>
      </c>
      <c r="H246" s="17" t="s">
        <v>1253</v>
      </c>
      <c r="I246" s="17" t="s">
        <v>1254</v>
      </c>
      <c r="J246" s="17"/>
    </row>
    <row r="247" customFormat="false" ht="15" hidden="false" customHeight="false" outlineLevel="0" collapsed="false">
      <c r="A247" s="16" t="n">
        <v>35</v>
      </c>
      <c r="B247" s="17" t="s">
        <v>327</v>
      </c>
      <c r="C247" s="16" t="s">
        <v>90</v>
      </c>
      <c r="D247" s="16" t="s">
        <v>113</v>
      </c>
      <c r="E247" s="16" t="s">
        <v>729</v>
      </c>
      <c r="F247" s="16" t="s">
        <v>738</v>
      </c>
      <c r="G247" s="16" t="s">
        <v>739</v>
      </c>
      <c r="H247" s="17" t="s">
        <v>1255</v>
      </c>
      <c r="I247" s="17" t="s">
        <v>1256</v>
      </c>
      <c r="J247" s="17"/>
    </row>
    <row r="248" customFormat="false" ht="15" hidden="false" customHeight="false" outlineLevel="0" collapsed="false">
      <c r="A248" s="16" t="n">
        <v>35</v>
      </c>
      <c r="B248" s="17" t="s">
        <v>327</v>
      </c>
      <c r="C248" s="16" t="s">
        <v>90</v>
      </c>
      <c r="D248" s="16" t="s">
        <v>113</v>
      </c>
      <c r="E248" s="16" t="s">
        <v>742</v>
      </c>
      <c r="F248" s="16" t="s">
        <v>743</v>
      </c>
      <c r="G248" s="16" t="s">
        <v>744</v>
      </c>
      <c r="H248" s="17" t="s">
        <v>1257</v>
      </c>
      <c r="I248" s="17" t="s">
        <v>1258</v>
      </c>
      <c r="J248" s="17"/>
    </row>
    <row r="249" customFormat="false" ht="23.85" hidden="false" customHeight="false" outlineLevel="0" collapsed="false">
      <c r="A249" s="19" t="n">
        <v>35</v>
      </c>
      <c r="B249" s="20" t="s">
        <v>327</v>
      </c>
      <c r="C249" s="19" t="s">
        <v>90</v>
      </c>
      <c r="D249" s="19" t="s">
        <v>113</v>
      </c>
      <c r="E249" s="19" t="s">
        <v>742</v>
      </c>
      <c r="F249" s="19" t="s">
        <v>747</v>
      </c>
      <c r="G249" s="19" t="s">
        <v>748</v>
      </c>
      <c r="H249" s="20" t="s">
        <v>1259</v>
      </c>
      <c r="I249" s="20" t="s">
        <v>1260</v>
      </c>
      <c r="J249" s="20"/>
    </row>
    <row r="250" customFormat="false" ht="23.85" hidden="false" customHeight="false" outlineLevel="0" collapsed="false">
      <c r="A250" s="21" t="n">
        <v>36</v>
      </c>
      <c r="B250" s="22" t="s">
        <v>335</v>
      </c>
      <c r="C250" s="21" t="s">
        <v>90</v>
      </c>
      <c r="D250" s="21" t="s">
        <v>164</v>
      </c>
      <c r="E250" s="21" t="s">
        <v>719</v>
      </c>
      <c r="F250" s="21" t="s">
        <v>720</v>
      </c>
      <c r="G250" s="21" t="s">
        <v>721</v>
      </c>
      <c r="H250" s="23" t="s">
        <v>1261</v>
      </c>
      <c r="I250" s="22" t="s">
        <v>1262</v>
      </c>
      <c r="J250" s="22" t="s">
        <v>1263</v>
      </c>
    </row>
    <row r="251" customFormat="false" ht="23.85" hidden="false" customHeight="false" outlineLevel="0" collapsed="false">
      <c r="A251" s="21" t="n">
        <v>36</v>
      </c>
      <c r="B251" s="22" t="s">
        <v>335</v>
      </c>
      <c r="C251" s="21" t="s">
        <v>90</v>
      </c>
      <c r="D251" s="21" t="s">
        <v>164</v>
      </c>
      <c r="E251" s="21" t="s">
        <v>719</v>
      </c>
      <c r="F251" s="21" t="s">
        <v>725</v>
      </c>
      <c r="G251" s="21" t="s">
        <v>726</v>
      </c>
      <c r="H251" s="22" t="s">
        <v>1264</v>
      </c>
      <c r="I251" s="22" t="s">
        <v>1265</v>
      </c>
      <c r="J251" s="22"/>
    </row>
    <row r="252" customFormat="false" ht="23.85" hidden="false" customHeight="false" outlineLevel="0" collapsed="false">
      <c r="A252" s="21" t="n">
        <v>36</v>
      </c>
      <c r="B252" s="22" t="s">
        <v>335</v>
      </c>
      <c r="C252" s="21" t="s">
        <v>90</v>
      </c>
      <c r="D252" s="21" t="s">
        <v>164</v>
      </c>
      <c r="E252" s="21" t="s">
        <v>729</v>
      </c>
      <c r="F252" s="21" t="s">
        <v>730</v>
      </c>
      <c r="G252" s="21" t="s">
        <v>731</v>
      </c>
      <c r="H252" s="22" t="s">
        <v>1266</v>
      </c>
      <c r="I252" s="22" t="s">
        <v>1267</v>
      </c>
      <c r="J252" s="22"/>
    </row>
    <row r="253" customFormat="false" ht="15" hidden="false" customHeight="false" outlineLevel="0" collapsed="false">
      <c r="A253" s="21" t="n">
        <v>36</v>
      </c>
      <c r="B253" s="22" t="s">
        <v>335</v>
      </c>
      <c r="C253" s="21" t="s">
        <v>90</v>
      </c>
      <c r="D253" s="21" t="s">
        <v>164</v>
      </c>
      <c r="E253" s="21" t="s">
        <v>729</v>
      </c>
      <c r="F253" s="21" t="s">
        <v>734</v>
      </c>
      <c r="G253" s="21" t="s">
        <v>735</v>
      </c>
      <c r="H253" s="22" t="s">
        <v>1268</v>
      </c>
      <c r="I253" s="22" t="s">
        <v>1269</v>
      </c>
      <c r="J253" s="22"/>
    </row>
    <row r="254" customFormat="false" ht="15" hidden="false" customHeight="false" outlineLevel="0" collapsed="false">
      <c r="A254" s="21" t="n">
        <v>36</v>
      </c>
      <c r="B254" s="22" t="s">
        <v>335</v>
      </c>
      <c r="C254" s="21" t="s">
        <v>90</v>
      </c>
      <c r="D254" s="21" t="s">
        <v>164</v>
      </c>
      <c r="E254" s="21" t="s">
        <v>729</v>
      </c>
      <c r="F254" s="21" t="s">
        <v>738</v>
      </c>
      <c r="G254" s="21" t="s">
        <v>739</v>
      </c>
      <c r="H254" s="22" t="s">
        <v>1270</v>
      </c>
      <c r="I254" s="22" t="s">
        <v>1271</v>
      </c>
      <c r="J254" s="22"/>
    </row>
    <row r="255" customFormat="false" ht="15" hidden="false" customHeight="false" outlineLevel="0" collapsed="false">
      <c r="A255" s="21" t="n">
        <v>36</v>
      </c>
      <c r="B255" s="22" t="s">
        <v>335</v>
      </c>
      <c r="C255" s="21" t="s">
        <v>90</v>
      </c>
      <c r="D255" s="21" t="s">
        <v>164</v>
      </c>
      <c r="E255" s="21" t="s">
        <v>742</v>
      </c>
      <c r="F255" s="21" t="s">
        <v>743</v>
      </c>
      <c r="G255" s="21" t="s">
        <v>744</v>
      </c>
      <c r="H255" s="22" t="s">
        <v>1272</v>
      </c>
      <c r="I255" s="22" t="s">
        <v>1273</v>
      </c>
      <c r="J255" s="22"/>
    </row>
    <row r="256" customFormat="false" ht="23.85" hidden="false" customHeight="false" outlineLevel="0" collapsed="false">
      <c r="A256" s="24" t="n">
        <v>36</v>
      </c>
      <c r="B256" s="25" t="s">
        <v>335</v>
      </c>
      <c r="C256" s="24" t="s">
        <v>90</v>
      </c>
      <c r="D256" s="24" t="s">
        <v>164</v>
      </c>
      <c r="E256" s="24" t="s">
        <v>742</v>
      </c>
      <c r="F256" s="24" t="s">
        <v>747</v>
      </c>
      <c r="G256" s="24" t="s">
        <v>748</v>
      </c>
      <c r="H256" s="25" t="s">
        <v>1274</v>
      </c>
      <c r="I256" s="25" t="s">
        <v>1275</v>
      </c>
      <c r="J256" s="25"/>
    </row>
    <row r="257" customFormat="false" ht="23.85" hidden="false" customHeight="false" outlineLevel="0" collapsed="false">
      <c r="A257" s="16" t="n">
        <v>37</v>
      </c>
      <c r="B257" s="17" t="s">
        <v>343</v>
      </c>
      <c r="C257" s="16" t="s">
        <v>110</v>
      </c>
      <c r="D257" s="16" t="s">
        <v>96</v>
      </c>
      <c r="E257" s="16" t="s">
        <v>719</v>
      </c>
      <c r="F257" s="16" t="s">
        <v>720</v>
      </c>
      <c r="G257" s="16" t="s">
        <v>721</v>
      </c>
      <c r="H257" s="18" t="s">
        <v>1276</v>
      </c>
      <c r="I257" s="17" t="s">
        <v>1277</v>
      </c>
      <c r="J257" s="17" t="s">
        <v>1278</v>
      </c>
    </row>
    <row r="258" customFormat="false" ht="15" hidden="false" customHeight="false" outlineLevel="0" collapsed="false">
      <c r="A258" s="16" t="n">
        <v>37</v>
      </c>
      <c r="B258" s="17" t="s">
        <v>343</v>
      </c>
      <c r="C258" s="16" t="s">
        <v>110</v>
      </c>
      <c r="D258" s="16" t="s">
        <v>96</v>
      </c>
      <c r="E258" s="16" t="s">
        <v>719</v>
      </c>
      <c r="F258" s="16" t="s">
        <v>725</v>
      </c>
      <c r="G258" s="16" t="s">
        <v>726</v>
      </c>
      <c r="H258" s="17" t="s">
        <v>1279</v>
      </c>
      <c r="I258" s="17" t="s">
        <v>1280</v>
      </c>
      <c r="J258" s="17"/>
    </row>
    <row r="259" customFormat="false" ht="23.85" hidden="false" customHeight="false" outlineLevel="0" collapsed="false">
      <c r="A259" s="16" t="n">
        <v>37</v>
      </c>
      <c r="B259" s="17" t="s">
        <v>343</v>
      </c>
      <c r="C259" s="16" t="s">
        <v>110</v>
      </c>
      <c r="D259" s="16" t="s">
        <v>96</v>
      </c>
      <c r="E259" s="16" t="s">
        <v>729</v>
      </c>
      <c r="F259" s="16" t="s">
        <v>730</v>
      </c>
      <c r="G259" s="16" t="s">
        <v>731</v>
      </c>
      <c r="H259" s="17" t="s">
        <v>1281</v>
      </c>
      <c r="I259" s="17" t="s">
        <v>1282</v>
      </c>
      <c r="J259" s="17"/>
    </row>
    <row r="260" customFormat="false" ht="23.85" hidden="false" customHeight="false" outlineLevel="0" collapsed="false">
      <c r="A260" s="16" t="n">
        <v>37</v>
      </c>
      <c r="B260" s="17" t="s">
        <v>343</v>
      </c>
      <c r="C260" s="16" t="s">
        <v>110</v>
      </c>
      <c r="D260" s="16" t="s">
        <v>96</v>
      </c>
      <c r="E260" s="16" t="s">
        <v>729</v>
      </c>
      <c r="F260" s="16" t="s">
        <v>734</v>
      </c>
      <c r="G260" s="16" t="s">
        <v>735</v>
      </c>
      <c r="H260" s="17" t="s">
        <v>1283</v>
      </c>
      <c r="I260" s="17" t="s">
        <v>1284</v>
      </c>
      <c r="J260" s="17"/>
    </row>
    <row r="261" customFormat="false" ht="15" hidden="false" customHeight="false" outlineLevel="0" collapsed="false">
      <c r="A261" s="16" t="n">
        <v>37</v>
      </c>
      <c r="B261" s="17" t="s">
        <v>343</v>
      </c>
      <c r="C261" s="16" t="s">
        <v>110</v>
      </c>
      <c r="D261" s="16" t="s">
        <v>96</v>
      </c>
      <c r="E261" s="16" t="s">
        <v>729</v>
      </c>
      <c r="F261" s="16" t="s">
        <v>738</v>
      </c>
      <c r="G261" s="16" t="s">
        <v>739</v>
      </c>
      <c r="H261" s="17" t="s">
        <v>1285</v>
      </c>
      <c r="I261" s="17" t="s">
        <v>1286</v>
      </c>
      <c r="J261" s="17"/>
    </row>
    <row r="262" customFormat="false" ht="15" hidden="false" customHeight="false" outlineLevel="0" collapsed="false">
      <c r="A262" s="16" t="n">
        <v>37</v>
      </c>
      <c r="B262" s="17" t="s">
        <v>343</v>
      </c>
      <c r="C262" s="16" t="s">
        <v>110</v>
      </c>
      <c r="D262" s="16" t="s">
        <v>96</v>
      </c>
      <c r="E262" s="16" t="s">
        <v>742</v>
      </c>
      <c r="F262" s="16" t="s">
        <v>743</v>
      </c>
      <c r="G262" s="16" t="s">
        <v>744</v>
      </c>
      <c r="H262" s="17" t="s">
        <v>1287</v>
      </c>
      <c r="I262" s="17" t="s">
        <v>1288</v>
      </c>
      <c r="J262" s="17"/>
    </row>
    <row r="263" customFormat="false" ht="23.85" hidden="false" customHeight="false" outlineLevel="0" collapsed="false">
      <c r="A263" s="19" t="n">
        <v>37</v>
      </c>
      <c r="B263" s="20" t="s">
        <v>343</v>
      </c>
      <c r="C263" s="19" t="s">
        <v>110</v>
      </c>
      <c r="D263" s="19" t="s">
        <v>96</v>
      </c>
      <c r="E263" s="19" t="s">
        <v>742</v>
      </c>
      <c r="F263" s="19" t="s">
        <v>747</v>
      </c>
      <c r="G263" s="19" t="s">
        <v>748</v>
      </c>
      <c r="H263" s="20" t="s">
        <v>1289</v>
      </c>
      <c r="I263" s="20" t="s">
        <v>1290</v>
      </c>
      <c r="J263" s="20"/>
    </row>
    <row r="264" customFormat="false" ht="23.85" hidden="false" customHeight="false" outlineLevel="0" collapsed="false">
      <c r="A264" s="21" t="n">
        <v>38</v>
      </c>
      <c r="B264" s="22" t="s">
        <v>349</v>
      </c>
      <c r="C264" s="21" t="s">
        <v>133</v>
      </c>
      <c r="D264" s="21" t="s">
        <v>164</v>
      </c>
      <c r="E264" s="21" t="s">
        <v>719</v>
      </c>
      <c r="F264" s="21" t="s">
        <v>720</v>
      </c>
      <c r="G264" s="21" t="s">
        <v>721</v>
      </c>
      <c r="H264" s="23" t="s">
        <v>1291</v>
      </c>
      <c r="I264" s="22" t="s">
        <v>1292</v>
      </c>
      <c r="J264" s="22" t="s">
        <v>1293</v>
      </c>
    </row>
    <row r="265" customFormat="false" ht="15" hidden="false" customHeight="false" outlineLevel="0" collapsed="false">
      <c r="A265" s="21" t="n">
        <v>38</v>
      </c>
      <c r="B265" s="22" t="s">
        <v>349</v>
      </c>
      <c r="C265" s="21" t="s">
        <v>133</v>
      </c>
      <c r="D265" s="21" t="s">
        <v>164</v>
      </c>
      <c r="E265" s="21" t="s">
        <v>719</v>
      </c>
      <c r="F265" s="21" t="s">
        <v>725</v>
      </c>
      <c r="G265" s="21" t="s">
        <v>726</v>
      </c>
      <c r="H265" s="22" t="s">
        <v>1294</v>
      </c>
      <c r="I265" s="22" t="s">
        <v>1295</v>
      </c>
      <c r="J265" s="22"/>
    </row>
    <row r="266" customFormat="false" ht="15" hidden="false" customHeight="false" outlineLevel="0" collapsed="false">
      <c r="A266" s="21" t="n">
        <v>38</v>
      </c>
      <c r="B266" s="22" t="s">
        <v>349</v>
      </c>
      <c r="C266" s="21" t="s">
        <v>133</v>
      </c>
      <c r="D266" s="21" t="s">
        <v>164</v>
      </c>
      <c r="E266" s="21" t="s">
        <v>729</v>
      </c>
      <c r="F266" s="21" t="s">
        <v>730</v>
      </c>
      <c r="G266" s="21" t="s">
        <v>731</v>
      </c>
      <c r="H266" s="22" t="s">
        <v>1296</v>
      </c>
      <c r="I266" s="22" t="s">
        <v>1297</v>
      </c>
      <c r="J266" s="22"/>
    </row>
    <row r="267" customFormat="false" ht="23.85" hidden="false" customHeight="false" outlineLevel="0" collapsed="false">
      <c r="A267" s="21" t="n">
        <v>38</v>
      </c>
      <c r="B267" s="22" t="s">
        <v>349</v>
      </c>
      <c r="C267" s="21" t="s">
        <v>133</v>
      </c>
      <c r="D267" s="21" t="s">
        <v>164</v>
      </c>
      <c r="E267" s="21" t="s">
        <v>729</v>
      </c>
      <c r="F267" s="21" t="s">
        <v>734</v>
      </c>
      <c r="G267" s="21" t="s">
        <v>735</v>
      </c>
      <c r="H267" s="22" t="s">
        <v>1298</v>
      </c>
      <c r="I267" s="22" t="s">
        <v>1299</v>
      </c>
      <c r="J267" s="22"/>
    </row>
    <row r="268" customFormat="false" ht="15" hidden="false" customHeight="false" outlineLevel="0" collapsed="false">
      <c r="A268" s="21" t="n">
        <v>38</v>
      </c>
      <c r="B268" s="22" t="s">
        <v>349</v>
      </c>
      <c r="C268" s="21" t="s">
        <v>133</v>
      </c>
      <c r="D268" s="21" t="s">
        <v>164</v>
      </c>
      <c r="E268" s="21" t="s">
        <v>729</v>
      </c>
      <c r="F268" s="21" t="s">
        <v>738</v>
      </c>
      <c r="G268" s="21" t="s">
        <v>739</v>
      </c>
      <c r="H268" s="22" t="s">
        <v>1300</v>
      </c>
      <c r="I268" s="22" t="s">
        <v>1301</v>
      </c>
      <c r="J268" s="22"/>
    </row>
    <row r="269" customFormat="false" ht="15" hidden="false" customHeight="false" outlineLevel="0" collapsed="false">
      <c r="A269" s="21" t="n">
        <v>38</v>
      </c>
      <c r="B269" s="22" t="s">
        <v>349</v>
      </c>
      <c r="C269" s="21" t="s">
        <v>133</v>
      </c>
      <c r="D269" s="21" t="s">
        <v>164</v>
      </c>
      <c r="E269" s="21" t="s">
        <v>742</v>
      </c>
      <c r="F269" s="21" t="s">
        <v>743</v>
      </c>
      <c r="G269" s="21" t="s">
        <v>744</v>
      </c>
      <c r="H269" s="22" t="s">
        <v>1302</v>
      </c>
      <c r="I269" s="22" t="s">
        <v>1303</v>
      </c>
      <c r="J269" s="22"/>
    </row>
    <row r="270" customFormat="false" ht="23.85" hidden="false" customHeight="false" outlineLevel="0" collapsed="false">
      <c r="A270" s="24" t="n">
        <v>38</v>
      </c>
      <c r="B270" s="25" t="s">
        <v>349</v>
      </c>
      <c r="C270" s="24" t="s">
        <v>133</v>
      </c>
      <c r="D270" s="24" t="s">
        <v>164</v>
      </c>
      <c r="E270" s="24" t="s">
        <v>742</v>
      </c>
      <c r="F270" s="24" t="s">
        <v>747</v>
      </c>
      <c r="G270" s="24" t="s">
        <v>748</v>
      </c>
      <c r="H270" s="25" t="s">
        <v>1304</v>
      </c>
      <c r="I270" s="25" t="s">
        <v>1305</v>
      </c>
      <c r="J270" s="25"/>
    </row>
    <row r="271" customFormat="false" ht="23.85" hidden="false" customHeight="false" outlineLevel="0" collapsed="false">
      <c r="A271" s="16" t="n">
        <v>39</v>
      </c>
      <c r="B271" s="17" t="s">
        <v>353</v>
      </c>
      <c r="C271" s="16" t="s">
        <v>133</v>
      </c>
      <c r="D271" s="16" t="s">
        <v>96</v>
      </c>
      <c r="E271" s="16" t="s">
        <v>719</v>
      </c>
      <c r="F271" s="16" t="s">
        <v>720</v>
      </c>
      <c r="G271" s="16" t="s">
        <v>721</v>
      </c>
      <c r="H271" s="18" t="s">
        <v>1306</v>
      </c>
      <c r="I271" s="17" t="s">
        <v>1307</v>
      </c>
      <c r="J271" s="17" t="s">
        <v>1308</v>
      </c>
    </row>
    <row r="272" customFormat="false" ht="23.85" hidden="false" customHeight="false" outlineLevel="0" collapsed="false">
      <c r="A272" s="16" t="n">
        <v>39</v>
      </c>
      <c r="B272" s="17" t="s">
        <v>353</v>
      </c>
      <c r="C272" s="16" t="s">
        <v>133</v>
      </c>
      <c r="D272" s="16" t="s">
        <v>96</v>
      </c>
      <c r="E272" s="16" t="s">
        <v>719</v>
      </c>
      <c r="F272" s="16" t="s">
        <v>725</v>
      </c>
      <c r="G272" s="16" t="s">
        <v>726</v>
      </c>
      <c r="H272" s="17" t="s">
        <v>1309</v>
      </c>
      <c r="I272" s="17" t="s">
        <v>1310</v>
      </c>
      <c r="J272" s="17"/>
    </row>
    <row r="273" customFormat="false" ht="15" hidden="false" customHeight="false" outlineLevel="0" collapsed="false">
      <c r="A273" s="16" t="n">
        <v>39</v>
      </c>
      <c r="B273" s="17" t="s">
        <v>353</v>
      </c>
      <c r="C273" s="16" t="s">
        <v>133</v>
      </c>
      <c r="D273" s="16" t="s">
        <v>96</v>
      </c>
      <c r="E273" s="16" t="s">
        <v>729</v>
      </c>
      <c r="F273" s="16" t="s">
        <v>730</v>
      </c>
      <c r="G273" s="16" t="s">
        <v>731</v>
      </c>
      <c r="H273" s="17" t="s">
        <v>1311</v>
      </c>
      <c r="I273" s="17" t="s">
        <v>1312</v>
      </c>
      <c r="J273" s="17"/>
    </row>
    <row r="274" customFormat="false" ht="15" hidden="false" customHeight="false" outlineLevel="0" collapsed="false">
      <c r="A274" s="16" t="n">
        <v>39</v>
      </c>
      <c r="B274" s="17" t="s">
        <v>353</v>
      </c>
      <c r="C274" s="16" t="s">
        <v>133</v>
      </c>
      <c r="D274" s="16" t="s">
        <v>96</v>
      </c>
      <c r="E274" s="16" t="s">
        <v>729</v>
      </c>
      <c r="F274" s="16" t="s">
        <v>734</v>
      </c>
      <c r="G274" s="16" t="s">
        <v>735</v>
      </c>
      <c r="H274" s="17" t="s">
        <v>1313</v>
      </c>
      <c r="I274" s="17" t="s">
        <v>1314</v>
      </c>
      <c r="J274" s="17"/>
    </row>
    <row r="275" customFormat="false" ht="15" hidden="false" customHeight="false" outlineLevel="0" collapsed="false">
      <c r="A275" s="16" t="n">
        <v>39</v>
      </c>
      <c r="B275" s="17" t="s">
        <v>353</v>
      </c>
      <c r="C275" s="16" t="s">
        <v>133</v>
      </c>
      <c r="D275" s="16" t="s">
        <v>96</v>
      </c>
      <c r="E275" s="16" t="s">
        <v>729</v>
      </c>
      <c r="F275" s="16" t="s">
        <v>738</v>
      </c>
      <c r="G275" s="16" t="s">
        <v>739</v>
      </c>
      <c r="H275" s="17" t="s">
        <v>1315</v>
      </c>
      <c r="I275" s="17" t="s">
        <v>1316</v>
      </c>
      <c r="J275" s="17"/>
    </row>
    <row r="276" customFormat="false" ht="15" hidden="false" customHeight="false" outlineLevel="0" collapsed="false">
      <c r="A276" s="16" t="n">
        <v>39</v>
      </c>
      <c r="B276" s="17" t="s">
        <v>353</v>
      </c>
      <c r="C276" s="16" t="s">
        <v>133</v>
      </c>
      <c r="D276" s="16" t="s">
        <v>96</v>
      </c>
      <c r="E276" s="16" t="s">
        <v>742</v>
      </c>
      <c r="F276" s="16" t="s">
        <v>743</v>
      </c>
      <c r="G276" s="16" t="s">
        <v>744</v>
      </c>
      <c r="H276" s="17" t="s">
        <v>1317</v>
      </c>
      <c r="I276" s="17" t="s">
        <v>1318</v>
      </c>
      <c r="J276" s="17"/>
    </row>
    <row r="277" customFormat="false" ht="23.85" hidden="false" customHeight="false" outlineLevel="0" collapsed="false">
      <c r="A277" s="19" t="n">
        <v>39</v>
      </c>
      <c r="B277" s="20" t="s">
        <v>353</v>
      </c>
      <c r="C277" s="19" t="s">
        <v>133</v>
      </c>
      <c r="D277" s="19" t="s">
        <v>96</v>
      </c>
      <c r="E277" s="19" t="s">
        <v>742</v>
      </c>
      <c r="F277" s="19" t="s">
        <v>747</v>
      </c>
      <c r="G277" s="19" t="s">
        <v>748</v>
      </c>
      <c r="H277" s="20" t="s">
        <v>1319</v>
      </c>
      <c r="I277" s="20" t="s">
        <v>1320</v>
      </c>
      <c r="J277" s="20"/>
    </row>
    <row r="278" customFormat="false" ht="35.05" hidden="false" customHeight="false" outlineLevel="0" collapsed="false">
      <c r="A278" s="21" t="n">
        <v>40</v>
      </c>
      <c r="B278" s="22" t="s">
        <v>357</v>
      </c>
      <c r="C278" s="21" t="s">
        <v>133</v>
      </c>
      <c r="D278" s="21" t="s">
        <v>96</v>
      </c>
      <c r="E278" s="21" t="s">
        <v>719</v>
      </c>
      <c r="F278" s="21" t="s">
        <v>720</v>
      </c>
      <c r="G278" s="21" t="s">
        <v>721</v>
      </c>
      <c r="H278" s="23" t="s">
        <v>1321</v>
      </c>
      <c r="I278" s="22" t="s">
        <v>1322</v>
      </c>
      <c r="J278" s="22" t="s">
        <v>1323</v>
      </c>
    </row>
    <row r="279" customFormat="false" ht="15" hidden="false" customHeight="false" outlineLevel="0" collapsed="false">
      <c r="A279" s="21" t="n">
        <v>40</v>
      </c>
      <c r="B279" s="22" t="s">
        <v>357</v>
      </c>
      <c r="C279" s="21" t="s">
        <v>133</v>
      </c>
      <c r="D279" s="21" t="s">
        <v>96</v>
      </c>
      <c r="E279" s="21" t="s">
        <v>719</v>
      </c>
      <c r="F279" s="21" t="s">
        <v>725</v>
      </c>
      <c r="G279" s="21" t="s">
        <v>726</v>
      </c>
      <c r="H279" s="22" t="s">
        <v>1324</v>
      </c>
      <c r="I279" s="22" t="s">
        <v>1325</v>
      </c>
      <c r="J279" s="22"/>
    </row>
    <row r="280" customFormat="false" ht="15" hidden="false" customHeight="false" outlineLevel="0" collapsed="false">
      <c r="A280" s="21" t="n">
        <v>40</v>
      </c>
      <c r="B280" s="22" t="s">
        <v>357</v>
      </c>
      <c r="C280" s="21" t="s">
        <v>133</v>
      </c>
      <c r="D280" s="21" t="s">
        <v>96</v>
      </c>
      <c r="E280" s="21" t="s">
        <v>729</v>
      </c>
      <c r="F280" s="21" t="s">
        <v>730</v>
      </c>
      <c r="G280" s="21" t="s">
        <v>731</v>
      </c>
      <c r="H280" s="22" t="s">
        <v>1326</v>
      </c>
      <c r="I280" s="22" t="s">
        <v>1327</v>
      </c>
      <c r="J280" s="22"/>
    </row>
    <row r="281" customFormat="false" ht="23.85" hidden="false" customHeight="false" outlineLevel="0" collapsed="false">
      <c r="A281" s="21" t="n">
        <v>40</v>
      </c>
      <c r="B281" s="22" t="s">
        <v>357</v>
      </c>
      <c r="C281" s="21" t="s">
        <v>133</v>
      </c>
      <c r="D281" s="21" t="s">
        <v>96</v>
      </c>
      <c r="E281" s="21" t="s">
        <v>729</v>
      </c>
      <c r="F281" s="21" t="s">
        <v>734</v>
      </c>
      <c r="G281" s="21" t="s">
        <v>735</v>
      </c>
      <c r="H281" s="22" t="s">
        <v>1328</v>
      </c>
      <c r="I281" s="22" t="s">
        <v>1329</v>
      </c>
      <c r="J281" s="22"/>
    </row>
    <row r="282" customFormat="false" ht="15" hidden="false" customHeight="false" outlineLevel="0" collapsed="false">
      <c r="A282" s="21" t="n">
        <v>40</v>
      </c>
      <c r="B282" s="22" t="s">
        <v>357</v>
      </c>
      <c r="C282" s="21" t="s">
        <v>133</v>
      </c>
      <c r="D282" s="21" t="s">
        <v>96</v>
      </c>
      <c r="E282" s="21" t="s">
        <v>729</v>
      </c>
      <c r="F282" s="21" t="s">
        <v>738</v>
      </c>
      <c r="G282" s="21" t="s">
        <v>739</v>
      </c>
      <c r="H282" s="22" t="s">
        <v>1330</v>
      </c>
      <c r="I282" s="22" t="s">
        <v>1331</v>
      </c>
      <c r="J282" s="22"/>
    </row>
    <row r="283" customFormat="false" ht="15" hidden="false" customHeight="false" outlineLevel="0" collapsed="false">
      <c r="A283" s="21" t="n">
        <v>40</v>
      </c>
      <c r="B283" s="22" t="s">
        <v>357</v>
      </c>
      <c r="C283" s="21" t="s">
        <v>133</v>
      </c>
      <c r="D283" s="21" t="s">
        <v>96</v>
      </c>
      <c r="E283" s="21" t="s">
        <v>742</v>
      </c>
      <c r="F283" s="21" t="s">
        <v>743</v>
      </c>
      <c r="G283" s="21" t="s">
        <v>744</v>
      </c>
      <c r="H283" s="22" t="s">
        <v>1332</v>
      </c>
      <c r="I283" s="22" t="s">
        <v>1333</v>
      </c>
      <c r="J283" s="22"/>
    </row>
    <row r="284" customFormat="false" ht="23.85" hidden="false" customHeight="false" outlineLevel="0" collapsed="false">
      <c r="A284" s="24" t="n">
        <v>40</v>
      </c>
      <c r="B284" s="25" t="s">
        <v>357</v>
      </c>
      <c r="C284" s="24" t="s">
        <v>133</v>
      </c>
      <c r="D284" s="24" t="s">
        <v>96</v>
      </c>
      <c r="E284" s="24" t="s">
        <v>742</v>
      </c>
      <c r="F284" s="24" t="s">
        <v>747</v>
      </c>
      <c r="G284" s="24" t="s">
        <v>748</v>
      </c>
      <c r="H284" s="25" t="s">
        <v>1334</v>
      </c>
      <c r="I284" s="25" t="s">
        <v>1335</v>
      </c>
      <c r="J284" s="25"/>
    </row>
    <row r="285" customFormat="false" ht="23.85" hidden="false" customHeight="false" outlineLevel="0" collapsed="false">
      <c r="A285" s="16" t="n">
        <v>41</v>
      </c>
      <c r="B285" s="17" t="s">
        <v>362</v>
      </c>
      <c r="C285" s="16" t="s">
        <v>133</v>
      </c>
      <c r="D285" s="16" t="s">
        <v>96</v>
      </c>
      <c r="E285" s="16" t="s">
        <v>719</v>
      </c>
      <c r="F285" s="16" t="s">
        <v>720</v>
      </c>
      <c r="G285" s="16" t="s">
        <v>721</v>
      </c>
      <c r="H285" s="18" t="s">
        <v>1336</v>
      </c>
      <c r="I285" s="17" t="s">
        <v>1337</v>
      </c>
      <c r="J285" s="17" t="s">
        <v>1338</v>
      </c>
    </row>
    <row r="286" customFormat="false" ht="23.85" hidden="false" customHeight="false" outlineLevel="0" collapsed="false">
      <c r="A286" s="16" t="n">
        <v>41</v>
      </c>
      <c r="B286" s="17" t="s">
        <v>362</v>
      </c>
      <c r="C286" s="16" t="s">
        <v>133</v>
      </c>
      <c r="D286" s="16" t="s">
        <v>96</v>
      </c>
      <c r="E286" s="16" t="s">
        <v>719</v>
      </c>
      <c r="F286" s="16" t="s">
        <v>725</v>
      </c>
      <c r="G286" s="16" t="s">
        <v>726</v>
      </c>
      <c r="H286" s="17" t="s">
        <v>1339</v>
      </c>
      <c r="I286" s="17" t="s">
        <v>1340</v>
      </c>
      <c r="J286" s="17"/>
    </row>
    <row r="287" customFormat="false" ht="23.85" hidden="false" customHeight="false" outlineLevel="0" collapsed="false">
      <c r="A287" s="16" t="n">
        <v>41</v>
      </c>
      <c r="B287" s="17" t="s">
        <v>362</v>
      </c>
      <c r="C287" s="16" t="s">
        <v>133</v>
      </c>
      <c r="D287" s="16" t="s">
        <v>96</v>
      </c>
      <c r="E287" s="16" t="s">
        <v>729</v>
      </c>
      <c r="F287" s="16" t="s">
        <v>730</v>
      </c>
      <c r="G287" s="16" t="s">
        <v>731</v>
      </c>
      <c r="H287" s="17" t="s">
        <v>1341</v>
      </c>
      <c r="I287" s="17" t="s">
        <v>1342</v>
      </c>
      <c r="J287" s="17"/>
    </row>
    <row r="288" customFormat="false" ht="15" hidden="false" customHeight="false" outlineLevel="0" collapsed="false">
      <c r="A288" s="16" t="n">
        <v>41</v>
      </c>
      <c r="B288" s="17" t="s">
        <v>362</v>
      </c>
      <c r="C288" s="16" t="s">
        <v>133</v>
      </c>
      <c r="D288" s="16" t="s">
        <v>96</v>
      </c>
      <c r="E288" s="16" t="s">
        <v>729</v>
      </c>
      <c r="F288" s="16" t="s">
        <v>734</v>
      </c>
      <c r="G288" s="16" t="s">
        <v>735</v>
      </c>
      <c r="H288" s="17" t="s">
        <v>1343</v>
      </c>
      <c r="I288" s="17" t="s">
        <v>1344</v>
      </c>
      <c r="J288" s="17"/>
    </row>
    <row r="289" customFormat="false" ht="15" hidden="false" customHeight="false" outlineLevel="0" collapsed="false">
      <c r="A289" s="16" t="n">
        <v>41</v>
      </c>
      <c r="B289" s="17" t="s">
        <v>362</v>
      </c>
      <c r="C289" s="16" t="s">
        <v>133</v>
      </c>
      <c r="D289" s="16" t="s">
        <v>96</v>
      </c>
      <c r="E289" s="16" t="s">
        <v>729</v>
      </c>
      <c r="F289" s="16" t="s">
        <v>738</v>
      </c>
      <c r="G289" s="16" t="s">
        <v>739</v>
      </c>
      <c r="H289" s="17" t="s">
        <v>1345</v>
      </c>
      <c r="I289" s="17" t="s">
        <v>1346</v>
      </c>
      <c r="J289" s="17"/>
    </row>
    <row r="290" customFormat="false" ht="15" hidden="false" customHeight="false" outlineLevel="0" collapsed="false">
      <c r="A290" s="16" t="n">
        <v>41</v>
      </c>
      <c r="B290" s="17" t="s">
        <v>362</v>
      </c>
      <c r="C290" s="16" t="s">
        <v>133</v>
      </c>
      <c r="D290" s="16" t="s">
        <v>96</v>
      </c>
      <c r="E290" s="16" t="s">
        <v>742</v>
      </c>
      <c r="F290" s="16" t="s">
        <v>743</v>
      </c>
      <c r="G290" s="16" t="s">
        <v>744</v>
      </c>
      <c r="H290" s="17" t="s">
        <v>1347</v>
      </c>
      <c r="I290" s="17" t="s">
        <v>1348</v>
      </c>
      <c r="J290" s="17"/>
    </row>
    <row r="291" customFormat="false" ht="23.85" hidden="false" customHeight="false" outlineLevel="0" collapsed="false">
      <c r="A291" s="19" t="n">
        <v>41</v>
      </c>
      <c r="B291" s="20" t="s">
        <v>362</v>
      </c>
      <c r="C291" s="19" t="s">
        <v>133</v>
      </c>
      <c r="D291" s="19" t="s">
        <v>96</v>
      </c>
      <c r="E291" s="19" t="s">
        <v>742</v>
      </c>
      <c r="F291" s="19" t="s">
        <v>747</v>
      </c>
      <c r="G291" s="19" t="s">
        <v>748</v>
      </c>
      <c r="H291" s="20" t="s">
        <v>1349</v>
      </c>
      <c r="I291" s="20" t="s">
        <v>1350</v>
      </c>
      <c r="J291" s="20"/>
    </row>
    <row r="292" customFormat="false" ht="23.85" hidden="false" customHeight="false" outlineLevel="0" collapsed="false">
      <c r="A292" s="21" t="n">
        <v>42</v>
      </c>
      <c r="B292" s="22" t="s">
        <v>366</v>
      </c>
      <c r="C292" s="21" t="s">
        <v>90</v>
      </c>
      <c r="D292" s="21" t="s">
        <v>72</v>
      </c>
      <c r="E292" s="21" t="s">
        <v>719</v>
      </c>
      <c r="F292" s="21" t="s">
        <v>720</v>
      </c>
      <c r="G292" s="21" t="s">
        <v>721</v>
      </c>
      <c r="H292" s="23" t="s">
        <v>1351</v>
      </c>
      <c r="I292" s="22" t="s">
        <v>1352</v>
      </c>
      <c r="J292" s="22" t="s">
        <v>1353</v>
      </c>
    </row>
    <row r="293" customFormat="false" ht="15" hidden="false" customHeight="false" outlineLevel="0" collapsed="false">
      <c r="A293" s="21" t="n">
        <v>42</v>
      </c>
      <c r="B293" s="22" t="s">
        <v>366</v>
      </c>
      <c r="C293" s="21" t="s">
        <v>90</v>
      </c>
      <c r="D293" s="21" t="s">
        <v>72</v>
      </c>
      <c r="E293" s="21" t="s">
        <v>719</v>
      </c>
      <c r="F293" s="21" t="s">
        <v>725</v>
      </c>
      <c r="G293" s="21" t="s">
        <v>726</v>
      </c>
      <c r="H293" s="22" t="s">
        <v>1354</v>
      </c>
      <c r="I293" s="22" t="s">
        <v>1355</v>
      </c>
      <c r="J293" s="22"/>
    </row>
    <row r="294" customFormat="false" ht="15" hidden="false" customHeight="false" outlineLevel="0" collapsed="false">
      <c r="A294" s="21" t="n">
        <v>42</v>
      </c>
      <c r="B294" s="22" t="s">
        <v>366</v>
      </c>
      <c r="C294" s="21" t="s">
        <v>90</v>
      </c>
      <c r="D294" s="21" t="s">
        <v>72</v>
      </c>
      <c r="E294" s="21" t="s">
        <v>729</v>
      </c>
      <c r="F294" s="21" t="s">
        <v>730</v>
      </c>
      <c r="G294" s="21" t="s">
        <v>731</v>
      </c>
      <c r="H294" s="22" t="s">
        <v>1356</v>
      </c>
      <c r="I294" s="22" t="s">
        <v>1357</v>
      </c>
      <c r="J294" s="22"/>
    </row>
    <row r="295" customFormat="false" ht="15" hidden="false" customHeight="false" outlineLevel="0" collapsed="false">
      <c r="A295" s="21" t="n">
        <v>42</v>
      </c>
      <c r="B295" s="22" t="s">
        <v>366</v>
      </c>
      <c r="C295" s="21" t="s">
        <v>90</v>
      </c>
      <c r="D295" s="21" t="s">
        <v>72</v>
      </c>
      <c r="E295" s="21" t="s">
        <v>729</v>
      </c>
      <c r="F295" s="21" t="s">
        <v>734</v>
      </c>
      <c r="G295" s="21" t="s">
        <v>735</v>
      </c>
      <c r="H295" s="22" t="s">
        <v>1358</v>
      </c>
      <c r="I295" s="22" t="s">
        <v>1359</v>
      </c>
      <c r="J295" s="22"/>
    </row>
    <row r="296" customFormat="false" ht="15" hidden="false" customHeight="false" outlineLevel="0" collapsed="false">
      <c r="A296" s="21" t="n">
        <v>42</v>
      </c>
      <c r="B296" s="22" t="s">
        <v>366</v>
      </c>
      <c r="C296" s="21" t="s">
        <v>90</v>
      </c>
      <c r="D296" s="21" t="s">
        <v>72</v>
      </c>
      <c r="E296" s="21" t="s">
        <v>729</v>
      </c>
      <c r="F296" s="21" t="s">
        <v>738</v>
      </c>
      <c r="G296" s="21" t="s">
        <v>739</v>
      </c>
      <c r="H296" s="22" t="s">
        <v>1360</v>
      </c>
      <c r="I296" s="22" t="s">
        <v>1361</v>
      </c>
      <c r="J296" s="22"/>
    </row>
    <row r="297" customFormat="false" ht="15" hidden="false" customHeight="false" outlineLevel="0" collapsed="false">
      <c r="A297" s="21" t="n">
        <v>42</v>
      </c>
      <c r="B297" s="22" t="s">
        <v>366</v>
      </c>
      <c r="C297" s="21" t="s">
        <v>90</v>
      </c>
      <c r="D297" s="21" t="s">
        <v>72</v>
      </c>
      <c r="E297" s="21" t="s">
        <v>742</v>
      </c>
      <c r="F297" s="21" t="s">
        <v>743</v>
      </c>
      <c r="G297" s="21" t="s">
        <v>744</v>
      </c>
      <c r="H297" s="22" t="s">
        <v>1362</v>
      </c>
      <c r="I297" s="22" t="s">
        <v>1363</v>
      </c>
      <c r="J297" s="22"/>
    </row>
    <row r="298" customFormat="false" ht="23.85" hidden="false" customHeight="false" outlineLevel="0" collapsed="false">
      <c r="A298" s="24" t="n">
        <v>42</v>
      </c>
      <c r="B298" s="25" t="s">
        <v>366</v>
      </c>
      <c r="C298" s="24" t="s">
        <v>90</v>
      </c>
      <c r="D298" s="24" t="s">
        <v>72</v>
      </c>
      <c r="E298" s="24" t="s">
        <v>742</v>
      </c>
      <c r="F298" s="24" t="s">
        <v>747</v>
      </c>
      <c r="G298" s="24" t="s">
        <v>748</v>
      </c>
      <c r="H298" s="25" t="s">
        <v>1364</v>
      </c>
      <c r="I298" s="25" t="s">
        <v>1365</v>
      </c>
      <c r="J298" s="25"/>
    </row>
    <row r="299" customFormat="false" ht="23.85" hidden="false" customHeight="false" outlineLevel="0" collapsed="false">
      <c r="A299" s="16" t="n">
        <v>43</v>
      </c>
      <c r="B299" s="17" t="s">
        <v>374</v>
      </c>
      <c r="C299" s="16" t="s">
        <v>90</v>
      </c>
      <c r="D299" s="16" t="s">
        <v>96</v>
      </c>
      <c r="E299" s="16" t="s">
        <v>719</v>
      </c>
      <c r="F299" s="16" t="s">
        <v>720</v>
      </c>
      <c r="G299" s="16" t="s">
        <v>721</v>
      </c>
      <c r="H299" s="18" t="s">
        <v>1366</v>
      </c>
      <c r="I299" s="17" t="s">
        <v>1367</v>
      </c>
      <c r="J299" s="17" t="s">
        <v>1368</v>
      </c>
    </row>
    <row r="300" customFormat="false" ht="15" hidden="false" customHeight="false" outlineLevel="0" collapsed="false">
      <c r="A300" s="16" t="n">
        <v>43</v>
      </c>
      <c r="B300" s="17" t="s">
        <v>374</v>
      </c>
      <c r="C300" s="16" t="s">
        <v>90</v>
      </c>
      <c r="D300" s="16" t="s">
        <v>96</v>
      </c>
      <c r="E300" s="16" t="s">
        <v>719</v>
      </c>
      <c r="F300" s="16" t="s">
        <v>725</v>
      </c>
      <c r="G300" s="16" t="s">
        <v>726</v>
      </c>
      <c r="H300" s="17" t="s">
        <v>1369</v>
      </c>
      <c r="I300" s="17" t="s">
        <v>1370</v>
      </c>
      <c r="J300" s="17"/>
    </row>
    <row r="301" customFormat="false" ht="23.85" hidden="false" customHeight="false" outlineLevel="0" collapsed="false">
      <c r="A301" s="16" t="n">
        <v>43</v>
      </c>
      <c r="B301" s="17" t="s">
        <v>374</v>
      </c>
      <c r="C301" s="16" t="s">
        <v>90</v>
      </c>
      <c r="D301" s="16" t="s">
        <v>96</v>
      </c>
      <c r="E301" s="16" t="s">
        <v>729</v>
      </c>
      <c r="F301" s="16" t="s">
        <v>730</v>
      </c>
      <c r="G301" s="16" t="s">
        <v>731</v>
      </c>
      <c r="H301" s="17" t="s">
        <v>1371</v>
      </c>
      <c r="I301" s="17" t="s">
        <v>1372</v>
      </c>
      <c r="J301" s="17"/>
    </row>
    <row r="302" customFormat="false" ht="15" hidden="false" customHeight="false" outlineLevel="0" collapsed="false">
      <c r="A302" s="16" t="n">
        <v>43</v>
      </c>
      <c r="B302" s="17" t="s">
        <v>374</v>
      </c>
      <c r="C302" s="16" t="s">
        <v>90</v>
      </c>
      <c r="D302" s="16" t="s">
        <v>96</v>
      </c>
      <c r="E302" s="16" t="s">
        <v>729</v>
      </c>
      <c r="F302" s="16" t="s">
        <v>734</v>
      </c>
      <c r="G302" s="16" t="s">
        <v>735</v>
      </c>
      <c r="H302" s="17" t="s">
        <v>1373</v>
      </c>
      <c r="I302" s="17" t="s">
        <v>1374</v>
      </c>
      <c r="J302" s="17"/>
    </row>
    <row r="303" customFormat="false" ht="15" hidden="false" customHeight="false" outlineLevel="0" collapsed="false">
      <c r="A303" s="16" t="n">
        <v>43</v>
      </c>
      <c r="B303" s="17" t="s">
        <v>374</v>
      </c>
      <c r="C303" s="16" t="s">
        <v>90</v>
      </c>
      <c r="D303" s="16" t="s">
        <v>96</v>
      </c>
      <c r="E303" s="16" t="s">
        <v>729</v>
      </c>
      <c r="F303" s="16" t="s">
        <v>738</v>
      </c>
      <c r="G303" s="16" t="s">
        <v>739</v>
      </c>
      <c r="H303" s="17" t="s">
        <v>1375</v>
      </c>
      <c r="I303" s="17" t="s">
        <v>1376</v>
      </c>
      <c r="J303" s="17"/>
    </row>
    <row r="304" customFormat="false" ht="15" hidden="false" customHeight="false" outlineLevel="0" collapsed="false">
      <c r="A304" s="16" t="n">
        <v>43</v>
      </c>
      <c r="B304" s="17" t="s">
        <v>374</v>
      </c>
      <c r="C304" s="16" t="s">
        <v>90</v>
      </c>
      <c r="D304" s="16" t="s">
        <v>96</v>
      </c>
      <c r="E304" s="16" t="s">
        <v>742</v>
      </c>
      <c r="F304" s="16" t="s">
        <v>743</v>
      </c>
      <c r="G304" s="16" t="s">
        <v>744</v>
      </c>
      <c r="H304" s="17" t="s">
        <v>1377</v>
      </c>
      <c r="I304" s="17" t="s">
        <v>1378</v>
      </c>
      <c r="J304" s="17"/>
    </row>
    <row r="305" customFormat="false" ht="23.85" hidden="false" customHeight="false" outlineLevel="0" collapsed="false">
      <c r="A305" s="19" t="n">
        <v>43</v>
      </c>
      <c r="B305" s="20" t="s">
        <v>374</v>
      </c>
      <c r="C305" s="19" t="s">
        <v>90</v>
      </c>
      <c r="D305" s="19" t="s">
        <v>96</v>
      </c>
      <c r="E305" s="19" t="s">
        <v>742</v>
      </c>
      <c r="F305" s="19" t="s">
        <v>747</v>
      </c>
      <c r="G305" s="19" t="s">
        <v>748</v>
      </c>
      <c r="H305" s="20" t="s">
        <v>1379</v>
      </c>
      <c r="I305" s="20" t="s">
        <v>1380</v>
      </c>
      <c r="J305" s="20"/>
    </row>
    <row r="306" customFormat="false" ht="35.05" hidden="false" customHeight="false" outlineLevel="0" collapsed="false">
      <c r="A306" s="21" t="n">
        <v>44</v>
      </c>
      <c r="B306" s="22" t="s">
        <v>383</v>
      </c>
      <c r="C306" s="21" t="s">
        <v>133</v>
      </c>
      <c r="D306" s="21" t="s">
        <v>72</v>
      </c>
      <c r="E306" s="21" t="s">
        <v>719</v>
      </c>
      <c r="F306" s="21" t="s">
        <v>720</v>
      </c>
      <c r="G306" s="21" t="s">
        <v>721</v>
      </c>
      <c r="H306" s="23" t="s">
        <v>1381</v>
      </c>
      <c r="I306" s="22" t="s">
        <v>1382</v>
      </c>
      <c r="J306" s="22" t="s">
        <v>1383</v>
      </c>
    </row>
    <row r="307" customFormat="false" ht="23.85" hidden="false" customHeight="false" outlineLevel="0" collapsed="false">
      <c r="A307" s="21" t="n">
        <v>44</v>
      </c>
      <c r="B307" s="22" t="s">
        <v>383</v>
      </c>
      <c r="C307" s="21" t="s">
        <v>133</v>
      </c>
      <c r="D307" s="21" t="s">
        <v>72</v>
      </c>
      <c r="E307" s="21" t="s">
        <v>719</v>
      </c>
      <c r="F307" s="21" t="s">
        <v>725</v>
      </c>
      <c r="G307" s="21" t="s">
        <v>726</v>
      </c>
      <c r="H307" s="22" t="s">
        <v>1384</v>
      </c>
      <c r="I307" s="22" t="s">
        <v>1385</v>
      </c>
      <c r="J307" s="22"/>
    </row>
    <row r="308" customFormat="false" ht="15" hidden="false" customHeight="false" outlineLevel="0" collapsed="false">
      <c r="A308" s="21" t="n">
        <v>44</v>
      </c>
      <c r="B308" s="22" t="s">
        <v>383</v>
      </c>
      <c r="C308" s="21" t="s">
        <v>133</v>
      </c>
      <c r="D308" s="21" t="s">
        <v>72</v>
      </c>
      <c r="E308" s="21" t="s">
        <v>729</v>
      </c>
      <c r="F308" s="21" t="s">
        <v>730</v>
      </c>
      <c r="G308" s="21" t="s">
        <v>731</v>
      </c>
      <c r="H308" s="22" t="s">
        <v>1386</v>
      </c>
      <c r="I308" s="22" t="s">
        <v>1387</v>
      </c>
      <c r="J308" s="22"/>
    </row>
    <row r="309" customFormat="false" ht="15" hidden="false" customHeight="false" outlineLevel="0" collapsed="false">
      <c r="A309" s="21" t="n">
        <v>44</v>
      </c>
      <c r="B309" s="22" t="s">
        <v>383</v>
      </c>
      <c r="C309" s="21" t="s">
        <v>133</v>
      </c>
      <c r="D309" s="21" t="s">
        <v>72</v>
      </c>
      <c r="E309" s="21" t="s">
        <v>729</v>
      </c>
      <c r="F309" s="21" t="s">
        <v>734</v>
      </c>
      <c r="G309" s="21" t="s">
        <v>735</v>
      </c>
      <c r="H309" s="22" t="s">
        <v>1388</v>
      </c>
      <c r="I309" s="22" t="s">
        <v>1389</v>
      </c>
      <c r="J309" s="22"/>
    </row>
    <row r="310" customFormat="false" ht="23.85" hidden="false" customHeight="false" outlineLevel="0" collapsed="false">
      <c r="A310" s="21" t="n">
        <v>44</v>
      </c>
      <c r="B310" s="22" t="s">
        <v>383</v>
      </c>
      <c r="C310" s="21" t="s">
        <v>133</v>
      </c>
      <c r="D310" s="21" t="s">
        <v>72</v>
      </c>
      <c r="E310" s="21" t="s">
        <v>729</v>
      </c>
      <c r="F310" s="21" t="s">
        <v>738</v>
      </c>
      <c r="G310" s="21" t="s">
        <v>739</v>
      </c>
      <c r="H310" s="22" t="s">
        <v>1390</v>
      </c>
      <c r="I310" s="22" t="s">
        <v>1391</v>
      </c>
      <c r="J310" s="22"/>
    </row>
    <row r="311" customFormat="false" ht="15" hidden="false" customHeight="false" outlineLevel="0" collapsed="false">
      <c r="A311" s="21" t="n">
        <v>44</v>
      </c>
      <c r="B311" s="22" t="s">
        <v>383</v>
      </c>
      <c r="C311" s="21" t="s">
        <v>133</v>
      </c>
      <c r="D311" s="21" t="s">
        <v>72</v>
      </c>
      <c r="E311" s="21" t="s">
        <v>742</v>
      </c>
      <c r="F311" s="21" t="s">
        <v>743</v>
      </c>
      <c r="G311" s="21" t="s">
        <v>744</v>
      </c>
      <c r="H311" s="22" t="s">
        <v>1392</v>
      </c>
      <c r="I311" s="22" t="s">
        <v>1393</v>
      </c>
      <c r="J311" s="22"/>
    </row>
    <row r="312" customFormat="false" ht="23.85" hidden="false" customHeight="false" outlineLevel="0" collapsed="false">
      <c r="A312" s="24" t="n">
        <v>44</v>
      </c>
      <c r="B312" s="25" t="s">
        <v>383</v>
      </c>
      <c r="C312" s="24" t="s">
        <v>133</v>
      </c>
      <c r="D312" s="24" t="s">
        <v>72</v>
      </c>
      <c r="E312" s="24" t="s">
        <v>742</v>
      </c>
      <c r="F312" s="24" t="s">
        <v>747</v>
      </c>
      <c r="G312" s="24" t="s">
        <v>748</v>
      </c>
      <c r="H312" s="25" t="s">
        <v>1394</v>
      </c>
      <c r="I312" s="25" t="s">
        <v>1395</v>
      </c>
      <c r="J312" s="25"/>
    </row>
    <row r="313" customFormat="false" ht="23.85" hidden="false" customHeight="false" outlineLevel="0" collapsed="false">
      <c r="A313" s="16" t="n">
        <v>45</v>
      </c>
      <c r="B313" s="17" t="s">
        <v>387</v>
      </c>
      <c r="C313" s="16" t="s">
        <v>133</v>
      </c>
      <c r="D313" s="16" t="s">
        <v>72</v>
      </c>
      <c r="E313" s="16" t="s">
        <v>719</v>
      </c>
      <c r="F313" s="16" t="s">
        <v>720</v>
      </c>
      <c r="G313" s="16" t="s">
        <v>721</v>
      </c>
      <c r="H313" s="18" t="s">
        <v>1396</v>
      </c>
      <c r="I313" s="17" t="s">
        <v>1397</v>
      </c>
      <c r="J313" s="17" t="s">
        <v>1398</v>
      </c>
    </row>
    <row r="314" customFormat="false" ht="15" hidden="false" customHeight="false" outlineLevel="0" collapsed="false">
      <c r="A314" s="16" t="n">
        <v>45</v>
      </c>
      <c r="B314" s="17" t="s">
        <v>387</v>
      </c>
      <c r="C314" s="16" t="s">
        <v>133</v>
      </c>
      <c r="D314" s="16" t="s">
        <v>72</v>
      </c>
      <c r="E314" s="16" t="s">
        <v>719</v>
      </c>
      <c r="F314" s="16" t="s">
        <v>725</v>
      </c>
      <c r="G314" s="16" t="s">
        <v>726</v>
      </c>
      <c r="H314" s="17" t="s">
        <v>1399</v>
      </c>
      <c r="I314" s="17" t="s">
        <v>1400</v>
      </c>
      <c r="J314" s="17"/>
    </row>
    <row r="315" customFormat="false" ht="15" hidden="false" customHeight="false" outlineLevel="0" collapsed="false">
      <c r="A315" s="16" t="n">
        <v>45</v>
      </c>
      <c r="B315" s="17" t="s">
        <v>387</v>
      </c>
      <c r="C315" s="16" t="s">
        <v>133</v>
      </c>
      <c r="D315" s="16" t="s">
        <v>72</v>
      </c>
      <c r="E315" s="16" t="s">
        <v>729</v>
      </c>
      <c r="F315" s="16" t="s">
        <v>730</v>
      </c>
      <c r="G315" s="16" t="s">
        <v>731</v>
      </c>
      <c r="H315" s="17" t="s">
        <v>1401</v>
      </c>
      <c r="I315" s="17" t="s">
        <v>1402</v>
      </c>
      <c r="J315" s="17"/>
    </row>
    <row r="316" customFormat="false" ht="23.85" hidden="false" customHeight="false" outlineLevel="0" collapsed="false">
      <c r="A316" s="16" t="n">
        <v>45</v>
      </c>
      <c r="B316" s="17" t="s">
        <v>387</v>
      </c>
      <c r="C316" s="16" t="s">
        <v>133</v>
      </c>
      <c r="D316" s="16" t="s">
        <v>72</v>
      </c>
      <c r="E316" s="16" t="s">
        <v>729</v>
      </c>
      <c r="F316" s="16" t="s">
        <v>734</v>
      </c>
      <c r="G316" s="16" t="s">
        <v>735</v>
      </c>
      <c r="H316" s="17" t="s">
        <v>1403</v>
      </c>
      <c r="I316" s="17" t="s">
        <v>1404</v>
      </c>
      <c r="J316" s="17"/>
    </row>
    <row r="317" customFormat="false" ht="15" hidden="false" customHeight="false" outlineLevel="0" collapsed="false">
      <c r="A317" s="16" t="n">
        <v>45</v>
      </c>
      <c r="B317" s="17" t="s">
        <v>387</v>
      </c>
      <c r="C317" s="16" t="s">
        <v>133</v>
      </c>
      <c r="D317" s="16" t="s">
        <v>72</v>
      </c>
      <c r="E317" s="16" t="s">
        <v>729</v>
      </c>
      <c r="F317" s="16" t="s">
        <v>738</v>
      </c>
      <c r="G317" s="16" t="s">
        <v>739</v>
      </c>
      <c r="H317" s="17" t="s">
        <v>1405</v>
      </c>
      <c r="I317" s="17" t="s">
        <v>1406</v>
      </c>
      <c r="J317" s="17"/>
    </row>
    <row r="318" customFormat="false" ht="15" hidden="false" customHeight="false" outlineLevel="0" collapsed="false">
      <c r="A318" s="16" t="n">
        <v>45</v>
      </c>
      <c r="B318" s="17" t="s">
        <v>387</v>
      </c>
      <c r="C318" s="16" t="s">
        <v>133</v>
      </c>
      <c r="D318" s="16" t="s">
        <v>72</v>
      </c>
      <c r="E318" s="16" t="s">
        <v>742</v>
      </c>
      <c r="F318" s="16" t="s">
        <v>743</v>
      </c>
      <c r="G318" s="16" t="s">
        <v>744</v>
      </c>
      <c r="H318" s="17" t="s">
        <v>1407</v>
      </c>
      <c r="I318" s="17" t="s">
        <v>1408</v>
      </c>
      <c r="J318" s="17"/>
    </row>
    <row r="319" customFormat="false" ht="23.85" hidden="false" customHeight="false" outlineLevel="0" collapsed="false">
      <c r="A319" s="19" t="n">
        <v>45</v>
      </c>
      <c r="B319" s="20" t="s">
        <v>387</v>
      </c>
      <c r="C319" s="19" t="s">
        <v>133</v>
      </c>
      <c r="D319" s="19" t="s">
        <v>72</v>
      </c>
      <c r="E319" s="19" t="s">
        <v>742</v>
      </c>
      <c r="F319" s="19" t="s">
        <v>747</v>
      </c>
      <c r="G319" s="19" t="s">
        <v>748</v>
      </c>
      <c r="H319" s="20" t="s">
        <v>1409</v>
      </c>
      <c r="I319" s="20" t="s">
        <v>1410</v>
      </c>
      <c r="J319" s="20"/>
    </row>
    <row r="320" customFormat="false" ht="23.85" hidden="false" customHeight="false" outlineLevel="0" collapsed="false">
      <c r="A320" s="21" t="n">
        <v>46</v>
      </c>
      <c r="B320" s="22" t="s">
        <v>391</v>
      </c>
      <c r="C320" s="21" t="s">
        <v>133</v>
      </c>
      <c r="D320" s="21" t="s">
        <v>317</v>
      </c>
      <c r="E320" s="21" t="s">
        <v>719</v>
      </c>
      <c r="F320" s="21" t="s">
        <v>720</v>
      </c>
      <c r="G320" s="21" t="s">
        <v>721</v>
      </c>
      <c r="H320" s="23" t="s">
        <v>1411</v>
      </c>
      <c r="I320" s="22" t="s">
        <v>1412</v>
      </c>
      <c r="J320" s="22" t="s">
        <v>1413</v>
      </c>
    </row>
    <row r="321" customFormat="false" ht="23.85" hidden="false" customHeight="false" outlineLevel="0" collapsed="false">
      <c r="A321" s="21" t="n">
        <v>46</v>
      </c>
      <c r="B321" s="22" t="s">
        <v>391</v>
      </c>
      <c r="C321" s="21" t="s">
        <v>133</v>
      </c>
      <c r="D321" s="21" t="s">
        <v>317</v>
      </c>
      <c r="E321" s="21" t="s">
        <v>719</v>
      </c>
      <c r="F321" s="21" t="s">
        <v>725</v>
      </c>
      <c r="G321" s="21" t="s">
        <v>726</v>
      </c>
      <c r="H321" s="22" t="s">
        <v>1414</v>
      </c>
      <c r="I321" s="22" t="s">
        <v>1415</v>
      </c>
      <c r="J321" s="22"/>
    </row>
    <row r="322" customFormat="false" ht="23.85" hidden="false" customHeight="false" outlineLevel="0" collapsed="false">
      <c r="A322" s="21" t="n">
        <v>46</v>
      </c>
      <c r="B322" s="22" t="s">
        <v>391</v>
      </c>
      <c r="C322" s="21" t="s">
        <v>133</v>
      </c>
      <c r="D322" s="21" t="s">
        <v>317</v>
      </c>
      <c r="E322" s="21" t="s">
        <v>729</v>
      </c>
      <c r="F322" s="21" t="s">
        <v>730</v>
      </c>
      <c r="G322" s="21" t="s">
        <v>731</v>
      </c>
      <c r="H322" s="22" t="s">
        <v>1416</v>
      </c>
      <c r="I322" s="22" t="s">
        <v>1417</v>
      </c>
      <c r="J322" s="22"/>
    </row>
    <row r="323" customFormat="false" ht="15" hidden="false" customHeight="false" outlineLevel="0" collapsed="false">
      <c r="A323" s="21" t="n">
        <v>46</v>
      </c>
      <c r="B323" s="22" t="s">
        <v>391</v>
      </c>
      <c r="C323" s="21" t="s">
        <v>133</v>
      </c>
      <c r="D323" s="21" t="s">
        <v>317</v>
      </c>
      <c r="E323" s="21" t="s">
        <v>729</v>
      </c>
      <c r="F323" s="21" t="s">
        <v>734</v>
      </c>
      <c r="G323" s="21" t="s">
        <v>735</v>
      </c>
      <c r="H323" s="22" t="s">
        <v>1418</v>
      </c>
      <c r="I323" s="22" t="s">
        <v>1419</v>
      </c>
      <c r="J323" s="22"/>
    </row>
    <row r="324" customFormat="false" ht="23.85" hidden="false" customHeight="false" outlineLevel="0" collapsed="false">
      <c r="A324" s="21" t="n">
        <v>46</v>
      </c>
      <c r="B324" s="22" t="s">
        <v>391</v>
      </c>
      <c r="C324" s="21" t="s">
        <v>133</v>
      </c>
      <c r="D324" s="21" t="s">
        <v>317</v>
      </c>
      <c r="E324" s="21" t="s">
        <v>729</v>
      </c>
      <c r="F324" s="21" t="s">
        <v>738</v>
      </c>
      <c r="G324" s="21" t="s">
        <v>739</v>
      </c>
      <c r="H324" s="22" t="s">
        <v>1420</v>
      </c>
      <c r="I324" s="22" t="s">
        <v>1421</v>
      </c>
      <c r="J324" s="22"/>
    </row>
    <row r="325" customFormat="false" ht="15" hidden="false" customHeight="false" outlineLevel="0" collapsed="false">
      <c r="A325" s="21" t="n">
        <v>46</v>
      </c>
      <c r="B325" s="22" t="s">
        <v>391</v>
      </c>
      <c r="C325" s="21" t="s">
        <v>133</v>
      </c>
      <c r="D325" s="21" t="s">
        <v>317</v>
      </c>
      <c r="E325" s="21" t="s">
        <v>742</v>
      </c>
      <c r="F325" s="21" t="s">
        <v>743</v>
      </c>
      <c r="G325" s="21" t="s">
        <v>744</v>
      </c>
      <c r="H325" s="22" t="s">
        <v>1422</v>
      </c>
      <c r="I325" s="22" t="s">
        <v>1423</v>
      </c>
      <c r="J325" s="22"/>
    </row>
    <row r="326" customFormat="false" ht="23.85" hidden="false" customHeight="false" outlineLevel="0" collapsed="false">
      <c r="A326" s="24" t="n">
        <v>46</v>
      </c>
      <c r="B326" s="25" t="s">
        <v>391</v>
      </c>
      <c r="C326" s="24" t="s">
        <v>133</v>
      </c>
      <c r="D326" s="24" t="s">
        <v>317</v>
      </c>
      <c r="E326" s="24" t="s">
        <v>742</v>
      </c>
      <c r="F326" s="24" t="s">
        <v>747</v>
      </c>
      <c r="G326" s="24" t="s">
        <v>748</v>
      </c>
      <c r="H326" s="25" t="s">
        <v>1424</v>
      </c>
      <c r="I326" s="25" t="s">
        <v>1425</v>
      </c>
      <c r="J326" s="25"/>
    </row>
    <row r="327" customFormat="false" ht="23.85" hidden="false" customHeight="false" outlineLevel="0" collapsed="false">
      <c r="A327" s="16" t="n">
        <v>47</v>
      </c>
      <c r="B327" s="17" t="s">
        <v>395</v>
      </c>
      <c r="C327" s="16" t="s">
        <v>90</v>
      </c>
      <c r="D327" s="16" t="s">
        <v>96</v>
      </c>
      <c r="E327" s="16" t="s">
        <v>719</v>
      </c>
      <c r="F327" s="16" t="s">
        <v>720</v>
      </c>
      <c r="G327" s="16" t="s">
        <v>721</v>
      </c>
      <c r="H327" s="18" t="s">
        <v>1426</v>
      </c>
      <c r="I327" s="17" t="s">
        <v>1427</v>
      </c>
      <c r="J327" s="17" t="s">
        <v>1428</v>
      </c>
    </row>
    <row r="328" customFormat="false" ht="23.85" hidden="false" customHeight="false" outlineLevel="0" collapsed="false">
      <c r="A328" s="16" t="n">
        <v>47</v>
      </c>
      <c r="B328" s="17" t="s">
        <v>395</v>
      </c>
      <c r="C328" s="16" t="s">
        <v>90</v>
      </c>
      <c r="D328" s="16" t="s">
        <v>96</v>
      </c>
      <c r="E328" s="16" t="s">
        <v>719</v>
      </c>
      <c r="F328" s="16" t="s">
        <v>725</v>
      </c>
      <c r="G328" s="16" t="s">
        <v>726</v>
      </c>
      <c r="H328" s="17" t="s">
        <v>1429</v>
      </c>
      <c r="I328" s="17" t="s">
        <v>1430</v>
      </c>
      <c r="J328" s="17"/>
    </row>
    <row r="329" customFormat="false" ht="15" hidden="false" customHeight="false" outlineLevel="0" collapsed="false">
      <c r="A329" s="16" t="n">
        <v>47</v>
      </c>
      <c r="B329" s="17" t="s">
        <v>395</v>
      </c>
      <c r="C329" s="16" t="s">
        <v>90</v>
      </c>
      <c r="D329" s="16" t="s">
        <v>96</v>
      </c>
      <c r="E329" s="16" t="s">
        <v>729</v>
      </c>
      <c r="F329" s="16" t="s">
        <v>730</v>
      </c>
      <c r="G329" s="16" t="s">
        <v>731</v>
      </c>
      <c r="H329" s="17" t="s">
        <v>1431</v>
      </c>
      <c r="I329" s="17" t="s">
        <v>1432</v>
      </c>
      <c r="J329" s="17"/>
    </row>
    <row r="330" customFormat="false" ht="15" hidden="false" customHeight="false" outlineLevel="0" collapsed="false">
      <c r="A330" s="16" t="n">
        <v>47</v>
      </c>
      <c r="B330" s="17" t="s">
        <v>395</v>
      </c>
      <c r="C330" s="16" t="s">
        <v>90</v>
      </c>
      <c r="D330" s="16" t="s">
        <v>96</v>
      </c>
      <c r="E330" s="16" t="s">
        <v>729</v>
      </c>
      <c r="F330" s="16" t="s">
        <v>734</v>
      </c>
      <c r="G330" s="16" t="s">
        <v>735</v>
      </c>
      <c r="H330" s="17" t="s">
        <v>1433</v>
      </c>
      <c r="I330" s="17" t="s">
        <v>1434</v>
      </c>
      <c r="J330" s="17"/>
    </row>
    <row r="331" customFormat="false" ht="15" hidden="false" customHeight="false" outlineLevel="0" collapsed="false">
      <c r="A331" s="16" t="n">
        <v>47</v>
      </c>
      <c r="B331" s="17" t="s">
        <v>395</v>
      </c>
      <c r="C331" s="16" t="s">
        <v>90</v>
      </c>
      <c r="D331" s="16" t="s">
        <v>96</v>
      </c>
      <c r="E331" s="16" t="s">
        <v>729</v>
      </c>
      <c r="F331" s="16" t="s">
        <v>738</v>
      </c>
      <c r="G331" s="16" t="s">
        <v>739</v>
      </c>
      <c r="H331" s="17" t="s">
        <v>1435</v>
      </c>
      <c r="I331" s="17" t="s">
        <v>1436</v>
      </c>
      <c r="J331" s="17"/>
    </row>
    <row r="332" customFormat="false" ht="15" hidden="false" customHeight="false" outlineLevel="0" collapsed="false">
      <c r="A332" s="16" t="n">
        <v>47</v>
      </c>
      <c r="B332" s="17" t="s">
        <v>395</v>
      </c>
      <c r="C332" s="16" t="s">
        <v>90</v>
      </c>
      <c r="D332" s="16" t="s">
        <v>96</v>
      </c>
      <c r="E332" s="16" t="s">
        <v>742</v>
      </c>
      <c r="F332" s="16" t="s">
        <v>743</v>
      </c>
      <c r="G332" s="16" t="s">
        <v>744</v>
      </c>
      <c r="H332" s="17" t="s">
        <v>1437</v>
      </c>
      <c r="I332" s="17" t="s">
        <v>1438</v>
      </c>
      <c r="J332" s="17"/>
    </row>
    <row r="333" customFormat="false" ht="23.85" hidden="false" customHeight="false" outlineLevel="0" collapsed="false">
      <c r="A333" s="19" t="n">
        <v>47</v>
      </c>
      <c r="B333" s="20" t="s">
        <v>395</v>
      </c>
      <c r="C333" s="19" t="s">
        <v>90</v>
      </c>
      <c r="D333" s="19" t="s">
        <v>96</v>
      </c>
      <c r="E333" s="19" t="s">
        <v>742</v>
      </c>
      <c r="F333" s="19" t="s">
        <v>747</v>
      </c>
      <c r="G333" s="19" t="s">
        <v>748</v>
      </c>
      <c r="H333" s="20" t="s">
        <v>1439</v>
      </c>
      <c r="I333" s="20" t="s">
        <v>1440</v>
      </c>
      <c r="J333" s="20"/>
    </row>
    <row r="334" customFormat="false" ht="23.85" hidden="false" customHeight="false" outlineLevel="0" collapsed="false">
      <c r="A334" s="21" t="n">
        <v>48</v>
      </c>
      <c r="B334" s="22" t="s">
        <v>403</v>
      </c>
      <c r="C334" s="21" t="s">
        <v>133</v>
      </c>
      <c r="D334" s="21" t="s">
        <v>96</v>
      </c>
      <c r="E334" s="21" t="s">
        <v>719</v>
      </c>
      <c r="F334" s="21" t="s">
        <v>720</v>
      </c>
      <c r="G334" s="21" t="s">
        <v>721</v>
      </c>
      <c r="H334" s="23" t="s">
        <v>1441</v>
      </c>
      <c r="I334" s="22" t="s">
        <v>1442</v>
      </c>
      <c r="J334" s="22" t="s">
        <v>1443</v>
      </c>
    </row>
    <row r="335" customFormat="false" ht="15" hidden="false" customHeight="false" outlineLevel="0" collapsed="false">
      <c r="A335" s="21" t="n">
        <v>48</v>
      </c>
      <c r="B335" s="22" t="s">
        <v>403</v>
      </c>
      <c r="C335" s="21" t="s">
        <v>133</v>
      </c>
      <c r="D335" s="21" t="s">
        <v>96</v>
      </c>
      <c r="E335" s="21" t="s">
        <v>719</v>
      </c>
      <c r="F335" s="21" t="s">
        <v>725</v>
      </c>
      <c r="G335" s="21" t="s">
        <v>726</v>
      </c>
      <c r="H335" s="22" t="s">
        <v>1444</v>
      </c>
      <c r="I335" s="22" t="s">
        <v>1445</v>
      </c>
      <c r="J335" s="22"/>
    </row>
    <row r="336" customFormat="false" ht="15" hidden="false" customHeight="false" outlineLevel="0" collapsed="false">
      <c r="A336" s="21" t="n">
        <v>48</v>
      </c>
      <c r="B336" s="22" t="s">
        <v>403</v>
      </c>
      <c r="C336" s="21" t="s">
        <v>133</v>
      </c>
      <c r="D336" s="21" t="s">
        <v>96</v>
      </c>
      <c r="E336" s="21" t="s">
        <v>729</v>
      </c>
      <c r="F336" s="21" t="s">
        <v>730</v>
      </c>
      <c r="G336" s="21" t="s">
        <v>731</v>
      </c>
      <c r="H336" s="22" t="s">
        <v>1446</v>
      </c>
      <c r="I336" s="22" t="s">
        <v>1447</v>
      </c>
      <c r="J336" s="22"/>
    </row>
    <row r="337" customFormat="false" ht="15" hidden="false" customHeight="false" outlineLevel="0" collapsed="false">
      <c r="A337" s="21" t="n">
        <v>48</v>
      </c>
      <c r="B337" s="22" t="s">
        <v>403</v>
      </c>
      <c r="C337" s="21" t="s">
        <v>133</v>
      </c>
      <c r="D337" s="21" t="s">
        <v>96</v>
      </c>
      <c r="E337" s="21" t="s">
        <v>729</v>
      </c>
      <c r="F337" s="21" t="s">
        <v>734</v>
      </c>
      <c r="G337" s="21" t="s">
        <v>735</v>
      </c>
      <c r="H337" s="22" t="s">
        <v>1448</v>
      </c>
      <c r="I337" s="22" t="s">
        <v>1449</v>
      </c>
      <c r="J337" s="22"/>
    </row>
    <row r="338" customFormat="false" ht="15" hidden="false" customHeight="false" outlineLevel="0" collapsed="false">
      <c r="A338" s="21" t="n">
        <v>48</v>
      </c>
      <c r="B338" s="22" t="s">
        <v>403</v>
      </c>
      <c r="C338" s="21" t="s">
        <v>133</v>
      </c>
      <c r="D338" s="21" t="s">
        <v>96</v>
      </c>
      <c r="E338" s="21" t="s">
        <v>729</v>
      </c>
      <c r="F338" s="21" t="s">
        <v>738</v>
      </c>
      <c r="G338" s="21" t="s">
        <v>739</v>
      </c>
      <c r="H338" s="22" t="s">
        <v>1450</v>
      </c>
      <c r="I338" s="22" t="s">
        <v>1451</v>
      </c>
      <c r="J338" s="22"/>
    </row>
    <row r="339" customFormat="false" ht="15" hidden="false" customHeight="false" outlineLevel="0" collapsed="false">
      <c r="A339" s="21" t="n">
        <v>48</v>
      </c>
      <c r="B339" s="22" t="s">
        <v>403</v>
      </c>
      <c r="C339" s="21" t="s">
        <v>133</v>
      </c>
      <c r="D339" s="21" t="s">
        <v>96</v>
      </c>
      <c r="E339" s="21" t="s">
        <v>742</v>
      </c>
      <c r="F339" s="21" t="s">
        <v>743</v>
      </c>
      <c r="G339" s="21" t="s">
        <v>744</v>
      </c>
      <c r="H339" s="22" t="s">
        <v>1452</v>
      </c>
      <c r="I339" s="22" t="s">
        <v>1453</v>
      </c>
      <c r="J339" s="22"/>
    </row>
    <row r="340" customFormat="false" ht="23.85" hidden="false" customHeight="false" outlineLevel="0" collapsed="false">
      <c r="A340" s="24" t="n">
        <v>48</v>
      </c>
      <c r="B340" s="25" t="s">
        <v>403</v>
      </c>
      <c r="C340" s="24" t="s">
        <v>133</v>
      </c>
      <c r="D340" s="24" t="s">
        <v>96</v>
      </c>
      <c r="E340" s="24" t="s">
        <v>742</v>
      </c>
      <c r="F340" s="24" t="s">
        <v>747</v>
      </c>
      <c r="G340" s="24" t="s">
        <v>748</v>
      </c>
      <c r="H340" s="25" t="s">
        <v>1454</v>
      </c>
      <c r="I340" s="25" t="s">
        <v>1455</v>
      </c>
      <c r="J340" s="25"/>
    </row>
    <row r="341" customFormat="false" ht="23.85" hidden="false" customHeight="false" outlineLevel="0" collapsed="false">
      <c r="A341" s="16" t="n">
        <v>49</v>
      </c>
      <c r="B341" s="17" t="s">
        <v>407</v>
      </c>
      <c r="C341" s="16" t="s">
        <v>133</v>
      </c>
      <c r="D341" s="16" t="s">
        <v>96</v>
      </c>
      <c r="E341" s="16" t="s">
        <v>719</v>
      </c>
      <c r="F341" s="16" t="s">
        <v>720</v>
      </c>
      <c r="G341" s="16" t="s">
        <v>721</v>
      </c>
      <c r="H341" s="18" t="s">
        <v>1456</v>
      </c>
      <c r="I341" s="17" t="s">
        <v>1457</v>
      </c>
      <c r="J341" s="17" t="s">
        <v>1458</v>
      </c>
    </row>
    <row r="342" customFormat="false" ht="23.85" hidden="false" customHeight="false" outlineLevel="0" collapsed="false">
      <c r="A342" s="16" t="n">
        <v>49</v>
      </c>
      <c r="B342" s="17" t="s">
        <v>407</v>
      </c>
      <c r="C342" s="16" t="s">
        <v>133</v>
      </c>
      <c r="D342" s="16" t="s">
        <v>96</v>
      </c>
      <c r="E342" s="16" t="s">
        <v>719</v>
      </c>
      <c r="F342" s="16" t="s">
        <v>725</v>
      </c>
      <c r="G342" s="16" t="s">
        <v>726</v>
      </c>
      <c r="H342" s="17" t="s">
        <v>1459</v>
      </c>
      <c r="I342" s="17" t="s">
        <v>1460</v>
      </c>
      <c r="J342" s="17"/>
    </row>
    <row r="343" customFormat="false" ht="15" hidden="false" customHeight="false" outlineLevel="0" collapsed="false">
      <c r="A343" s="16" t="n">
        <v>49</v>
      </c>
      <c r="B343" s="17" t="s">
        <v>407</v>
      </c>
      <c r="C343" s="16" t="s">
        <v>133</v>
      </c>
      <c r="D343" s="16" t="s">
        <v>96</v>
      </c>
      <c r="E343" s="16" t="s">
        <v>729</v>
      </c>
      <c r="F343" s="16" t="s">
        <v>730</v>
      </c>
      <c r="G343" s="16" t="s">
        <v>731</v>
      </c>
      <c r="H343" s="17" t="s">
        <v>1461</v>
      </c>
      <c r="I343" s="17" t="s">
        <v>1462</v>
      </c>
      <c r="J343" s="17"/>
    </row>
    <row r="344" customFormat="false" ht="15" hidden="false" customHeight="false" outlineLevel="0" collapsed="false">
      <c r="A344" s="16" t="n">
        <v>49</v>
      </c>
      <c r="B344" s="17" t="s">
        <v>407</v>
      </c>
      <c r="C344" s="16" t="s">
        <v>133</v>
      </c>
      <c r="D344" s="16" t="s">
        <v>96</v>
      </c>
      <c r="E344" s="16" t="s">
        <v>729</v>
      </c>
      <c r="F344" s="16" t="s">
        <v>734</v>
      </c>
      <c r="G344" s="16" t="s">
        <v>735</v>
      </c>
      <c r="H344" s="17" t="s">
        <v>1463</v>
      </c>
      <c r="I344" s="17" t="s">
        <v>1464</v>
      </c>
      <c r="J344" s="17"/>
    </row>
    <row r="345" customFormat="false" ht="15" hidden="false" customHeight="false" outlineLevel="0" collapsed="false">
      <c r="A345" s="16" t="n">
        <v>49</v>
      </c>
      <c r="B345" s="17" t="s">
        <v>407</v>
      </c>
      <c r="C345" s="16" t="s">
        <v>133</v>
      </c>
      <c r="D345" s="16" t="s">
        <v>96</v>
      </c>
      <c r="E345" s="16" t="s">
        <v>729</v>
      </c>
      <c r="F345" s="16" t="s">
        <v>738</v>
      </c>
      <c r="G345" s="16" t="s">
        <v>739</v>
      </c>
      <c r="H345" s="17" t="s">
        <v>1465</v>
      </c>
      <c r="I345" s="17" t="s">
        <v>1466</v>
      </c>
      <c r="J345" s="17"/>
    </row>
    <row r="346" customFormat="false" ht="15" hidden="false" customHeight="false" outlineLevel="0" collapsed="false">
      <c r="A346" s="16" t="n">
        <v>49</v>
      </c>
      <c r="B346" s="17" t="s">
        <v>407</v>
      </c>
      <c r="C346" s="16" t="s">
        <v>133</v>
      </c>
      <c r="D346" s="16" t="s">
        <v>96</v>
      </c>
      <c r="E346" s="16" t="s">
        <v>742</v>
      </c>
      <c r="F346" s="16" t="s">
        <v>743</v>
      </c>
      <c r="G346" s="16" t="s">
        <v>744</v>
      </c>
      <c r="H346" s="17" t="s">
        <v>1467</v>
      </c>
      <c r="I346" s="17" t="s">
        <v>1468</v>
      </c>
      <c r="J346" s="17"/>
    </row>
    <row r="347" customFormat="false" ht="23.85" hidden="false" customHeight="false" outlineLevel="0" collapsed="false">
      <c r="A347" s="19" t="n">
        <v>49</v>
      </c>
      <c r="B347" s="20" t="s">
        <v>407</v>
      </c>
      <c r="C347" s="19" t="s">
        <v>133</v>
      </c>
      <c r="D347" s="19" t="s">
        <v>96</v>
      </c>
      <c r="E347" s="19" t="s">
        <v>742</v>
      </c>
      <c r="F347" s="19" t="s">
        <v>747</v>
      </c>
      <c r="G347" s="19" t="s">
        <v>748</v>
      </c>
      <c r="H347" s="20" t="s">
        <v>1469</v>
      </c>
      <c r="I347" s="20" t="s">
        <v>1470</v>
      </c>
      <c r="J347" s="20"/>
    </row>
    <row r="348" customFormat="false" ht="35.05" hidden="false" customHeight="false" outlineLevel="0" collapsed="false">
      <c r="A348" s="21" t="n">
        <v>50</v>
      </c>
      <c r="B348" s="22" t="s">
        <v>411</v>
      </c>
      <c r="C348" s="21" t="s">
        <v>133</v>
      </c>
      <c r="D348" s="21" t="s">
        <v>96</v>
      </c>
      <c r="E348" s="21" t="s">
        <v>719</v>
      </c>
      <c r="F348" s="21" t="s">
        <v>720</v>
      </c>
      <c r="G348" s="21" t="s">
        <v>721</v>
      </c>
      <c r="H348" s="23" t="s">
        <v>1471</v>
      </c>
      <c r="I348" s="22" t="s">
        <v>1472</v>
      </c>
      <c r="J348" s="22" t="s">
        <v>1473</v>
      </c>
    </row>
    <row r="349" customFormat="false" ht="23.85" hidden="false" customHeight="false" outlineLevel="0" collapsed="false">
      <c r="A349" s="21" t="n">
        <v>50</v>
      </c>
      <c r="B349" s="22" t="s">
        <v>411</v>
      </c>
      <c r="C349" s="21" t="s">
        <v>133</v>
      </c>
      <c r="D349" s="21" t="s">
        <v>96</v>
      </c>
      <c r="E349" s="21" t="s">
        <v>719</v>
      </c>
      <c r="F349" s="21" t="s">
        <v>725</v>
      </c>
      <c r="G349" s="21" t="s">
        <v>726</v>
      </c>
      <c r="H349" s="22" t="s">
        <v>1474</v>
      </c>
      <c r="I349" s="22" t="s">
        <v>1475</v>
      </c>
      <c r="J349" s="22"/>
    </row>
    <row r="350" customFormat="false" ht="15" hidden="false" customHeight="false" outlineLevel="0" collapsed="false">
      <c r="A350" s="21" t="n">
        <v>50</v>
      </c>
      <c r="B350" s="22" t="s">
        <v>411</v>
      </c>
      <c r="C350" s="21" t="s">
        <v>133</v>
      </c>
      <c r="D350" s="21" t="s">
        <v>96</v>
      </c>
      <c r="E350" s="21" t="s">
        <v>729</v>
      </c>
      <c r="F350" s="21" t="s">
        <v>730</v>
      </c>
      <c r="G350" s="21" t="s">
        <v>731</v>
      </c>
      <c r="H350" s="22" t="s">
        <v>1476</v>
      </c>
      <c r="I350" s="22" t="s">
        <v>1477</v>
      </c>
      <c r="J350" s="22"/>
    </row>
    <row r="351" customFormat="false" ht="15" hidden="false" customHeight="false" outlineLevel="0" collapsed="false">
      <c r="A351" s="21" t="n">
        <v>50</v>
      </c>
      <c r="B351" s="22" t="s">
        <v>411</v>
      </c>
      <c r="C351" s="21" t="s">
        <v>133</v>
      </c>
      <c r="D351" s="21" t="s">
        <v>96</v>
      </c>
      <c r="E351" s="21" t="s">
        <v>729</v>
      </c>
      <c r="F351" s="21" t="s">
        <v>734</v>
      </c>
      <c r="G351" s="21" t="s">
        <v>735</v>
      </c>
      <c r="H351" s="22" t="s">
        <v>1478</v>
      </c>
      <c r="I351" s="22" t="s">
        <v>1479</v>
      </c>
      <c r="J351" s="22"/>
    </row>
    <row r="352" customFormat="false" ht="23.85" hidden="false" customHeight="false" outlineLevel="0" collapsed="false">
      <c r="A352" s="21" t="n">
        <v>50</v>
      </c>
      <c r="B352" s="22" t="s">
        <v>411</v>
      </c>
      <c r="C352" s="21" t="s">
        <v>133</v>
      </c>
      <c r="D352" s="21" t="s">
        <v>96</v>
      </c>
      <c r="E352" s="21" t="s">
        <v>729</v>
      </c>
      <c r="F352" s="21" t="s">
        <v>738</v>
      </c>
      <c r="G352" s="21" t="s">
        <v>739</v>
      </c>
      <c r="H352" s="22" t="s">
        <v>1480</v>
      </c>
      <c r="I352" s="22" t="s">
        <v>1481</v>
      </c>
      <c r="J352" s="22"/>
    </row>
    <row r="353" customFormat="false" ht="15" hidden="false" customHeight="false" outlineLevel="0" collapsed="false">
      <c r="A353" s="21" t="n">
        <v>50</v>
      </c>
      <c r="B353" s="22" t="s">
        <v>411</v>
      </c>
      <c r="C353" s="21" t="s">
        <v>133</v>
      </c>
      <c r="D353" s="21" t="s">
        <v>96</v>
      </c>
      <c r="E353" s="21" t="s">
        <v>742</v>
      </c>
      <c r="F353" s="21" t="s">
        <v>743</v>
      </c>
      <c r="G353" s="21" t="s">
        <v>744</v>
      </c>
      <c r="H353" s="22" t="s">
        <v>1482</v>
      </c>
      <c r="I353" s="22" t="s">
        <v>1483</v>
      </c>
      <c r="J353" s="22"/>
    </row>
    <row r="354" customFormat="false" ht="23.85" hidden="false" customHeight="false" outlineLevel="0" collapsed="false">
      <c r="A354" s="24" t="n">
        <v>50</v>
      </c>
      <c r="B354" s="25" t="s">
        <v>411</v>
      </c>
      <c r="C354" s="24" t="s">
        <v>133</v>
      </c>
      <c r="D354" s="24" t="s">
        <v>96</v>
      </c>
      <c r="E354" s="24" t="s">
        <v>742</v>
      </c>
      <c r="F354" s="24" t="s">
        <v>747</v>
      </c>
      <c r="G354" s="24" t="s">
        <v>748</v>
      </c>
      <c r="H354" s="25" t="s">
        <v>1484</v>
      </c>
      <c r="I354" s="25" t="s">
        <v>1485</v>
      </c>
      <c r="J354" s="25"/>
    </row>
    <row r="355" customFormat="false" ht="23.85" hidden="false" customHeight="false" outlineLevel="0" collapsed="false">
      <c r="A355" s="16" t="n">
        <v>51</v>
      </c>
      <c r="B355" s="17" t="s">
        <v>416</v>
      </c>
      <c r="C355" s="16" t="s">
        <v>133</v>
      </c>
      <c r="D355" s="16" t="s">
        <v>96</v>
      </c>
      <c r="E355" s="16" t="s">
        <v>719</v>
      </c>
      <c r="F355" s="16" t="s">
        <v>720</v>
      </c>
      <c r="G355" s="16" t="s">
        <v>721</v>
      </c>
      <c r="H355" s="18" t="s">
        <v>1486</v>
      </c>
      <c r="I355" s="17" t="s">
        <v>1487</v>
      </c>
      <c r="J355" s="17" t="s">
        <v>1488</v>
      </c>
    </row>
    <row r="356" customFormat="false" ht="15" hidden="false" customHeight="false" outlineLevel="0" collapsed="false">
      <c r="A356" s="16" t="n">
        <v>51</v>
      </c>
      <c r="B356" s="17" t="s">
        <v>416</v>
      </c>
      <c r="C356" s="16" t="s">
        <v>133</v>
      </c>
      <c r="D356" s="16" t="s">
        <v>96</v>
      </c>
      <c r="E356" s="16" t="s">
        <v>719</v>
      </c>
      <c r="F356" s="16" t="s">
        <v>725</v>
      </c>
      <c r="G356" s="16" t="s">
        <v>726</v>
      </c>
      <c r="H356" s="17" t="s">
        <v>1489</v>
      </c>
      <c r="I356" s="17" t="s">
        <v>1490</v>
      </c>
      <c r="J356" s="17"/>
    </row>
    <row r="357" customFormat="false" ht="23.85" hidden="false" customHeight="false" outlineLevel="0" collapsed="false">
      <c r="A357" s="16" t="n">
        <v>51</v>
      </c>
      <c r="B357" s="17" t="s">
        <v>416</v>
      </c>
      <c r="C357" s="16" t="s">
        <v>133</v>
      </c>
      <c r="D357" s="16" t="s">
        <v>96</v>
      </c>
      <c r="E357" s="16" t="s">
        <v>729</v>
      </c>
      <c r="F357" s="16" t="s">
        <v>730</v>
      </c>
      <c r="G357" s="16" t="s">
        <v>731</v>
      </c>
      <c r="H357" s="17" t="s">
        <v>1491</v>
      </c>
      <c r="I357" s="17" t="s">
        <v>1492</v>
      </c>
      <c r="J357" s="17"/>
    </row>
    <row r="358" customFormat="false" ht="23.85" hidden="false" customHeight="false" outlineLevel="0" collapsed="false">
      <c r="A358" s="16" t="n">
        <v>51</v>
      </c>
      <c r="B358" s="17" t="s">
        <v>416</v>
      </c>
      <c r="C358" s="16" t="s">
        <v>133</v>
      </c>
      <c r="D358" s="16" t="s">
        <v>96</v>
      </c>
      <c r="E358" s="16" t="s">
        <v>729</v>
      </c>
      <c r="F358" s="16" t="s">
        <v>734</v>
      </c>
      <c r="G358" s="16" t="s">
        <v>735</v>
      </c>
      <c r="H358" s="17" t="s">
        <v>1493</v>
      </c>
      <c r="I358" s="17" t="s">
        <v>1494</v>
      </c>
      <c r="J358" s="17"/>
    </row>
    <row r="359" customFormat="false" ht="15" hidden="false" customHeight="false" outlineLevel="0" collapsed="false">
      <c r="A359" s="16" t="n">
        <v>51</v>
      </c>
      <c r="B359" s="17" t="s">
        <v>416</v>
      </c>
      <c r="C359" s="16" t="s">
        <v>133</v>
      </c>
      <c r="D359" s="16" t="s">
        <v>96</v>
      </c>
      <c r="E359" s="16" t="s">
        <v>729</v>
      </c>
      <c r="F359" s="16" t="s">
        <v>738</v>
      </c>
      <c r="G359" s="16" t="s">
        <v>739</v>
      </c>
      <c r="H359" s="17" t="s">
        <v>1495</v>
      </c>
      <c r="I359" s="17" t="s">
        <v>1496</v>
      </c>
      <c r="J359" s="17"/>
    </row>
    <row r="360" customFormat="false" ht="15" hidden="false" customHeight="false" outlineLevel="0" collapsed="false">
      <c r="A360" s="16" t="n">
        <v>51</v>
      </c>
      <c r="B360" s="17" t="s">
        <v>416</v>
      </c>
      <c r="C360" s="16" t="s">
        <v>133</v>
      </c>
      <c r="D360" s="16" t="s">
        <v>96</v>
      </c>
      <c r="E360" s="16" t="s">
        <v>742</v>
      </c>
      <c r="F360" s="16" t="s">
        <v>743</v>
      </c>
      <c r="G360" s="16" t="s">
        <v>744</v>
      </c>
      <c r="H360" s="17" t="s">
        <v>1497</v>
      </c>
      <c r="I360" s="17" t="s">
        <v>1498</v>
      </c>
      <c r="J360" s="17"/>
    </row>
    <row r="361" customFormat="false" ht="23.85" hidden="false" customHeight="false" outlineLevel="0" collapsed="false">
      <c r="A361" s="19" t="n">
        <v>51</v>
      </c>
      <c r="B361" s="20" t="s">
        <v>416</v>
      </c>
      <c r="C361" s="19" t="s">
        <v>133</v>
      </c>
      <c r="D361" s="19" t="s">
        <v>96</v>
      </c>
      <c r="E361" s="19" t="s">
        <v>742</v>
      </c>
      <c r="F361" s="19" t="s">
        <v>747</v>
      </c>
      <c r="G361" s="19" t="s">
        <v>748</v>
      </c>
      <c r="H361" s="20" t="s">
        <v>1499</v>
      </c>
      <c r="I361" s="20" t="s">
        <v>1500</v>
      </c>
      <c r="J361" s="20"/>
    </row>
    <row r="362" customFormat="false" ht="35.05" hidden="false" customHeight="false" outlineLevel="0" collapsed="false">
      <c r="A362" s="21" t="n">
        <v>52</v>
      </c>
      <c r="B362" s="22" t="s">
        <v>420</v>
      </c>
      <c r="C362" s="21" t="s">
        <v>133</v>
      </c>
      <c r="D362" s="21" t="s">
        <v>164</v>
      </c>
      <c r="E362" s="21" t="s">
        <v>719</v>
      </c>
      <c r="F362" s="21" t="s">
        <v>720</v>
      </c>
      <c r="G362" s="21" t="s">
        <v>721</v>
      </c>
      <c r="H362" s="23" t="s">
        <v>1501</v>
      </c>
      <c r="I362" s="22" t="s">
        <v>1502</v>
      </c>
      <c r="J362" s="22" t="s">
        <v>1503</v>
      </c>
    </row>
    <row r="363" customFormat="false" ht="23.85" hidden="false" customHeight="false" outlineLevel="0" collapsed="false">
      <c r="A363" s="21" t="n">
        <v>52</v>
      </c>
      <c r="B363" s="22" t="s">
        <v>420</v>
      </c>
      <c r="C363" s="21" t="s">
        <v>133</v>
      </c>
      <c r="D363" s="21" t="s">
        <v>164</v>
      </c>
      <c r="E363" s="21" t="s">
        <v>719</v>
      </c>
      <c r="F363" s="21" t="s">
        <v>725</v>
      </c>
      <c r="G363" s="21" t="s">
        <v>726</v>
      </c>
      <c r="H363" s="22" t="s">
        <v>1504</v>
      </c>
      <c r="I363" s="22" t="s">
        <v>1505</v>
      </c>
      <c r="J363" s="22"/>
    </row>
    <row r="364" customFormat="false" ht="15" hidden="false" customHeight="false" outlineLevel="0" collapsed="false">
      <c r="A364" s="21" t="n">
        <v>52</v>
      </c>
      <c r="B364" s="22" t="s">
        <v>420</v>
      </c>
      <c r="C364" s="21" t="s">
        <v>133</v>
      </c>
      <c r="D364" s="21" t="s">
        <v>164</v>
      </c>
      <c r="E364" s="21" t="s">
        <v>729</v>
      </c>
      <c r="F364" s="21" t="s">
        <v>730</v>
      </c>
      <c r="G364" s="21" t="s">
        <v>731</v>
      </c>
      <c r="H364" s="22" t="s">
        <v>1506</v>
      </c>
      <c r="I364" s="22" t="s">
        <v>1507</v>
      </c>
      <c r="J364" s="22"/>
    </row>
    <row r="365" customFormat="false" ht="23.85" hidden="false" customHeight="false" outlineLevel="0" collapsed="false">
      <c r="A365" s="21" t="n">
        <v>52</v>
      </c>
      <c r="B365" s="22" t="s">
        <v>420</v>
      </c>
      <c r="C365" s="21" t="s">
        <v>133</v>
      </c>
      <c r="D365" s="21" t="s">
        <v>164</v>
      </c>
      <c r="E365" s="21" t="s">
        <v>729</v>
      </c>
      <c r="F365" s="21" t="s">
        <v>734</v>
      </c>
      <c r="G365" s="21" t="s">
        <v>735</v>
      </c>
      <c r="H365" s="22" t="s">
        <v>1508</v>
      </c>
      <c r="I365" s="22" t="s">
        <v>1509</v>
      </c>
      <c r="J365" s="22"/>
    </row>
    <row r="366" customFormat="false" ht="23.85" hidden="false" customHeight="false" outlineLevel="0" collapsed="false">
      <c r="A366" s="21" t="n">
        <v>52</v>
      </c>
      <c r="B366" s="22" t="s">
        <v>420</v>
      </c>
      <c r="C366" s="21" t="s">
        <v>133</v>
      </c>
      <c r="D366" s="21" t="s">
        <v>164</v>
      </c>
      <c r="E366" s="21" t="s">
        <v>729</v>
      </c>
      <c r="F366" s="21" t="s">
        <v>738</v>
      </c>
      <c r="G366" s="21" t="s">
        <v>739</v>
      </c>
      <c r="H366" s="22" t="s">
        <v>1510</v>
      </c>
      <c r="I366" s="22" t="s">
        <v>1511</v>
      </c>
      <c r="J366" s="22"/>
    </row>
    <row r="367" customFormat="false" ht="15" hidden="false" customHeight="false" outlineLevel="0" collapsed="false">
      <c r="A367" s="21" t="n">
        <v>52</v>
      </c>
      <c r="B367" s="22" t="s">
        <v>420</v>
      </c>
      <c r="C367" s="21" t="s">
        <v>133</v>
      </c>
      <c r="D367" s="21" t="s">
        <v>164</v>
      </c>
      <c r="E367" s="21" t="s">
        <v>742</v>
      </c>
      <c r="F367" s="21" t="s">
        <v>743</v>
      </c>
      <c r="G367" s="21" t="s">
        <v>744</v>
      </c>
      <c r="H367" s="22" t="s">
        <v>1512</v>
      </c>
      <c r="I367" s="22" t="s">
        <v>1513</v>
      </c>
      <c r="J367" s="22"/>
    </row>
    <row r="368" customFormat="false" ht="23.85" hidden="false" customHeight="false" outlineLevel="0" collapsed="false">
      <c r="A368" s="24" t="n">
        <v>52</v>
      </c>
      <c r="B368" s="25" t="s">
        <v>420</v>
      </c>
      <c r="C368" s="24" t="s">
        <v>133</v>
      </c>
      <c r="D368" s="24" t="s">
        <v>164</v>
      </c>
      <c r="E368" s="24" t="s">
        <v>742</v>
      </c>
      <c r="F368" s="24" t="s">
        <v>747</v>
      </c>
      <c r="G368" s="24" t="s">
        <v>748</v>
      </c>
      <c r="H368" s="25" t="s">
        <v>1514</v>
      </c>
      <c r="I368" s="25" t="s">
        <v>1515</v>
      </c>
      <c r="J368" s="25"/>
    </row>
    <row r="369" customFormat="false" ht="23.85" hidden="false" customHeight="false" outlineLevel="0" collapsed="false">
      <c r="A369" s="16" t="n">
        <v>53</v>
      </c>
      <c r="B369" s="17" t="s">
        <v>424</v>
      </c>
      <c r="C369" s="16" t="s">
        <v>133</v>
      </c>
      <c r="D369" s="16" t="s">
        <v>96</v>
      </c>
      <c r="E369" s="16" t="s">
        <v>719</v>
      </c>
      <c r="F369" s="16" t="s">
        <v>720</v>
      </c>
      <c r="G369" s="16" t="s">
        <v>721</v>
      </c>
      <c r="H369" s="18" t="s">
        <v>1516</v>
      </c>
      <c r="I369" s="17" t="s">
        <v>1517</v>
      </c>
      <c r="J369" s="17" t="s">
        <v>1518</v>
      </c>
    </row>
    <row r="370" customFormat="false" ht="15" hidden="false" customHeight="false" outlineLevel="0" collapsed="false">
      <c r="A370" s="16" t="n">
        <v>53</v>
      </c>
      <c r="B370" s="17" t="s">
        <v>424</v>
      </c>
      <c r="C370" s="16" t="s">
        <v>133</v>
      </c>
      <c r="D370" s="16" t="s">
        <v>96</v>
      </c>
      <c r="E370" s="16" t="s">
        <v>719</v>
      </c>
      <c r="F370" s="16" t="s">
        <v>725</v>
      </c>
      <c r="G370" s="16" t="s">
        <v>726</v>
      </c>
      <c r="H370" s="17" t="s">
        <v>1519</v>
      </c>
      <c r="I370" s="17" t="s">
        <v>1520</v>
      </c>
      <c r="J370" s="17"/>
    </row>
    <row r="371" customFormat="false" ht="23.85" hidden="false" customHeight="false" outlineLevel="0" collapsed="false">
      <c r="A371" s="16" t="n">
        <v>53</v>
      </c>
      <c r="B371" s="17" t="s">
        <v>424</v>
      </c>
      <c r="C371" s="16" t="s">
        <v>133</v>
      </c>
      <c r="D371" s="16" t="s">
        <v>96</v>
      </c>
      <c r="E371" s="16" t="s">
        <v>729</v>
      </c>
      <c r="F371" s="16" t="s">
        <v>730</v>
      </c>
      <c r="G371" s="16" t="s">
        <v>731</v>
      </c>
      <c r="H371" s="17" t="s">
        <v>1521</v>
      </c>
      <c r="I371" s="17" t="s">
        <v>1522</v>
      </c>
      <c r="J371" s="17"/>
    </row>
    <row r="372" customFormat="false" ht="23.85" hidden="false" customHeight="false" outlineLevel="0" collapsed="false">
      <c r="A372" s="16" t="n">
        <v>53</v>
      </c>
      <c r="B372" s="17" t="s">
        <v>424</v>
      </c>
      <c r="C372" s="16" t="s">
        <v>133</v>
      </c>
      <c r="D372" s="16" t="s">
        <v>96</v>
      </c>
      <c r="E372" s="16" t="s">
        <v>729</v>
      </c>
      <c r="F372" s="16" t="s">
        <v>734</v>
      </c>
      <c r="G372" s="16" t="s">
        <v>735</v>
      </c>
      <c r="H372" s="17" t="s">
        <v>1523</v>
      </c>
      <c r="I372" s="17" t="s">
        <v>1524</v>
      </c>
      <c r="J372" s="17"/>
    </row>
    <row r="373" customFormat="false" ht="15" hidden="false" customHeight="false" outlineLevel="0" collapsed="false">
      <c r="A373" s="16" t="n">
        <v>53</v>
      </c>
      <c r="B373" s="17" t="s">
        <v>424</v>
      </c>
      <c r="C373" s="16" t="s">
        <v>133</v>
      </c>
      <c r="D373" s="16" t="s">
        <v>96</v>
      </c>
      <c r="E373" s="16" t="s">
        <v>729</v>
      </c>
      <c r="F373" s="16" t="s">
        <v>738</v>
      </c>
      <c r="G373" s="16" t="s">
        <v>739</v>
      </c>
      <c r="H373" s="17" t="s">
        <v>1525</v>
      </c>
      <c r="I373" s="17" t="s">
        <v>1526</v>
      </c>
      <c r="J373" s="17"/>
    </row>
    <row r="374" customFormat="false" ht="15" hidden="false" customHeight="false" outlineLevel="0" collapsed="false">
      <c r="A374" s="16" t="n">
        <v>53</v>
      </c>
      <c r="B374" s="17" t="s">
        <v>424</v>
      </c>
      <c r="C374" s="16" t="s">
        <v>133</v>
      </c>
      <c r="D374" s="16" t="s">
        <v>96</v>
      </c>
      <c r="E374" s="16" t="s">
        <v>742</v>
      </c>
      <c r="F374" s="16" t="s">
        <v>743</v>
      </c>
      <c r="G374" s="16" t="s">
        <v>744</v>
      </c>
      <c r="H374" s="17" t="s">
        <v>1527</v>
      </c>
      <c r="I374" s="17" t="s">
        <v>1528</v>
      </c>
      <c r="J374" s="17"/>
    </row>
    <row r="375" customFormat="false" ht="23.85" hidden="false" customHeight="false" outlineLevel="0" collapsed="false">
      <c r="A375" s="19" t="n">
        <v>53</v>
      </c>
      <c r="B375" s="20" t="s">
        <v>424</v>
      </c>
      <c r="C375" s="19" t="s">
        <v>133</v>
      </c>
      <c r="D375" s="19" t="s">
        <v>96</v>
      </c>
      <c r="E375" s="19" t="s">
        <v>742</v>
      </c>
      <c r="F375" s="19" t="s">
        <v>747</v>
      </c>
      <c r="G375" s="19" t="s">
        <v>748</v>
      </c>
      <c r="H375" s="20" t="s">
        <v>1529</v>
      </c>
      <c r="I375" s="20" t="s">
        <v>1530</v>
      </c>
      <c r="J375" s="20"/>
    </row>
    <row r="376" customFormat="false" ht="23.85" hidden="false" customHeight="false" outlineLevel="0" collapsed="false">
      <c r="A376" s="21" t="n">
        <v>54</v>
      </c>
      <c r="B376" s="22" t="s">
        <v>428</v>
      </c>
      <c r="C376" s="21" t="s">
        <v>133</v>
      </c>
      <c r="D376" s="21" t="s">
        <v>96</v>
      </c>
      <c r="E376" s="21" t="s">
        <v>719</v>
      </c>
      <c r="F376" s="21" t="s">
        <v>720</v>
      </c>
      <c r="G376" s="21" t="s">
        <v>721</v>
      </c>
      <c r="H376" s="23" t="s">
        <v>1531</v>
      </c>
      <c r="I376" s="22" t="s">
        <v>1532</v>
      </c>
      <c r="J376" s="22" t="s">
        <v>1533</v>
      </c>
    </row>
    <row r="377" customFormat="false" ht="15" hidden="false" customHeight="false" outlineLevel="0" collapsed="false">
      <c r="A377" s="21" t="n">
        <v>54</v>
      </c>
      <c r="B377" s="22" t="s">
        <v>428</v>
      </c>
      <c r="C377" s="21" t="s">
        <v>133</v>
      </c>
      <c r="D377" s="21" t="s">
        <v>96</v>
      </c>
      <c r="E377" s="21" t="s">
        <v>719</v>
      </c>
      <c r="F377" s="21" t="s">
        <v>725</v>
      </c>
      <c r="G377" s="21" t="s">
        <v>726</v>
      </c>
      <c r="H377" s="22" t="s">
        <v>1534</v>
      </c>
      <c r="I377" s="22" t="s">
        <v>1535</v>
      </c>
      <c r="J377" s="22"/>
    </row>
    <row r="378" customFormat="false" ht="23.85" hidden="false" customHeight="false" outlineLevel="0" collapsed="false">
      <c r="A378" s="21" t="n">
        <v>54</v>
      </c>
      <c r="B378" s="22" t="s">
        <v>428</v>
      </c>
      <c r="C378" s="21" t="s">
        <v>133</v>
      </c>
      <c r="D378" s="21" t="s">
        <v>96</v>
      </c>
      <c r="E378" s="21" t="s">
        <v>729</v>
      </c>
      <c r="F378" s="21" t="s">
        <v>730</v>
      </c>
      <c r="G378" s="21" t="s">
        <v>731</v>
      </c>
      <c r="H378" s="22" t="s">
        <v>1536</v>
      </c>
      <c r="I378" s="22" t="s">
        <v>1537</v>
      </c>
      <c r="J378" s="22"/>
    </row>
    <row r="379" customFormat="false" ht="15" hidden="false" customHeight="false" outlineLevel="0" collapsed="false">
      <c r="A379" s="21" t="n">
        <v>54</v>
      </c>
      <c r="B379" s="22" t="s">
        <v>428</v>
      </c>
      <c r="C379" s="21" t="s">
        <v>133</v>
      </c>
      <c r="D379" s="21" t="s">
        <v>96</v>
      </c>
      <c r="E379" s="21" t="s">
        <v>729</v>
      </c>
      <c r="F379" s="21" t="s">
        <v>734</v>
      </c>
      <c r="G379" s="21" t="s">
        <v>735</v>
      </c>
      <c r="H379" s="22" t="s">
        <v>1538</v>
      </c>
      <c r="I379" s="22" t="s">
        <v>1539</v>
      </c>
      <c r="J379" s="22"/>
    </row>
    <row r="380" customFormat="false" ht="15" hidden="false" customHeight="false" outlineLevel="0" collapsed="false">
      <c r="A380" s="21" t="n">
        <v>54</v>
      </c>
      <c r="B380" s="22" t="s">
        <v>428</v>
      </c>
      <c r="C380" s="21" t="s">
        <v>133</v>
      </c>
      <c r="D380" s="21" t="s">
        <v>96</v>
      </c>
      <c r="E380" s="21" t="s">
        <v>729</v>
      </c>
      <c r="F380" s="21" t="s">
        <v>738</v>
      </c>
      <c r="G380" s="21" t="s">
        <v>739</v>
      </c>
      <c r="H380" s="22" t="s">
        <v>1540</v>
      </c>
      <c r="I380" s="22" t="s">
        <v>1541</v>
      </c>
      <c r="J380" s="22"/>
    </row>
    <row r="381" customFormat="false" ht="15" hidden="false" customHeight="false" outlineLevel="0" collapsed="false">
      <c r="A381" s="21" t="n">
        <v>54</v>
      </c>
      <c r="B381" s="22" t="s">
        <v>428</v>
      </c>
      <c r="C381" s="21" t="s">
        <v>133</v>
      </c>
      <c r="D381" s="21" t="s">
        <v>96</v>
      </c>
      <c r="E381" s="21" t="s">
        <v>742</v>
      </c>
      <c r="F381" s="21" t="s">
        <v>743</v>
      </c>
      <c r="G381" s="21" t="s">
        <v>744</v>
      </c>
      <c r="H381" s="22" t="s">
        <v>1542</v>
      </c>
      <c r="I381" s="22" t="s">
        <v>1543</v>
      </c>
      <c r="J381" s="22"/>
    </row>
    <row r="382" customFormat="false" ht="23.85" hidden="false" customHeight="false" outlineLevel="0" collapsed="false">
      <c r="A382" s="24" t="n">
        <v>54</v>
      </c>
      <c r="B382" s="25" t="s">
        <v>428</v>
      </c>
      <c r="C382" s="24" t="s">
        <v>133</v>
      </c>
      <c r="D382" s="24" t="s">
        <v>96</v>
      </c>
      <c r="E382" s="24" t="s">
        <v>742</v>
      </c>
      <c r="F382" s="24" t="s">
        <v>747</v>
      </c>
      <c r="G382" s="24" t="s">
        <v>748</v>
      </c>
      <c r="H382" s="25" t="s">
        <v>1544</v>
      </c>
      <c r="I382" s="25" t="s">
        <v>1545</v>
      </c>
      <c r="J382" s="25"/>
    </row>
    <row r="383" customFormat="false" ht="23.85" hidden="false" customHeight="false" outlineLevel="0" collapsed="false">
      <c r="A383" s="16" t="n">
        <v>55</v>
      </c>
      <c r="B383" s="17" t="s">
        <v>432</v>
      </c>
      <c r="C383" s="16" t="s">
        <v>133</v>
      </c>
      <c r="D383" s="16" t="s">
        <v>96</v>
      </c>
      <c r="E383" s="16" t="s">
        <v>719</v>
      </c>
      <c r="F383" s="16" t="s">
        <v>720</v>
      </c>
      <c r="G383" s="16" t="s">
        <v>721</v>
      </c>
      <c r="H383" s="18" t="s">
        <v>1546</v>
      </c>
      <c r="I383" s="17" t="s">
        <v>1547</v>
      </c>
      <c r="J383" s="17" t="s">
        <v>1548</v>
      </c>
    </row>
    <row r="384" customFormat="false" ht="23.85" hidden="false" customHeight="false" outlineLevel="0" collapsed="false">
      <c r="A384" s="16" t="n">
        <v>55</v>
      </c>
      <c r="B384" s="17" t="s">
        <v>432</v>
      </c>
      <c r="C384" s="16" t="s">
        <v>133</v>
      </c>
      <c r="D384" s="16" t="s">
        <v>96</v>
      </c>
      <c r="E384" s="16" t="s">
        <v>719</v>
      </c>
      <c r="F384" s="16" t="s">
        <v>725</v>
      </c>
      <c r="G384" s="16" t="s">
        <v>726</v>
      </c>
      <c r="H384" s="17" t="s">
        <v>1549</v>
      </c>
      <c r="I384" s="17" t="s">
        <v>1550</v>
      </c>
      <c r="J384" s="17"/>
    </row>
    <row r="385" customFormat="false" ht="15" hidden="false" customHeight="false" outlineLevel="0" collapsed="false">
      <c r="A385" s="16" t="n">
        <v>55</v>
      </c>
      <c r="B385" s="17" t="s">
        <v>432</v>
      </c>
      <c r="C385" s="16" t="s">
        <v>133</v>
      </c>
      <c r="D385" s="16" t="s">
        <v>96</v>
      </c>
      <c r="E385" s="16" t="s">
        <v>729</v>
      </c>
      <c r="F385" s="16" t="s">
        <v>730</v>
      </c>
      <c r="G385" s="16" t="s">
        <v>731</v>
      </c>
      <c r="H385" s="17" t="s">
        <v>1551</v>
      </c>
      <c r="I385" s="17" t="s">
        <v>1552</v>
      </c>
      <c r="J385" s="17"/>
    </row>
    <row r="386" customFormat="false" ht="23.85" hidden="false" customHeight="false" outlineLevel="0" collapsed="false">
      <c r="A386" s="16" t="n">
        <v>55</v>
      </c>
      <c r="B386" s="17" t="s">
        <v>432</v>
      </c>
      <c r="C386" s="16" t="s">
        <v>133</v>
      </c>
      <c r="D386" s="16" t="s">
        <v>96</v>
      </c>
      <c r="E386" s="16" t="s">
        <v>729</v>
      </c>
      <c r="F386" s="16" t="s">
        <v>734</v>
      </c>
      <c r="G386" s="16" t="s">
        <v>735</v>
      </c>
      <c r="H386" s="17" t="s">
        <v>1553</v>
      </c>
      <c r="I386" s="17" t="s">
        <v>1554</v>
      </c>
      <c r="J386" s="17"/>
    </row>
    <row r="387" customFormat="false" ht="15" hidden="false" customHeight="false" outlineLevel="0" collapsed="false">
      <c r="A387" s="16" t="n">
        <v>55</v>
      </c>
      <c r="B387" s="17" t="s">
        <v>432</v>
      </c>
      <c r="C387" s="16" t="s">
        <v>133</v>
      </c>
      <c r="D387" s="16" t="s">
        <v>96</v>
      </c>
      <c r="E387" s="16" t="s">
        <v>729</v>
      </c>
      <c r="F387" s="16" t="s">
        <v>738</v>
      </c>
      <c r="G387" s="16" t="s">
        <v>739</v>
      </c>
      <c r="H387" s="17" t="s">
        <v>1555</v>
      </c>
      <c r="I387" s="17" t="s">
        <v>1556</v>
      </c>
      <c r="J387" s="17"/>
    </row>
    <row r="388" customFormat="false" ht="15" hidden="false" customHeight="false" outlineLevel="0" collapsed="false">
      <c r="A388" s="16" t="n">
        <v>55</v>
      </c>
      <c r="B388" s="17" t="s">
        <v>432</v>
      </c>
      <c r="C388" s="16" t="s">
        <v>133</v>
      </c>
      <c r="D388" s="16" t="s">
        <v>96</v>
      </c>
      <c r="E388" s="16" t="s">
        <v>742</v>
      </c>
      <c r="F388" s="16" t="s">
        <v>743</v>
      </c>
      <c r="G388" s="16" t="s">
        <v>744</v>
      </c>
      <c r="H388" s="17" t="s">
        <v>1557</v>
      </c>
      <c r="I388" s="17" t="s">
        <v>1558</v>
      </c>
      <c r="J388" s="17"/>
    </row>
    <row r="389" customFormat="false" ht="23.85" hidden="false" customHeight="false" outlineLevel="0" collapsed="false">
      <c r="A389" s="19" t="n">
        <v>55</v>
      </c>
      <c r="B389" s="20" t="s">
        <v>432</v>
      </c>
      <c r="C389" s="19" t="s">
        <v>133</v>
      </c>
      <c r="D389" s="19" t="s">
        <v>96</v>
      </c>
      <c r="E389" s="19" t="s">
        <v>742</v>
      </c>
      <c r="F389" s="19" t="s">
        <v>747</v>
      </c>
      <c r="G389" s="19" t="s">
        <v>748</v>
      </c>
      <c r="H389" s="20" t="s">
        <v>1559</v>
      </c>
      <c r="I389" s="20" t="s">
        <v>1560</v>
      </c>
      <c r="J389" s="20"/>
    </row>
    <row r="390" customFormat="false" ht="23.85" hidden="false" customHeight="false" outlineLevel="0" collapsed="false">
      <c r="A390" s="21" t="n">
        <v>56</v>
      </c>
      <c r="B390" s="22" t="s">
        <v>436</v>
      </c>
      <c r="C390" s="21" t="s">
        <v>133</v>
      </c>
      <c r="D390" s="21" t="s">
        <v>317</v>
      </c>
      <c r="E390" s="21" t="s">
        <v>719</v>
      </c>
      <c r="F390" s="21" t="s">
        <v>720</v>
      </c>
      <c r="G390" s="21" t="s">
        <v>721</v>
      </c>
      <c r="H390" s="23" t="s">
        <v>1561</v>
      </c>
      <c r="I390" s="22" t="s">
        <v>1562</v>
      </c>
      <c r="J390" s="22" t="s">
        <v>1563</v>
      </c>
    </row>
    <row r="391" customFormat="false" ht="15" hidden="false" customHeight="false" outlineLevel="0" collapsed="false">
      <c r="A391" s="21" t="n">
        <v>56</v>
      </c>
      <c r="B391" s="22" t="s">
        <v>436</v>
      </c>
      <c r="C391" s="21" t="s">
        <v>133</v>
      </c>
      <c r="D391" s="21" t="s">
        <v>317</v>
      </c>
      <c r="E391" s="21" t="s">
        <v>719</v>
      </c>
      <c r="F391" s="21" t="s">
        <v>725</v>
      </c>
      <c r="G391" s="21" t="s">
        <v>726</v>
      </c>
      <c r="H391" s="22" t="s">
        <v>1564</v>
      </c>
      <c r="I391" s="22" t="s">
        <v>1565</v>
      </c>
      <c r="J391" s="22"/>
    </row>
    <row r="392" customFormat="false" ht="15" hidden="false" customHeight="false" outlineLevel="0" collapsed="false">
      <c r="A392" s="21" t="n">
        <v>56</v>
      </c>
      <c r="B392" s="22" t="s">
        <v>436</v>
      </c>
      <c r="C392" s="21" t="s">
        <v>133</v>
      </c>
      <c r="D392" s="21" t="s">
        <v>317</v>
      </c>
      <c r="E392" s="21" t="s">
        <v>729</v>
      </c>
      <c r="F392" s="21" t="s">
        <v>730</v>
      </c>
      <c r="G392" s="21" t="s">
        <v>731</v>
      </c>
      <c r="H392" s="22" t="s">
        <v>1566</v>
      </c>
      <c r="I392" s="22" t="s">
        <v>1567</v>
      </c>
      <c r="J392" s="22"/>
    </row>
    <row r="393" customFormat="false" ht="23.85" hidden="false" customHeight="false" outlineLevel="0" collapsed="false">
      <c r="A393" s="21" t="n">
        <v>56</v>
      </c>
      <c r="B393" s="22" t="s">
        <v>436</v>
      </c>
      <c r="C393" s="21" t="s">
        <v>133</v>
      </c>
      <c r="D393" s="21" t="s">
        <v>317</v>
      </c>
      <c r="E393" s="21" t="s">
        <v>729</v>
      </c>
      <c r="F393" s="21" t="s">
        <v>734</v>
      </c>
      <c r="G393" s="21" t="s">
        <v>735</v>
      </c>
      <c r="H393" s="22" t="s">
        <v>1568</v>
      </c>
      <c r="I393" s="22" t="s">
        <v>1569</v>
      </c>
      <c r="J393" s="22"/>
    </row>
    <row r="394" customFormat="false" ht="23.85" hidden="false" customHeight="false" outlineLevel="0" collapsed="false">
      <c r="A394" s="21" t="n">
        <v>56</v>
      </c>
      <c r="B394" s="22" t="s">
        <v>436</v>
      </c>
      <c r="C394" s="21" t="s">
        <v>133</v>
      </c>
      <c r="D394" s="21" t="s">
        <v>317</v>
      </c>
      <c r="E394" s="21" t="s">
        <v>729</v>
      </c>
      <c r="F394" s="21" t="s">
        <v>738</v>
      </c>
      <c r="G394" s="21" t="s">
        <v>739</v>
      </c>
      <c r="H394" s="22" t="s">
        <v>1570</v>
      </c>
      <c r="I394" s="22" t="s">
        <v>1571</v>
      </c>
      <c r="J394" s="22"/>
    </row>
    <row r="395" customFormat="false" ht="15" hidden="false" customHeight="false" outlineLevel="0" collapsed="false">
      <c r="A395" s="21" t="n">
        <v>56</v>
      </c>
      <c r="B395" s="22" t="s">
        <v>436</v>
      </c>
      <c r="C395" s="21" t="s">
        <v>133</v>
      </c>
      <c r="D395" s="21" t="s">
        <v>317</v>
      </c>
      <c r="E395" s="21" t="s">
        <v>742</v>
      </c>
      <c r="F395" s="21" t="s">
        <v>743</v>
      </c>
      <c r="G395" s="21" t="s">
        <v>744</v>
      </c>
      <c r="H395" s="22" t="s">
        <v>1572</v>
      </c>
      <c r="I395" s="22" t="s">
        <v>1573</v>
      </c>
      <c r="J395" s="22"/>
    </row>
    <row r="396" customFormat="false" ht="23.85" hidden="false" customHeight="false" outlineLevel="0" collapsed="false">
      <c r="A396" s="24" t="n">
        <v>56</v>
      </c>
      <c r="B396" s="25" t="s">
        <v>436</v>
      </c>
      <c r="C396" s="24" t="s">
        <v>133</v>
      </c>
      <c r="D396" s="24" t="s">
        <v>317</v>
      </c>
      <c r="E396" s="24" t="s">
        <v>742</v>
      </c>
      <c r="F396" s="24" t="s">
        <v>747</v>
      </c>
      <c r="G396" s="24" t="s">
        <v>748</v>
      </c>
      <c r="H396" s="25" t="s">
        <v>1574</v>
      </c>
      <c r="I396" s="25" t="s">
        <v>1575</v>
      </c>
      <c r="J396" s="25"/>
    </row>
    <row r="397" customFormat="false" ht="23.85" hidden="false" customHeight="false" outlineLevel="0" collapsed="false">
      <c r="A397" s="16" t="n">
        <v>57</v>
      </c>
      <c r="B397" s="17" t="s">
        <v>440</v>
      </c>
      <c r="C397" s="16" t="s">
        <v>133</v>
      </c>
      <c r="D397" s="16" t="s">
        <v>164</v>
      </c>
      <c r="E397" s="16" t="s">
        <v>719</v>
      </c>
      <c r="F397" s="16" t="s">
        <v>720</v>
      </c>
      <c r="G397" s="16" t="s">
        <v>721</v>
      </c>
      <c r="H397" s="18" t="s">
        <v>1576</v>
      </c>
      <c r="I397" s="17" t="s">
        <v>1577</v>
      </c>
      <c r="J397" s="17" t="s">
        <v>1578</v>
      </c>
    </row>
    <row r="398" customFormat="false" ht="15" hidden="false" customHeight="false" outlineLevel="0" collapsed="false">
      <c r="A398" s="16" t="n">
        <v>57</v>
      </c>
      <c r="B398" s="17" t="s">
        <v>440</v>
      </c>
      <c r="C398" s="16" t="s">
        <v>133</v>
      </c>
      <c r="D398" s="16" t="s">
        <v>164</v>
      </c>
      <c r="E398" s="16" t="s">
        <v>719</v>
      </c>
      <c r="F398" s="16" t="s">
        <v>725</v>
      </c>
      <c r="G398" s="16" t="s">
        <v>726</v>
      </c>
      <c r="H398" s="17" t="s">
        <v>1579</v>
      </c>
      <c r="I398" s="17" t="s">
        <v>1580</v>
      </c>
      <c r="J398" s="17"/>
    </row>
    <row r="399" customFormat="false" ht="15" hidden="false" customHeight="false" outlineLevel="0" collapsed="false">
      <c r="A399" s="16" t="n">
        <v>57</v>
      </c>
      <c r="B399" s="17" t="s">
        <v>440</v>
      </c>
      <c r="C399" s="16" t="s">
        <v>133</v>
      </c>
      <c r="D399" s="16" t="s">
        <v>164</v>
      </c>
      <c r="E399" s="16" t="s">
        <v>729</v>
      </c>
      <c r="F399" s="16" t="s">
        <v>730</v>
      </c>
      <c r="G399" s="16" t="s">
        <v>731</v>
      </c>
      <c r="H399" s="17" t="s">
        <v>1581</v>
      </c>
      <c r="I399" s="17" t="s">
        <v>1582</v>
      </c>
      <c r="J399" s="17"/>
    </row>
    <row r="400" customFormat="false" ht="15" hidden="false" customHeight="false" outlineLevel="0" collapsed="false">
      <c r="A400" s="16" t="n">
        <v>57</v>
      </c>
      <c r="B400" s="17" t="s">
        <v>440</v>
      </c>
      <c r="C400" s="16" t="s">
        <v>133</v>
      </c>
      <c r="D400" s="16" t="s">
        <v>164</v>
      </c>
      <c r="E400" s="16" t="s">
        <v>729</v>
      </c>
      <c r="F400" s="16" t="s">
        <v>734</v>
      </c>
      <c r="G400" s="16" t="s">
        <v>735</v>
      </c>
      <c r="H400" s="17" t="s">
        <v>1583</v>
      </c>
      <c r="I400" s="17" t="s">
        <v>1584</v>
      </c>
      <c r="J400" s="17"/>
    </row>
    <row r="401" customFormat="false" ht="15" hidden="false" customHeight="false" outlineLevel="0" collapsed="false">
      <c r="A401" s="16" t="n">
        <v>57</v>
      </c>
      <c r="B401" s="17" t="s">
        <v>440</v>
      </c>
      <c r="C401" s="16" t="s">
        <v>133</v>
      </c>
      <c r="D401" s="16" t="s">
        <v>164</v>
      </c>
      <c r="E401" s="16" t="s">
        <v>729</v>
      </c>
      <c r="F401" s="16" t="s">
        <v>738</v>
      </c>
      <c r="G401" s="16" t="s">
        <v>739</v>
      </c>
      <c r="H401" s="17" t="s">
        <v>1585</v>
      </c>
      <c r="I401" s="17" t="s">
        <v>1586</v>
      </c>
      <c r="J401" s="17"/>
    </row>
    <row r="402" customFormat="false" ht="15" hidden="false" customHeight="false" outlineLevel="0" collapsed="false">
      <c r="A402" s="16" t="n">
        <v>57</v>
      </c>
      <c r="B402" s="17" t="s">
        <v>440</v>
      </c>
      <c r="C402" s="16" t="s">
        <v>133</v>
      </c>
      <c r="D402" s="16" t="s">
        <v>164</v>
      </c>
      <c r="E402" s="16" t="s">
        <v>742</v>
      </c>
      <c r="F402" s="16" t="s">
        <v>743</v>
      </c>
      <c r="G402" s="16" t="s">
        <v>744</v>
      </c>
      <c r="H402" s="17" t="s">
        <v>1587</v>
      </c>
      <c r="I402" s="17" t="s">
        <v>1588</v>
      </c>
      <c r="J402" s="17"/>
    </row>
    <row r="403" customFormat="false" ht="23.85" hidden="false" customHeight="false" outlineLevel="0" collapsed="false">
      <c r="A403" s="19" t="n">
        <v>57</v>
      </c>
      <c r="B403" s="20" t="s">
        <v>440</v>
      </c>
      <c r="C403" s="19" t="s">
        <v>133</v>
      </c>
      <c r="D403" s="19" t="s">
        <v>164</v>
      </c>
      <c r="E403" s="19" t="s">
        <v>742</v>
      </c>
      <c r="F403" s="19" t="s">
        <v>747</v>
      </c>
      <c r="G403" s="19" t="s">
        <v>748</v>
      </c>
      <c r="H403" s="20" t="s">
        <v>1589</v>
      </c>
      <c r="I403" s="20" t="s">
        <v>1590</v>
      </c>
      <c r="J403" s="20"/>
    </row>
    <row r="404" customFormat="false" ht="23.85" hidden="false" customHeight="false" outlineLevel="0" collapsed="false">
      <c r="A404" s="21" t="n">
        <v>58</v>
      </c>
      <c r="B404" s="22" t="s">
        <v>444</v>
      </c>
      <c r="C404" s="21" t="s">
        <v>90</v>
      </c>
      <c r="D404" s="21" t="s">
        <v>96</v>
      </c>
      <c r="E404" s="21" t="s">
        <v>719</v>
      </c>
      <c r="F404" s="21" t="s">
        <v>720</v>
      </c>
      <c r="G404" s="21" t="s">
        <v>721</v>
      </c>
      <c r="H404" s="23" t="s">
        <v>1591</v>
      </c>
      <c r="I404" s="22" t="s">
        <v>1592</v>
      </c>
      <c r="J404" s="22" t="s">
        <v>1593</v>
      </c>
    </row>
    <row r="405" customFormat="false" ht="15" hidden="false" customHeight="false" outlineLevel="0" collapsed="false">
      <c r="A405" s="21" t="n">
        <v>58</v>
      </c>
      <c r="B405" s="22" t="s">
        <v>444</v>
      </c>
      <c r="C405" s="21" t="s">
        <v>90</v>
      </c>
      <c r="D405" s="21" t="s">
        <v>96</v>
      </c>
      <c r="E405" s="21" t="s">
        <v>719</v>
      </c>
      <c r="F405" s="21" t="s">
        <v>725</v>
      </c>
      <c r="G405" s="21" t="s">
        <v>726</v>
      </c>
      <c r="H405" s="22" t="s">
        <v>1594</v>
      </c>
      <c r="I405" s="22" t="s">
        <v>1595</v>
      </c>
      <c r="J405" s="22"/>
    </row>
    <row r="406" customFormat="false" ht="15" hidden="false" customHeight="false" outlineLevel="0" collapsed="false">
      <c r="A406" s="21" t="n">
        <v>58</v>
      </c>
      <c r="B406" s="22" t="s">
        <v>444</v>
      </c>
      <c r="C406" s="21" t="s">
        <v>90</v>
      </c>
      <c r="D406" s="21" t="s">
        <v>96</v>
      </c>
      <c r="E406" s="21" t="s">
        <v>729</v>
      </c>
      <c r="F406" s="21" t="s">
        <v>730</v>
      </c>
      <c r="G406" s="21" t="s">
        <v>731</v>
      </c>
      <c r="H406" s="22" t="s">
        <v>1596</v>
      </c>
      <c r="I406" s="22" t="s">
        <v>1597</v>
      </c>
      <c r="J406" s="22"/>
    </row>
    <row r="407" customFormat="false" ht="23.85" hidden="false" customHeight="false" outlineLevel="0" collapsed="false">
      <c r="A407" s="21" t="n">
        <v>58</v>
      </c>
      <c r="B407" s="22" t="s">
        <v>444</v>
      </c>
      <c r="C407" s="21" t="s">
        <v>90</v>
      </c>
      <c r="D407" s="21" t="s">
        <v>96</v>
      </c>
      <c r="E407" s="21" t="s">
        <v>729</v>
      </c>
      <c r="F407" s="21" t="s">
        <v>734</v>
      </c>
      <c r="G407" s="21" t="s">
        <v>735</v>
      </c>
      <c r="H407" s="22" t="s">
        <v>1598</v>
      </c>
      <c r="I407" s="22" t="s">
        <v>1599</v>
      </c>
      <c r="J407" s="22"/>
    </row>
    <row r="408" customFormat="false" ht="15" hidden="false" customHeight="false" outlineLevel="0" collapsed="false">
      <c r="A408" s="21" t="n">
        <v>58</v>
      </c>
      <c r="B408" s="22" t="s">
        <v>444</v>
      </c>
      <c r="C408" s="21" t="s">
        <v>90</v>
      </c>
      <c r="D408" s="21" t="s">
        <v>96</v>
      </c>
      <c r="E408" s="21" t="s">
        <v>729</v>
      </c>
      <c r="F408" s="21" t="s">
        <v>738</v>
      </c>
      <c r="G408" s="21" t="s">
        <v>739</v>
      </c>
      <c r="H408" s="22" t="s">
        <v>1600</v>
      </c>
      <c r="I408" s="22" t="s">
        <v>1601</v>
      </c>
      <c r="J408" s="22"/>
    </row>
    <row r="409" customFormat="false" ht="15" hidden="false" customHeight="false" outlineLevel="0" collapsed="false">
      <c r="A409" s="21" t="n">
        <v>58</v>
      </c>
      <c r="B409" s="22" t="s">
        <v>444</v>
      </c>
      <c r="C409" s="21" t="s">
        <v>90</v>
      </c>
      <c r="D409" s="21" t="s">
        <v>96</v>
      </c>
      <c r="E409" s="21" t="s">
        <v>742</v>
      </c>
      <c r="F409" s="21" t="s">
        <v>743</v>
      </c>
      <c r="G409" s="21" t="s">
        <v>744</v>
      </c>
      <c r="H409" s="22" t="s">
        <v>1602</v>
      </c>
      <c r="I409" s="22" t="s">
        <v>1603</v>
      </c>
      <c r="J409" s="22"/>
    </row>
    <row r="410" customFormat="false" ht="23.85" hidden="false" customHeight="false" outlineLevel="0" collapsed="false">
      <c r="A410" s="24" t="n">
        <v>58</v>
      </c>
      <c r="B410" s="25" t="s">
        <v>444</v>
      </c>
      <c r="C410" s="24" t="s">
        <v>90</v>
      </c>
      <c r="D410" s="24" t="s">
        <v>96</v>
      </c>
      <c r="E410" s="24" t="s">
        <v>742</v>
      </c>
      <c r="F410" s="24" t="s">
        <v>747</v>
      </c>
      <c r="G410" s="24" t="s">
        <v>748</v>
      </c>
      <c r="H410" s="25" t="s">
        <v>1604</v>
      </c>
      <c r="I410" s="25" t="s">
        <v>1605</v>
      </c>
      <c r="J410" s="25"/>
    </row>
    <row r="411" customFormat="false" ht="23.85" hidden="false" customHeight="false" outlineLevel="0" collapsed="false">
      <c r="A411" s="16" t="n">
        <v>59</v>
      </c>
      <c r="B411" s="17" t="s">
        <v>452</v>
      </c>
      <c r="C411" s="16" t="s">
        <v>90</v>
      </c>
      <c r="D411" s="16" t="s">
        <v>96</v>
      </c>
      <c r="E411" s="16" t="s">
        <v>719</v>
      </c>
      <c r="F411" s="16" t="s">
        <v>720</v>
      </c>
      <c r="G411" s="16" t="s">
        <v>721</v>
      </c>
      <c r="H411" s="18" t="s">
        <v>1606</v>
      </c>
      <c r="I411" s="17" t="s">
        <v>1607</v>
      </c>
      <c r="J411" s="17" t="s">
        <v>1608</v>
      </c>
    </row>
    <row r="412" customFormat="false" ht="23.85" hidden="false" customHeight="false" outlineLevel="0" collapsed="false">
      <c r="A412" s="16" t="n">
        <v>59</v>
      </c>
      <c r="B412" s="17" t="s">
        <v>452</v>
      </c>
      <c r="C412" s="16" t="s">
        <v>90</v>
      </c>
      <c r="D412" s="16" t="s">
        <v>96</v>
      </c>
      <c r="E412" s="16" t="s">
        <v>719</v>
      </c>
      <c r="F412" s="16" t="s">
        <v>725</v>
      </c>
      <c r="G412" s="16" t="s">
        <v>726</v>
      </c>
      <c r="H412" s="17" t="s">
        <v>1609</v>
      </c>
      <c r="I412" s="17" t="s">
        <v>1610</v>
      </c>
      <c r="J412" s="17"/>
    </row>
    <row r="413" customFormat="false" ht="15" hidden="false" customHeight="false" outlineLevel="0" collapsed="false">
      <c r="A413" s="16" t="n">
        <v>59</v>
      </c>
      <c r="B413" s="17" t="s">
        <v>452</v>
      </c>
      <c r="C413" s="16" t="s">
        <v>90</v>
      </c>
      <c r="D413" s="16" t="s">
        <v>96</v>
      </c>
      <c r="E413" s="16" t="s">
        <v>729</v>
      </c>
      <c r="F413" s="16" t="s">
        <v>730</v>
      </c>
      <c r="G413" s="16" t="s">
        <v>731</v>
      </c>
      <c r="H413" s="17" t="s">
        <v>1611</v>
      </c>
      <c r="I413" s="17" t="s">
        <v>1612</v>
      </c>
      <c r="J413" s="17"/>
    </row>
    <row r="414" customFormat="false" ht="15" hidden="false" customHeight="false" outlineLevel="0" collapsed="false">
      <c r="A414" s="16" t="n">
        <v>59</v>
      </c>
      <c r="B414" s="17" t="s">
        <v>452</v>
      </c>
      <c r="C414" s="16" t="s">
        <v>90</v>
      </c>
      <c r="D414" s="16" t="s">
        <v>96</v>
      </c>
      <c r="E414" s="16" t="s">
        <v>729</v>
      </c>
      <c r="F414" s="16" t="s">
        <v>734</v>
      </c>
      <c r="G414" s="16" t="s">
        <v>735</v>
      </c>
      <c r="H414" s="17" t="s">
        <v>1613</v>
      </c>
      <c r="I414" s="17" t="s">
        <v>1614</v>
      </c>
      <c r="J414" s="17"/>
    </row>
    <row r="415" customFormat="false" ht="15" hidden="false" customHeight="false" outlineLevel="0" collapsed="false">
      <c r="A415" s="16" t="n">
        <v>59</v>
      </c>
      <c r="B415" s="17" t="s">
        <v>452</v>
      </c>
      <c r="C415" s="16" t="s">
        <v>90</v>
      </c>
      <c r="D415" s="16" t="s">
        <v>96</v>
      </c>
      <c r="E415" s="16" t="s">
        <v>729</v>
      </c>
      <c r="F415" s="16" t="s">
        <v>738</v>
      </c>
      <c r="G415" s="16" t="s">
        <v>739</v>
      </c>
      <c r="H415" s="17" t="s">
        <v>1615</v>
      </c>
      <c r="I415" s="17" t="s">
        <v>1616</v>
      </c>
      <c r="J415" s="17"/>
    </row>
    <row r="416" customFormat="false" ht="15" hidden="false" customHeight="false" outlineLevel="0" collapsed="false">
      <c r="A416" s="16" t="n">
        <v>59</v>
      </c>
      <c r="B416" s="17" t="s">
        <v>452</v>
      </c>
      <c r="C416" s="16" t="s">
        <v>90</v>
      </c>
      <c r="D416" s="16" t="s">
        <v>96</v>
      </c>
      <c r="E416" s="16" t="s">
        <v>742</v>
      </c>
      <c r="F416" s="16" t="s">
        <v>743</v>
      </c>
      <c r="G416" s="16" t="s">
        <v>744</v>
      </c>
      <c r="H416" s="17" t="s">
        <v>1617</v>
      </c>
      <c r="I416" s="17" t="s">
        <v>1618</v>
      </c>
      <c r="J416" s="17"/>
    </row>
    <row r="417" customFormat="false" ht="23.85" hidden="false" customHeight="false" outlineLevel="0" collapsed="false">
      <c r="A417" s="19" t="n">
        <v>59</v>
      </c>
      <c r="B417" s="20" t="s">
        <v>452</v>
      </c>
      <c r="C417" s="19" t="s">
        <v>90</v>
      </c>
      <c r="D417" s="19" t="s">
        <v>96</v>
      </c>
      <c r="E417" s="19" t="s">
        <v>742</v>
      </c>
      <c r="F417" s="19" t="s">
        <v>747</v>
      </c>
      <c r="G417" s="19" t="s">
        <v>748</v>
      </c>
      <c r="H417" s="20" t="s">
        <v>1619</v>
      </c>
      <c r="I417" s="20" t="s">
        <v>1620</v>
      </c>
      <c r="J417" s="20"/>
    </row>
    <row r="418" customFormat="false" ht="23.85" hidden="false" customHeight="false" outlineLevel="0" collapsed="false">
      <c r="A418" s="21" t="n">
        <v>60</v>
      </c>
      <c r="B418" s="22" t="s">
        <v>460</v>
      </c>
      <c r="C418" s="21" t="s">
        <v>133</v>
      </c>
      <c r="D418" s="21" t="s">
        <v>164</v>
      </c>
      <c r="E418" s="21" t="s">
        <v>719</v>
      </c>
      <c r="F418" s="21" t="s">
        <v>720</v>
      </c>
      <c r="G418" s="21" t="s">
        <v>721</v>
      </c>
      <c r="H418" s="23" t="s">
        <v>1621</v>
      </c>
      <c r="I418" s="22" t="s">
        <v>1622</v>
      </c>
      <c r="J418" s="22" t="s">
        <v>1623</v>
      </c>
    </row>
    <row r="419" customFormat="false" ht="15" hidden="false" customHeight="false" outlineLevel="0" collapsed="false">
      <c r="A419" s="21" t="n">
        <v>60</v>
      </c>
      <c r="B419" s="22" t="s">
        <v>460</v>
      </c>
      <c r="C419" s="21" t="s">
        <v>133</v>
      </c>
      <c r="D419" s="21" t="s">
        <v>164</v>
      </c>
      <c r="E419" s="21" t="s">
        <v>719</v>
      </c>
      <c r="F419" s="21" t="s">
        <v>725</v>
      </c>
      <c r="G419" s="21" t="s">
        <v>726</v>
      </c>
      <c r="H419" s="22" t="s">
        <v>1624</v>
      </c>
      <c r="I419" s="22" t="s">
        <v>1625</v>
      </c>
      <c r="J419" s="22"/>
    </row>
    <row r="420" customFormat="false" ht="23.85" hidden="false" customHeight="false" outlineLevel="0" collapsed="false">
      <c r="A420" s="21" t="n">
        <v>60</v>
      </c>
      <c r="B420" s="22" t="s">
        <v>460</v>
      </c>
      <c r="C420" s="21" t="s">
        <v>133</v>
      </c>
      <c r="D420" s="21" t="s">
        <v>164</v>
      </c>
      <c r="E420" s="21" t="s">
        <v>729</v>
      </c>
      <c r="F420" s="21" t="s">
        <v>730</v>
      </c>
      <c r="G420" s="21" t="s">
        <v>731</v>
      </c>
      <c r="H420" s="22" t="s">
        <v>1626</v>
      </c>
      <c r="I420" s="22" t="s">
        <v>1627</v>
      </c>
      <c r="J420" s="22"/>
    </row>
    <row r="421" customFormat="false" ht="15" hidden="false" customHeight="false" outlineLevel="0" collapsed="false">
      <c r="A421" s="21" t="n">
        <v>60</v>
      </c>
      <c r="B421" s="22" t="s">
        <v>460</v>
      </c>
      <c r="C421" s="21" t="s">
        <v>133</v>
      </c>
      <c r="D421" s="21" t="s">
        <v>164</v>
      </c>
      <c r="E421" s="21" t="s">
        <v>729</v>
      </c>
      <c r="F421" s="21" t="s">
        <v>734</v>
      </c>
      <c r="G421" s="21" t="s">
        <v>735</v>
      </c>
      <c r="H421" s="22" t="s">
        <v>1628</v>
      </c>
      <c r="I421" s="22" t="s">
        <v>1629</v>
      </c>
      <c r="J421" s="22"/>
    </row>
    <row r="422" customFormat="false" ht="15" hidden="false" customHeight="false" outlineLevel="0" collapsed="false">
      <c r="A422" s="21" t="n">
        <v>60</v>
      </c>
      <c r="B422" s="22" t="s">
        <v>460</v>
      </c>
      <c r="C422" s="21" t="s">
        <v>133</v>
      </c>
      <c r="D422" s="21" t="s">
        <v>164</v>
      </c>
      <c r="E422" s="21" t="s">
        <v>729</v>
      </c>
      <c r="F422" s="21" t="s">
        <v>738</v>
      </c>
      <c r="G422" s="21" t="s">
        <v>739</v>
      </c>
      <c r="H422" s="22" t="s">
        <v>1630</v>
      </c>
      <c r="I422" s="22" t="s">
        <v>1631</v>
      </c>
      <c r="J422" s="22"/>
    </row>
    <row r="423" customFormat="false" ht="15" hidden="false" customHeight="false" outlineLevel="0" collapsed="false">
      <c r="A423" s="21" t="n">
        <v>60</v>
      </c>
      <c r="B423" s="22" t="s">
        <v>460</v>
      </c>
      <c r="C423" s="21" t="s">
        <v>133</v>
      </c>
      <c r="D423" s="21" t="s">
        <v>164</v>
      </c>
      <c r="E423" s="21" t="s">
        <v>742</v>
      </c>
      <c r="F423" s="21" t="s">
        <v>743</v>
      </c>
      <c r="G423" s="21" t="s">
        <v>744</v>
      </c>
      <c r="H423" s="22" t="s">
        <v>1632</v>
      </c>
      <c r="I423" s="22" t="s">
        <v>1633</v>
      </c>
      <c r="J423" s="22"/>
    </row>
    <row r="424" customFormat="false" ht="23.85" hidden="false" customHeight="false" outlineLevel="0" collapsed="false">
      <c r="A424" s="24" t="n">
        <v>60</v>
      </c>
      <c r="B424" s="25" t="s">
        <v>460</v>
      </c>
      <c r="C424" s="24" t="s">
        <v>133</v>
      </c>
      <c r="D424" s="24" t="s">
        <v>164</v>
      </c>
      <c r="E424" s="24" t="s">
        <v>742</v>
      </c>
      <c r="F424" s="24" t="s">
        <v>747</v>
      </c>
      <c r="G424" s="24" t="s">
        <v>748</v>
      </c>
      <c r="H424" s="25" t="s">
        <v>1634</v>
      </c>
      <c r="I424" s="25" t="s">
        <v>1635</v>
      </c>
      <c r="J424" s="25"/>
    </row>
    <row r="425" customFormat="false" ht="23.85" hidden="false" customHeight="false" outlineLevel="0" collapsed="false">
      <c r="A425" s="16" t="n">
        <v>61</v>
      </c>
      <c r="B425" s="17" t="s">
        <v>465</v>
      </c>
      <c r="C425" s="16" t="s">
        <v>90</v>
      </c>
      <c r="D425" s="16" t="s">
        <v>113</v>
      </c>
      <c r="E425" s="16" t="s">
        <v>719</v>
      </c>
      <c r="F425" s="16" t="s">
        <v>720</v>
      </c>
      <c r="G425" s="16" t="s">
        <v>721</v>
      </c>
      <c r="H425" s="18" t="s">
        <v>1636</v>
      </c>
      <c r="I425" s="17" t="s">
        <v>1637</v>
      </c>
      <c r="J425" s="17" t="s">
        <v>1638</v>
      </c>
    </row>
    <row r="426" customFormat="false" ht="15" hidden="false" customHeight="false" outlineLevel="0" collapsed="false">
      <c r="A426" s="16" t="n">
        <v>61</v>
      </c>
      <c r="B426" s="17" t="s">
        <v>465</v>
      </c>
      <c r="C426" s="16" t="s">
        <v>90</v>
      </c>
      <c r="D426" s="16" t="s">
        <v>113</v>
      </c>
      <c r="E426" s="16" t="s">
        <v>719</v>
      </c>
      <c r="F426" s="16" t="s">
        <v>725</v>
      </c>
      <c r="G426" s="16" t="s">
        <v>726</v>
      </c>
      <c r="H426" s="17" t="s">
        <v>1639</v>
      </c>
      <c r="I426" s="17" t="s">
        <v>1640</v>
      </c>
      <c r="J426" s="17"/>
    </row>
    <row r="427" customFormat="false" ht="15" hidden="false" customHeight="false" outlineLevel="0" collapsed="false">
      <c r="A427" s="16" t="n">
        <v>61</v>
      </c>
      <c r="B427" s="17" t="s">
        <v>465</v>
      </c>
      <c r="C427" s="16" t="s">
        <v>90</v>
      </c>
      <c r="D427" s="16" t="s">
        <v>113</v>
      </c>
      <c r="E427" s="16" t="s">
        <v>729</v>
      </c>
      <c r="F427" s="16" t="s">
        <v>730</v>
      </c>
      <c r="G427" s="16" t="s">
        <v>731</v>
      </c>
      <c r="H427" s="17" t="s">
        <v>1641</v>
      </c>
      <c r="I427" s="17" t="s">
        <v>1642</v>
      </c>
      <c r="J427" s="17"/>
    </row>
    <row r="428" customFormat="false" ht="15" hidden="false" customHeight="false" outlineLevel="0" collapsed="false">
      <c r="A428" s="16" t="n">
        <v>61</v>
      </c>
      <c r="B428" s="17" t="s">
        <v>465</v>
      </c>
      <c r="C428" s="16" t="s">
        <v>90</v>
      </c>
      <c r="D428" s="16" t="s">
        <v>113</v>
      </c>
      <c r="E428" s="16" t="s">
        <v>729</v>
      </c>
      <c r="F428" s="16" t="s">
        <v>734</v>
      </c>
      <c r="G428" s="16" t="s">
        <v>735</v>
      </c>
      <c r="H428" s="17" t="s">
        <v>1643</v>
      </c>
      <c r="I428" s="17" t="s">
        <v>1644</v>
      </c>
      <c r="J428" s="17"/>
    </row>
    <row r="429" customFormat="false" ht="15" hidden="false" customHeight="false" outlineLevel="0" collapsed="false">
      <c r="A429" s="16" t="n">
        <v>61</v>
      </c>
      <c r="B429" s="17" t="s">
        <v>465</v>
      </c>
      <c r="C429" s="16" t="s">
        <v>90</v>
      </c>
      <c r="D429" s="16" t="s">
        <v>113</v>
      </c>
      <c r="E429" s="16" t="s">
        <v>729</v>
      </c>
      <c r="F429" s="16" t="s">
        <v>738</v>
      </c>
      <c r="G429" s="16" t="s">
        <v>739</v>
      </c>
      <c r="H429" s="17" t="s">
        <v>1645</v>
      </c>
      <c r="I429" s="17" t="s">
        <v>1646</v>
      </c>
      <c r="J429" s="17"/>
    </row>
    <row r="430" customFormat="false" ht="15" hidden="false" customHeight="false" outlineLevel="0" collapsed="false">
      <c r="A430" s="16" t="n">
        <v>61</v>
      </c>
      <c r="B430" s="17" t="s">
        <v>465</v>
      </c>
      <c r="C430" s="16" t="s">
        <v>90</v>
      </c>
      <c r="D430" s="16" t="s">
        <v>113</v>
      </c>
      <c r="E430" s="16" t="s">
        <v>742</v>
      </c>
      <c r="F430" s="16" t="s">
        <v>743</v>
      </c>
      <c r="G430" s="16" t="s">
        <v>744</v>
      </c>
      <c r="H430" s="17" t="s">
        <v>1647</v>
      </c>
      <c r="I430" s="17" t="s">
        <v>1648</v>
      </c>
      <c r="J430" s="17"/>
    </row>
    <row r="431" customFormat="false" ht="23.85" hidden="false" customHeight="false" outlineLevel="0" collapsed="false">
      <c r="A431" s="19" t="n">
        <v>61</v>
      </c>
      <c r="B431" s="20" t="s">
        <v>465</v>
      </c>
      <c r="C431" s="19" t="s">
        <v>90</v>
      </c>
      <c r="D431" s="19" t="s">
        <v>113</v>
      </c>
      <c r="E431" s="19" t="s">
        <v>742</v>
      </c>
      <c r="F431" s="19" t="s">
        <v>747</v>
      </c>
      <c r="G431" s="19" t="s">
        <v>748</v>
      </c>
      <c r="H431" s="20" t="s">
        <v>1649</v>
      </c>
      <c r="I431" s="20" t="s">
        <v>1650</v>
      </c>
      <c r="J431" s="20"/>
    </row>
    <row r="432" customFormat="false" ht="23.85" hidden="false" customHeight="false" outlineLevel="0" collapsed="false">
      <c r="A432" s="21" t="n">
        <v>62</v>
      </c>
      <c r="B432" s="22" t="s">
        <v>473</v>
      </c>
      <c r="C432" s="21" t="s">
        <v>90</v>
      </c>
      <c r="D432" s="21" t="s">
        <v>96</v>
      </c>
      <c r="E432" s="21" t="s">
        <v>719</v>
      </c>
      <c r="F432" s="21" t="s">
        <v>720</v>
      </c>
      <c r="G432" s="21" t="s">
        <v>721</v>
      </c>
      <c r="H432" s="23" t="s">
        <v>1651</v>
      </c>
      <c r="I432" s="22" t="s">
        <v>1652</v>
      </c>
      <c r="J432" s="22" t="s">
        <v>1653</v>
      </c>
    </row>
    <row r="433" customFormat="false" ht="15" hidden="false" customHeight="false" outlineLevel="0" collapsed="false">
      <c r="A433" s="21" t="n">
        <v>62</v>
      </c>
      <c r="B433" s="22" t="s">
        <v>473</v>
      </c>
      <c r="C433" s="21" t="s">
        <v>90</v>
      </c>
      <c r="D433" s="21" t="s">
        <v>96</v>
      </c>
      <c r="E433" s="21" t="s">
        <v>719</v>
      </c>
      <c r="F433" s="21" t="s">
        <v>725</v>
      </c>
      <c r="G433" s="21" t="s">
        <v>726</v>
      </c>
      <c r="H433" s="22" t="s">
        <v>1654</v>
      </c>
      <c r="I433" s="22" t="s">
        <v>1655</v>
      </c>
      <c r="J433" s="22"/>
    </row>
    <row r="434" customFormat="false" ht="15" hidden="false" customHeight="false" outlineLevel="0" collapsed="false">
      <c r="A434" s="21" t="n">
        <v>62</v>
      </c>
      <c r="B434" s="22" t="s">
        <v>473</v>
      </c>
      <c r="C434" s="21" t="s">
        <v>90</v>
      </c>
      <c r="D434" s="21" t="s">
        <v>96</v>
      </c>
      <c r="E434" s="21" t="s">
        <v>729</v>
      </c>
      <c r="F434" s="21" t="s">
        <v>730</v>
      </c>
      <c r="G434" s="21" t="s">
        <v>731</v>
      </c>
      <c r="H434" s="22" t="s">
        <v>1656</v>
      </c>
      <c r="I434" s="22" t="s">
        <v>1657</v>
      </c>
      <c r="J434" s="22"/>
    </row>
    <row r="435" customFormat="false" ht="15" hidden="false" customHeight="false" outlineLevel="0" collapsed="false">
      <c r="A435" s="21" t="n">
        <v>62</v>
      </c>
      <c r="B435" s="22" t="s">
        <v>473</v>
      </c>
      <c r="C435" s="21" t="s">
        <v>90</v>
      </c>
      <c r="D435" s="21" t="s">
        <v>96</v>
      </c>
      <c r="E435" s="21" t="s">
        <v>729</v>
      </c>
      <c r="F435" s="21" t="s">
        <v>734</v>
      </c>
      <c r="G435" s="21" t="s">
        <v>735</v>
      </c>
      <c r="H435" s="22" t="s">
        <v>1658</v>
      </c>
      <c r="I435" s="22" t="s">
        <v>1659</v>
      </c>
      <c r="J435" s="22"/>
    </row>
    <row r="436" customFormat="false" ht="23.85" hidden="false" customHeight="false" outlineLevel="0" collapsed="false">
      <c r="A436" s="21" t="n">
        <v>62</v>
      </c>
      <c r="B436" s="22" t="s">
        <v>473</v>
      </c>
      <c r="C436" s="21" t="s">
        <v>90</v>
      </c>
      <c r="D436" s="21" t="s">
        <v>96</v>
      </c>
      <c r="E436" s="21" t="s">
        <v>729</v>
      </c>
      <c r="F436" s="21" t="s">
        <v>738</v>
      </c>
      <c r="G436" s="21" t="s">
        <v>739</v>
      </c>
      <c r="H436" s="22" t="s">
        <v>1660</v>
      </c>
      <c r="I436" s="22" t="s">
        <v>1661</v>
      </c>
      <c r="J436" s="22"/>
    </row>
    <row r="437" customFormat="false" ht="15" hidden="false" customHeight="false" outlineLevel="0" collapsed="false">
      <c r="A437" s="21" t="n">
        <v>62</v>
      </c>
      <c r="B437" s="22" t="s">
        <v>473</v>
      </c>
      <c r="C437" s="21" t="s">
        <v>90</v>
      </c>
      <c r="D437" s="21" t="s">
        <v>96</v>
      </c>
      <c r="E437" s="21" t="s">
        <v>742</v>
      </c>
      <c r="F437" s="21" t="s">
        <v>743</v>
      </c>
      <c r="G437" s="21" t="s">
        <v>744</v>
      </c>
      <c r="H437" s="22" t="s">
        <v>1662</v>
      </c>
      <c r="I437" s="22" t="s">
        <v>1663</v>
      </c>
      <c r="J437" s="22"/>
    </row>
    <row r="438" customFormat="false" ht="23.85" hidden="false" customHeight="false" outlineLevel="0" collapsed="false">
      <c r="A438" s="24" t="n">
        <v>62</v>
      </c>
      <c r="B438" s="25" t="s">
        <v>473</v>
      </c>
      <c r="C438" s="24" t="s">
        <v>90</v>
      </c>
      <c r="D438" s="24" t="s">
        <v>96</v>
      </c>
      <c r="E438" s="24" t="s">
        <v>742</v>
      </c>
      <c r="F438" s="24" t="s">
        <v>747</v>
      </c>
      <c r="G438" s="24" t="s">
        <v>748</v>
      </c>
      <c r="H438" s="25" t="s">
        <v>1664</v>
      </c>
      <c r="I438" s="25" t="s">
        <v>1665</v>
      </c>
      <c r="J438" s="25"/>
    </row>
    <row r="439" customFormat="false" ht="23.85" hidden="false" customHeight="false" outlineLevel="0" collapsed="false">
      <c r="A439" s="16" t="n">
        <v>63</v>
      </c>
      <c r="B439" s="17" t="s">
        <v>481</v>
      </c>
      <c r="C439" s="16" t="s">
        <v>90</v>
      </c>
      <c r="D439" s="16" t="s">
        <v>72</v>
      </c>
      <c r="E439" s="16" t="s">
        <v>719</v>
      </c>
      <c r="F439" s="16" t="s">
        <v>720</v>
      </c>
      <c r="G439" s="16" t="s">
        <v>721</v>
      </c>
      <c r="H439" s="18" t="s">
        <v>1666</v>
      </c>
      <c r="I439" s="17" t="s">
        <v>1667</v>
      </c>
      <c r="J439" s="17" t="s">
        <v>1668</v>
      </c>
    </row>
    <row r="440" customFormat="false" ht="23.85" hidden="false" customHeight="false" outlineLevel="0" collapsed="false">
      <c r="A440" s="16" t="n">
        <v>63</v>
      </c>
      <c r="B440" s="17" t="s">
        <v>481</v>
      </c>
      <c r="C440" s="16" t="s">
        <v>90</v>
      </c>
      <c r="D440" s="16" t="s">
        <v>72</v>
      </c>
      <c r="E440" s="16" t="s">
        <v>719</v>
      </c>
      <c r="F440" s="16" t="s">
        <v>725</v>
      </c>
      <c r="G440" s="16" t="s">
        <v>726</v>
      </c>
      <c r="H440" s="17" t="s">
        <v>1669</v>
      </c>
      <c r="I440" s="17" t="s">
        <v>1670</v>
      </c>
      <c r="J440" s="17"/>
    </row>
    <row r="441" customFormat="false" ht="23.85" hidden="false" customHeight="false" outlineLevel="0" collapsed="false">
      <c r="A441" s="16" t="n">
        <v>63</v>
      </c>
      <c r="B441" s="17" t="s">
        <v>481</v>
      </c>
      <c r="C441" s="16" t="s">
        <v>90</v>
      </c>
      <c r="D441" s="16" t="s">
        <v>72</v>
      </c>
      <c r="E441" s="16" t="s">
        <v>729</v>
      </c>
      <c r="F441" s="16" t="s">
        <v>730</v>
      </c>
      <c r="G441" s="16" t="s">
        <v>731</v>
      </c>
      <c r="H441" s="17" t="s">
        <v>1671</v>
      </c>
      <c r="I441" s="17" t="s">
        <v>1672</v>
      </c>
      <c r="J441" s="17"/>
    </row>
    <row r="442" customFormat="false" ht="15" hidden="false" customHeight="false" outlineLevel="0" collapsed="false">
      <c r="A442" s="16" t="n">
        <v>63</v>
      </c>
      <c r="B442" s="17" t="s">
        <v>481</v>
      </c>
      <c r="C442" s="16" t="s">
        <v>90</v>
      </c>
      <c r="D442" s="16" t="s">
        <v>72</v>
      </c>
      <c r="E442" s="16" t="s">
        <v>729</v>
      </c>
      <c r="F442" s="16" t="s">
        <v>734</v>
      </c>
      <c r="G442" s="16" t="s">
        <v>735</v>
      </c>
      <c r="H442" s="17" t="s">
        <v>1673</v>
      </c>
      <c r="I442" s="17" t="s">
        <v>1674</v>
      </c>
      <c r="J442" s="17"/>
    </row>
    <row r="443" customFormat="false" ht="15" hidden="false" customHeight="false" outlineLevel="0" collapsed="false">
      <c r="A443" s="16" t="n">
        <v>63</v>
      </c>
      <c r="B443" s="17" t="s">
        <v>481</v>
      </c>
      <c r="C443" s="16" t="s">
        <v>90</v>
      </c>
      <c r="D443" s="16" t="s">
        <v>72</v>
      </c>
      <c r="E443" s="16" t="s">
        <v>729</v>
      </c>
      <c r="F443" s="16" t="s">
        <v>738</v>
      </c>
      <c r="G443" s="16" t="s">
        <v>739</v>
      </c>
      <c r="H443" s="17" t="s">
        <v>1675</v>
      </c>
      <c r="I443" s="17" t="s">
        <v>1676</v>
      </c>
      <c r="J443" s="17"/>
    </row>
    <row r="444" customFormat="false" ht="15" hidden="false" customHeight="false" outlineLevel="0" collapsed="false">
      <c r="A444" s="16" t="n">
        <v>63</v>
      </c>
      <c r="B444" s="17" t="s">
        <v>481</v>
      </c>
      <c r="C444" s="16" t="s">
        <v>90</v>
      </c>
      <c r="D444" s="16" t="s">
        <v>72</v>
      </c>
      <c r="E444" s="16" t="s">
        <v>742</v>
      </c>
      <c r="F444" s="16" t="s">
        <v>743</v>
      </c>
      <c r="G444" s="16" t="s">
        <v>744</v>
      </c>
      <c r="H444" s="17" t="s">
        <v>1677</v>
      </c>
      <c r="I444" s="17" t="s">
        <v>1678</v>
      </c>
      <c r="J444" s="17"/>
    </row>
    <row r="445" customFormat="false" ht="23.85" hidden="false" customHeight="false" outlineLevel="0" collapsed="false">
      <c r="A445" s="19" t="n">
        <v>63</v>
      </c>
      <c r="B445" s="20" t="s">
        <v>481</v>
      </c>
      <c r="C445" s="19" t="s">
        <v>90</v>
      </c>
      <c r="D445" s="19" t="s">
        <v>72</v>
      </c>
      <c r="E445" s="19" t="s">
        <v>742</v>
      </c>
      <c r="F445" s="19" t="s">
        <v>747</v>
      </c>
      <c r="G445" s="19" t="s">
        <v>748</v>
      </c>
      <c r="H445" s="20" t="s">
        <v>1679</v>
      </c>
      <c r="I445" s="20" t="s">
        <v>1680</v>
      </c>
      <c r="J445" s="20"/>
    </row>
    <row r="446" customFormat="false" ht="23.85" hidden="false" customHeight="false" outlineLevel="0" collapsed="false">
      <c r="A446" s="21" t="n">
        <v>64</v>
      </c>
      <c r="B446" s="22" t="s">
        <v>489</v>
      </c>
      <c r="C446" s="21" t="s">
        <v>110</v>
      </c>
      <c r="D446" s="21" t="s">
        <v>96</v>
      </c>
      <c r="E446" s="21" t="s">
        <v>719</v>
      </c>
      <c r="F446" s="21" t="s">
        <v>720</v>
      </c>
      <c r="G446" s="21" t="s">
        <v>721</v>
      </c>
      <c r="H446" s="23" t="s">
        <v>1681</v>
      </c>
      <c r="I446" s="22" t="s">
        <v>1682</v>
      </c>
      <c r="J446" s="22" t="s">
        <v>1683</v>
      </c>
    </row>
    <row r="447" customFormat="false" ht="23.85" hidden="false" customHeight="false" outlineLevel="0" collapsed="false">
      <c r="A447" s="21" t="n">
        <v>64</v>
      </c>
      <c r="B447" s="22" t="s">
        <v>489</v>
      </c>
      <c r="C447" s="21" t="s">
        <v>110</v>
      </c>
      <c r="D447" s="21" t="s">
        <v>96</v>
      </c>
      <c r="E447" s="21" t="s">
        <v>719</v>
      </c>
      <c r="F447" s="21" t="s">
        <v>725</v>
      </c>
      <c r="G447" s="21" t="s">
        <v>726</v>
      </c>
      <c r="H447" s="22" t="s">
        <v>1684</v>
      </c>
      <c r="I447" s="22" t="s">
        <v>1685</v>
      </c>
      <c r="J447" s="22"/>
    </row>
    <row r="448" customFormat="false" ht="15" hidden="false" customHeight="false" outlineLevel="0" collapsed="false">
      <c r="A448" s="21" t="n">
        <v>64</v>
      </c>
      <c r="B448" s="22" t="s">
        <v>489</v>
      </c>
      <c r="C448" s="21" t="s">
        <v>110</v>
      </c>
      <c r="D448" s="21" t="s">
        <v>96</v>
      </c>
      <c r="E448" s="21" t="s">
        <v>729</v>
      </c>
      <c r="F448" s="21" t="s">
        <v>730</v>
      </c>
      <c r="G448" s="21" t="s">
        <v>731</v>
      </c>
      <c r="H448" s="22" t="s">
        <v>1686</v>
      </c>
      <c r="I448" s="22" t="s">
        <v>1687</v>
      </c>
      <c r="J448" s="22"/>
    </row>
    <row r="449" customFormat="false" ht="15" hidden="false" customHeight="false" outlineLevel="0" collapsed="false">
      <c r="A449" s="21" t="n">
        <v>64</v>
      </c>
      <c r="B449" s="22" t="s">
        <v>489</v>
      </c>
      <c r="C449" s="21" t="s">
        <v>110</v>
      </c>
      <c r="D449" s="21" t="s">
        <v>96</v>
      </c>
      <c r="E449" s="21" t="s">
        <v>729</v>
      </c>
      <c r="F449" s="21" t="s">
        <v>734</v>
      </c>
      <c r="G449" s="21" t="s">
        <v>735</v>
      </c>
      <c r="H449" s="22" t="s">
        <v>1688</v>
      </c>
      <c r="I449" s="22" t="s">
        <v>1689</v>
      </c>
      <c r="J449" s="22"/>
    </row>
    <row r="450" customFormat="false" ht="15" hidden="false" customHeight="false" outlineLevel="0" collapsed="false">
      <c r="A450" s="21" t="n">
        <v>64</v>
      </c>
      <c r="B450" s="22" t="s">
        <v>489</v>
      </c>
      <c r="C450" s="21" t="s">
        <v>110</v>
      </c>
      <c r="D450" s="21" t="s">
        <v>96</v>
      </c>
      <c r="E450" s="21" t="s">
        <v>729</v>
      </c>
      <c r="F450" s="21" t="s">
        <v>738</v>
      </c>
      <c r="G450" s="21" t="s">
        <v>739</v>
      </c>
      <c r="H450" s="22" t="s">
        <v>1690</v>
      </c>
      <c r="I450" s="22" t="s">
        <v>1691</v>
      </c>
      <c r="J450" s="22"/>
    </row>
    <row r="451" customFormat="false" ht="15" hidden="false" customHeight="false" outlineLevel="0" collapsed="false">
      <c r="A451" s="21" t="n">
        <v>64</v>
      </c>
      <c r="B451" s="22" t="s">
        <v>489</v>
      </c>
      <c r="C451" s="21" t="s">
        <v>110</v>
      </c>
      <c r="D451" s="21" t="s">
        <v>96</v>
      </c>
      <c r="E451" s="21" t="s">
        <v>742</v>
      </c>
      <c r="F451" s="21" t="s">
        <v>743</v>
      </c>
      <c r="G451" s="21" t="s">
        <v>744</v>
      </c>
      <c r="H451" s="22" t="s">
        <v>1692</v>
      </c>
      <c r="I451" s="22" t="s">
        <v>1693</v>
      </c>
      <c r="J451" s="22"/>
    </row>
    <row r="452" customFormat="false" ht="23.85" hidden="false" customHeight="false" outlineLevel="0" collapsed="false">
      <c r="A452" s="24" t="n">
        <v>64</v>
      </c>
      <c r="B452" s="25" t="s">
        <v>489</v>
      </c>
      <c r="C452" s="24" t="s">
        <v>110</v>
      </c>
      <c r="D452" s="24" t="s">
        <v>96</v>
      </c>
      <c r="E452" s="24" t="s">
        <v>742</v>
      </c>
      <c r="F452" s="24" t="s">
        <v>747</v>
      </c>
      <c r="G452" s="24" t="s">
        <v>748</v>
      </c>
      <c r="H452" s="25" t="s">
        <v>1694</v>
      </c>
      <c r="I452" s="25" t="s">
        <v>1695</v>
      </c>
      <c r="J452" s="25"/>
    </row>
    <row r="453" customFormat="false" ht="23.85" hidden="false" customHeight="false" outlineLevel="0" collapsed="false">
      <c r="A453" s="16" t="n">
        <v>65</v>
      </c>
      <c r="B453" s="17" t="s">
        <v>495</v>
      </c>
      <c r="C453" s="16" t="s">
        <v>110</v>
      </c>
      <c r="D453" s="16" t="s">
        <v>96</v>
      </c>
      <c r="E453" s="16" t="s">
        <v>719</v>
      </c>
      <c r="F453" s="16" t="s">
        <v>720</v>
      </c>
      <c r="G453" s="16" t="s">
        <v>721</v>
      </c>
      <c r="H453" s="18" t="s">
        <v>1696</v>
      </c>
      <c r="I453" s="17" t="s">
        <v>1697</v>
      </c>
      <c r="J453" s="17" t="s">
        <v>1698</v>
      </c>
    </row>
    <row r="454" customFormat="false" ht="15" hidden="false" customHeight="false" outlineLevel="0" collapsed="false">
      <c r="A454" s="16" t="n">
        <v>65</v>
      </c>
      <c r="B454" s="17" t="s">
        <v>495</v>
      </c>
      <c r="C454" s="16" t="s">
        <v>110</v>
      </c>
      <c r="D454" s="16" t="s">
        <v>96</v>
      </c>
      <c r="E454" s="16" t="s">
        <v>719</v>
      </c>
      <c r="F454" s="16" t="s">
        <v>725</v>
      </c>
      <c r="G454" s="16" t="s">
        <v>726</v>
      </c>
      <c r="H454" s="17" t="s">
        <v>1699</v>
      </c>
      <c r="I454" s="17" t="s">
        <v>1700</v>
      </c>
      <c r="J454" s="17"/>
    </row>
    <row r="455" customFormat="false" ht="15" hidden="false" customHeight="false" outlineLevel="0" collapsed="false">
      <c r="A455" s="16" t="n">
        <v>65</v>
      </c>
      <c r="B455" s="17" t="s">
        <v>495</v>
      </c>
      <c r="C455" s="16" t="s">
        <v>110</v>
      </c>
      <c r="D455" s="16" t="s">
        <v>96</v>
      </c>
      <c r="E455" s="16" t="s">
        <v>729</v>
      </c>
      <c r="F455" s="16" t="s">
        <v>730</v>
      </c>
      <c r="G455" s="16" t="s">
        <v>731</v>
      </c>
      <c r="H455" s="17" t="s">
        <v>1701</v>
      </c>
      <c r="I455" s="17" t="s">
        <v>1702</v>
      </c>
      <c r="J455" s="17"/>
    </row>
    <row r="456" customFormat="false" ht="15" hidden="false" customHeight="false" outlineLevel="0" collapsed="false">
      <c r="A456" s="16" t="n">
        <v>65</v>
      </c>
      <c r="B456" s="17" t="s">
        <v>495</v>
      </c>
      <c r="C456" s="16" t="s">
        <v>110</v>
      </c>
      <c r="D456" s="16" t="s">
        <v>96</v>
      </c>
      <c r="E456" s="16" t="s">
        <v>729</v>
      </c>
      <c r="F456" s="16" t="s">
        <v>734</v>
      </c>
      <c r="G456" s="16" t="s">
        <v>735</v>
      </c>
      <c r="H456" s="17" t="s">
        <v>1703</v>
      </c>
      <c r="I456" s="17" t="s">
        <v>1704</v>
      </c>
      <c r="J456" s="17"/>
    </row>
    <row r="457" customFormat="false" ht="15" hidden="false" customHeight="false" outlineLevel="0" collapsed="false">
      <c r="A457" s="16" t="n">
        <v>65</v>
      </c>
      <c r="B457" s="17" t="s">
        <v>495</v>
      </c>
      <c r="C457" s="16" t="s">
        <v>110</v>
      </c>
      <c r="D457" s="16" t="s">
        <v>96</v>
      </c>
      <c r="E457" s="16" t="s">
        <v>729</v>
      </c>
      <c r="F457" s="16" t="s">
        <v>738</v>
      </c>
      <c r="G457" s="16" t="s">
        <v>739</v>
      </c>
      <c r="H457" s="17" t="s">
        <v>1705</v>
      </c>
      <c r="I457" s="17" t="s">
        <v>1706</v>
      </c>
      <c r="J457" s="17"/>
    </row>
    <row r="458" customFormat="false" ht="15" hidden="false" customHeight="false" outlineLevel="0" collapsed="false">
      <c r="A458" s="16" t="n">
        <v>65</v>
      </c>
      <c r="B458" s="17" t="s">
        <v>495</v>
      </c>
      <c r="C458" s="16" t="s">
        <v>110</v>
      </c>
      <c r="D458" s="16" t="s">
        <v>96</v>
      </c>
      <c r="E458" s="16" t="s">
        <v>742</v>
      </c>
      <c r="F458" s="16" t="s">
        <v>743</v>
      </c>
      <c r="G458" s="16" t="s">
        <v>744</v>
      </c>
      <c r="H458" s="17" t="s">
        <v>1707</v>
      </c>
      <c r="I458" s="17" t="s">
        <v>1708</v>
      </c>
      <c r="J458" s="17"/>
    </row>
    <row r="459" customFormat="false" ht="23.85" hidden="false" customHeight="false" outlineLevel="0" collapsed="false">
      <c r="A459" s="19" t="n">
        <v>65</v>
      </c>
      <c r="B459" s="20" t="s">
        <v>495</v>
      </c>
      <c r="C459" s="19" t="s">
        <v>110</v>
      </c>
      <c r="D459" s="19" t="s">
        <v>96</v>
      </c>
      <c r="E459" s="19" t="s">
        <v>742</v>
      </c>
      <c r="F459" s="19" t="s">
        <v>747</v>
      </c>
      <c r="G459" s="19" t="s">
        <v>748</v>
      </c>
      <c r="H459" s="20" t="s">
        <v>1709</v>
      </c>
      <c r="I459" s="20" t="s">
        <v>1710</v>
      </c>
      <c r="J459" s="20"/>
    </row>
    <row r="460" customFormat="false" ht="35.05" hidden="false" customHeight="false" outlineLevel="0" collapsed="false">
      <c r="A460" s="21" t="n">
        <v>66</v>
      </c>
      <c r="B460" s="22" t="s">
        <v>501</v>
      </c>
      <c r="C460" s="21" t="s">
        <v>110</v>
      </c>
      <c r="D460" s="21" t="s">
        <v>96</v>
      </c>
      <c r="E460" s="21" t="s">
        <v>719</v>
      </c>
      <c r="F460" s="21" t="s">
        <v>720</v>
      </c>
      <c r="G460" s="21" t="s">
        <v>721</v>
      </c>
      <c r="H460" s="23" t="s">
        <v>1711</v>
      </c>
      <c r="I460" s="22" t="s">
        <v>1712</v>
      </c>
      <c r="J460" s="22" t="s">
        <v>1713</v>
      </c>
    </row>
    <row r="461" customFormat="false" ht="23.85" hidden="false" customHeight="false" outlineLevel="0" collapsed="false">
      <c r="A461" s="21" t="n">
        <v>66</v>
      </c>
      <c r="B461" s="22" t="s">
        <v>501</v>
      </c>
      <c r="C461" s="21" t="s">
        <v>110</v>
      </c>
      <c r="D461" s="21" t="s">
        <v>96</v>
      </c>
      <c r="E461" s="21" t="s">
        <v>719</v>
      </c>
      <c r="F461" s="21" t="s">
        <v>725</v>
      </c>
      <c r="G461" s="21" t="s">
        <v>726</v>
      </c>
      <c r="H461" s="22" t="s">
        <v>1714</v>
      </c>
      <c r="I461" s="22" t="s">
        <v>1715</v>
      </c>
      <c r="J461" s="22"/>
    </row>
    <row r="462" customFormat="false" ht="15" hidden="false" customHeight="false" outlineLevel="0" collapsed="false">
      <c r="A462" s="21" t="n">
        <v>66</v>
      </c>
      <c r="B462" s="22" t="s">
        <v>501</v>
      </c>
      <c r="C462" s="21" t="s">
        <v>110</v>
      </c>
      <c r="D462" s="21" t="s">
        <v>96</v>
      </c>
      <c r="E462" s="21" t="s">
        <v>729</v>
      </c>
      <c r="F462" s="21" t="s">
        <v>730</v>
      </c>
      <c r="G462" s="21" t="s">
        <v>731</v>
      </c>
      <c r="H462" s="22" t="s">
        <v>1716</v>
      </c>
      <c r="I462" s="22" t="s">
        <v>1717</v>
      </c>
      <c r="J462" s="22"/>
    </row>
    <row r="463" customFormat="false" ht="23.85" hidden="false" customHeight="false" outlineLevel="0" collapsed="false">
      <c r="A463" s="21" t="n">
        <v>66</v>
      </c>
      <c r="B463" s="22" t="s">
        <v>501</v>
      </c>
      <c r="C463" s="21" t="s">
        <v>110</v>
      </c>
      <c r="D463" s="21" t="s">
        <v>96</v>
      </c>
      <c r="E463" s="21" t="s">
        <v>729</v>
      </c>
      <c r="F463" s="21" t="s">
        <v>734</v>
      </c>
      <c r="G463" s="21" t="s">
        <v>735</v>
      </c>
      <c r="H463" s="22" t="s">
        <v>1718</v>
      </c>
      <c r="I463" s="22" t="s">
        <v>1719</v>
      </c>
      <c r="J463" s="22"/>
    </row>
    <row r="464" customFormat="false" ht="15" hidden="false" customHeight="false" outlineLevel="0" collapsed="false">
      <c r="A464" s="21" t="n">
        <v>66</v>
      </c>
      <c r="B464" s="22" t="s">
        <v>501</v>
      </c>
      <c r="C464" s="21" t="s">
        <v>110</v>
      </c>
      <c r="D464" s="21" t="s">
        <v>96</v>
      </c>
      <c r="E464" s="21" t="s">
        <v>729</v>
      </c>
      <c r="F464" s="21" t="s">
        <v>738</v>
      </c>
      <c r="G464" s="21" t="s">
        <v>739</v>
      </c>
      <c r="H464" s="22" t="s">
        <v>1720</v>
      </c>
      <c r="I464" s="22" t="s">
        <v>1721</v>
      </c>
      <c r="J464" s="22"/>
    </row>
    <row r="465" customFormat="false" ht="15" hidden="false" customHeight="false" outlineLevel="0" collapsed="false">
      <c r="A465" s="21" t="n">
        <v>66</v>
      </c>
      <c r="B465" s="22" t="s">
        <v>501</v>
      </c>
      <c r="C465" s="21" t="s">
        <v>110</v>
      </c>
      <c r="D465" s="21" t="s">
        <v>96</v>
      </c>
      <c r="E465" s="21" t="s">
        <v>742</v>
      </c>
      <c r="F465" s="21" t="s">
        <v>743</v>
      </c>
      <c r="G465" s="21" t="s">
        <v>744</v>
      </c>
      <c r="H465" s="22" t="s">
        <v>1722</v>
      </c>
      <c r="I465" s="22" t="s">
        <v>1723</v>
      </c>
      <c r="J465" s="22"/>
    </row>
    <row r="466" customFormat="false" ht="23.85" hidden="false" customHeight="false" outlineLevel="0" collapsed="false">
      <c r="A466" s="24" t="n">
        <v>66</v>
      </c>
      <c r="B466" s="25" t="s">
        <v>501</v>
      </c>
      <c r="C466" s="24" t="s">
        <v>110</v>
      </c>
      <c r="D466" s="24" t="s">
        <v>96</v>
      </c>
      <c r="E466" s="24" t="s">
        <v>742</v>
      </c>
      <c r="F466" s="24" t="s">
        <v>747</v>
      </c>
      <c r="G466" s="24" t="s">
        <v>748</v>
      </c>
      <c r="H466" s="25" t="s">
        <v>1724</v>
      </c>
      <c r="I466" s="25" t="s">
        <v>1725</v>
      </c>
      <c r="J466" s="25"/>
    </row>
    <row r="467" customFormat="false" ht="23.85" hidden="false" customHeight="false" outlineLevel="0" collapsed="false">
      <c r="A467" s="16" t="n">
        <v>67</v>
      </c>
      <c r="B467" s="17" t="s">
        <v>512</v>
      </c>
      <c r="C467" s="16" t="s">
        <v>133</v>
      </c>
      <c r="D467" s="16" t="s">
        <v>96</v>
      </c>
      <c r="E467" s="16" t="s">
        <v>719</v>
      </c>
      <c r="F467" s="16" t="s">
        <v>720</v>
      </c>
      <c r="G467" s="16" t="s">
        <v>721</v>
      </c>
      <c r="H467" s="18" t="s">
        <v>1726</v>
      </c>
      <c r="I467" s="17" t="s">
        <v>1727</v>
      </c>
      <c r="J467" s="17" t="s">
        <v>1728</v>
      </c>
    </row>
    <row r="468" customFormat="false" ht="15" hidden="false" customHeight="false" outlineLevel="0" collapsed="false">
      <c r="A468" s="16" t="n">
        <v>67</v>
      </c>
      <c r="B468" s="17" t="s">
        <v>512</v>
      </c>
      <c r="C468" s="16" t="s">
        <v>133</v>
      </c>
      <c r="D468" s="16" t="s">
        <v>96</v>
      </c>
      <c r="E468" s="16" t="s">
        <v>719</v>
      </c>
      <c r="F468" s="16" t="s">
        <v>725</v>
      </c>
      <c r="G468" s="16" t="s">
        <v>726</v>
      </c>
      <c r="H468" s="17" t="s">
        <v>1729</v>
      </c>
      <c r="I468" s="17" t="s">
        <v>1730</v>
      </c>
      <c r="J468" s="17"/>
    </row>
    <row r="469" customFormat="false" ht="15" hidden="false" customHeight="false" outlineLevel="0" collapsed="false">
      <c r="A469" s="16" t="n">
        <v>67</v>
      </c>
      <c r="B469" s="17" t="s">
        <v>512</v>
      </c>
      <c r="C469" s="16" t="s">
        <v>133</v>
      </c>
      <c r="D469" s="16" t="s">
        <v>96</v>
      </c>
      <c r="E469" s="16" t="s">
        <v>729</v>
      </c>
      <c r="F469" s="16" t="s">
        <v>730</v>
      </c>
      <c r="G469" s="16" t="s">
        <v>731</v>
      </c>
      <c r="H469" s="17" t="s">
        <v>1731</v>
      </c>
      <c r="I469" s="17" t="s">
        <v>1732</v>
      </c>
      <c r="J469" s="17"/>
    </row>
    <row r="470" customFormat="false" ht="23.85" hidden="false" customHeight="false" outlineLevel="0" collapsed="false">
      <c r="A470" s="16" t="n">
        <v>67</v>
      </c>
      <c r="B470" s="17" t="s">
        <v>512</v>
      </c>
      <c r="C470" s="16" t="s">
        <v>133</v>
      </c>
      <c r="D470" s="16" t="s">
        <v>96</v>
      </c>
      <c r="E470" s="16" t="s">
        <v>729</v>
      </c>
      <c r="F470" s="16" t="s">
        <v>734</v>
      </c>
      <c r="G470" s="16" t="s">
        <v>735</v>
      </c>
      <c r="H470" s="17" t="s">
        <v>1733</v>
      </c>
      <c r="I470" s="17" t="s">
        <v>1734</v>
      </c>
      <c r="J470" s="17"/>
    </row>
    <row r="471" customFormat="false" ht="15" hidden="false" customHeight="false" outlineLevel="0" collapsed="false">
      <c r="A471" s="16" t="n">
        <v>67</v>
      </c>
      <c r="B471" s="17" t="s">
        <v>512</v>
      </c>
      <c r="C471" s="16" t="s">
        <v>133</v>
      </c>
      <c r="D471" s="16" t="s">
        <v>96</v>
      </c>
      <c r="E471" s="16" t="s">
        <v>729</v>
      </c>
      <c r="F471" s="16" t="s">
        <v>738</v>
      </c>
      <c r="G471" s="16" t="s">
        <v>739</v>
      </c>
      <c r="H471" s="17" t="s">
        <v>1735</v>
      </c>
      <c r="I471" s="17" t="s">
        <v>1736</v>
      </c>
      <c r="J471" s="17"/>
    </row>
    <row r="472" customFormat="false" ht="15" hidden="false" customHeight="false" outlineLevel="0" collapsed="false">
      <c r="A472" s="16" t="n">
        <v>67</v>
      </c>
      <c r="B472" s="17" t="s">
        <v>512</v>
      </c>
      <c r="C472" s="16" t="s">
        <v>133</v>
      </c>
      <c r="D472" s="16" t="s">
        <v>96</v>
      </c>
      <c r="E472" s="16" t="s">
        <v>742</v>
      </c>
      <c r="F472" s="16" t="s">
        <v>743</v>
      </c>
      <c r="G472" s="16" t="s">
        <v>744</v>
      </c>
      <c r="H472" s="17" t="s">
        <v>1737</v>
      </c>
      <c r="I472" s="17" t="s">
        <v>1738</v>
      </c>
      <c r="J472" s="17"/>
    </row>
    <row r="473" customFormat="false" ht="23.85" hidden="false" customHeight="false" outlineLevel="0" collapsed="false">
      <c r="A473" s="19" t="n">
        <v>67</v>
      </c>
      <c r="B473" s="20" t="s">
        <v>512</v>
      </c>
      <c r="C473" s="19" t="s">
        <v>133</v>
      </c>
      <c r="D473" s="19" t="s">
        <v>96</v>
      </c>
      <c r="E473" s="19" t="s">
        <v>742</v>
      </c>
      <c r="F473" s="19" t="s">
        <v>747</v>
      </c>
      <c r="G473" s="19" t="s">
        <v>748</v>
      </c>
      <c r="H473" s="20" t="s">
        <v>1739</v>
      </c>
      <c r="I473" s="20" t="s">
        <v>1740</v>
      </c>
      <c r="J473" s="20"/>
    </row>
    <row r="474" customFormat="false" ht="23.85" hidden="false" customHeight="false" outlineLevel="0" collapsed="false">
      <c r="A474" s="21" t="n">
        <v>68</v>
      </c>
      <c r="B474" s="22" t="s">
        <v>516</v>
      </c>
      <c r="C474" s="21" t="s">
        <v>133</v>
      </c>
      <c r="D474" s="21" t="s">
        <v>72</v>
      </c>
      <c r="E474" s="21" t="s">
        <v>719</v>
      </c>
      <c r="F474" s="21" t="s">
        <v>720</v>
      </c>
      <c r="G474" s="21" t="s">
        <v>721</v>
      </c>
      <c r="H474" s="23" t="s">
        <v>1741</v>
      </c>
      <c r="I474" s="22" t="s">
        <v>1742</v>
      </c>
      <c r="J474" s="22" t="s">
        <v>1743</v>
      </c>
    </row>
    <row r="475" customFormat="false" ht="23.85" hidden="false" customHeight="false" outlineLevel="0" collapsed="false">
      <c r="A475" s="21" t="n">
        <v>68</v>
      </c>
      <c r="B475" s="22" t="s">
        <v>516</v>
      </c>
      <c r="C475" s="21" t="s">
        <v>133</v>
      </c>
      <c r="D475" s="21" t="s">
        <v>72</v>
      </c>
      <c r="E475" s="21" t="s">
        <v>719</v>
      </c>
      <c r="F475" s="21" t="s">
        <v>725</v>
      </c>
      <c r="G475" s="21" t="s">
        <v>726</v>
      </c>
      <c r="H475" s="22" t="s">
        <v>1744</v>
      </c>
      <c r="I475" s="22" t="s">
        <v>1745</v>
      </c>
      <c r="J475" s="22"/>
    </row>
    <row r="476" customFormat="false" ht="15" hidden="false" customHeight="false" outlineLevel="0" collapsed="false">
      <c r="A476" s="21" t="n">
        <v>68</v>
      </c>
      <c r="B476" s="22" t="s">
        <v>516</v>
      </c>
      <c r="C476" s="21" t="s">
        <v>133</v>
      </c>
      <c r="D476" s="21" t="s">
        <v>72</v>
      </c>
      <c r="E476" s="21" t="s">
        <v>729</v>
      </c>
      <c r="F476" s="21" t="s">
        <v>730</v>
      </c>
      <c r="G476" s="21" t="s">
        <v>731</v>
      </c>
      <c r="H476" s="22" t="s">
        <v>1746</v>
      </c>
      <c r="I476" s="22" t="s">
        <v>1747</v>
      </c>
      <c r="J476" s="22"/>
    </row>
    <row r="477" customFormat="false" ht="15" hidden="false" customHeight="false" outlineLevel="0" collapsed="false">
      <c r="A477" s="21" t="n">
        <v>68</v>
      </c>
      <c r="B477" s="22" t="s">
        <v>516</v>
      </c>
      <c r="C477" s="21" t="s">
        <v>133</v>
      </c>
      <c r="D477" s="21" t="s">
        <v>72</v>
      </c>
      <c r="E477" s="21" t="s">
        <v>729</v>
      </c>
      <c r="F477" s="21" t="s">
        <v>734</v>
      </c>
      <c r="G477" s="21" t="s">
        <v>735</v>
      </c>
      <c r="H477" s="22" t="s">
        <v>1748</v>
      </c>
      <c r="I477" s="22" t="s">
        <v>1749</v>
      </c>
      <c r="J477" s="22"/>
    </row>
    <row r="478" customFormat="false" ht="15" hidden="false" customHeight="false" outlineLevel="0" collapsed="false">
      <c r="A478" s="21" t="n">
        <v>68</v>
      </c>
      <c r="B478" s="22" t="s">
        <v>516</v>
      </c>
      <c r="C478" s="21" t="s">
        <v>133</v>
      </c>
      <c r="D478" s="21" t="s">
        <v>72</v>
      </c>
      <c r="E478" s="21" t="s">
        <v>729</v>
      </c>
      <c r="F478" s="21" t="s">
        <v>738</v>
      </c>
      <c r="G478" s="21" t="s">
        <v>739</v>
      </c>
      <c r="H478" s="22" t="s">
        <v>1750</v>
      </c>
      <c r="I478" s="22" t="s">
        <v>1751</v>
      </c>
      <c r="J478" s="22"/>
    </row>
    <row r="479" customFormat="false" ht="15" hidden="false" customHeight="false" outlineLevel="0" collapsed="false">
      <c r="A479" s="21" t="n">
        <v>68</v>
      </c>
      <c r="B479" s="22" t="s">
        <v>516</v>
      </c>
      <c r="C479" s="21" t="s">
        <v>133</v>
      </c>
      <c r="D479" s="21" t="s">
        <v>72</v>
      </c>
      <c r="E479" s="21" t="s">
        <v>742</v>
      </c>
      <c r="F479" s="21" t="s">
        <v>743</v>
      </c>
      <c r="G479" s="21" t="s">
        <v>744</v>
      </c>
      <c r="H479" s="22" t="s">
        <v>1752</v>
      </c>
      <c r="I479" s="22" t="s">
        <v>1753</v>
      </c>
      <c r="J479" s="22"/>
    </row>
    <row r="480" customFormat="false" ht="23.85" hidden="false" customHeight="false" outlineLevel="0" collapsed="false">
      <c r="A480" s="24" t="n">
        <v>68</v>
      </c>
      <c r="B480" s="25" t="s">
        <v>516</v>
      </c>
      <c r="C480" s="24" t="s">
        <v>133</v>
      </c>
      <c r="D480" s="24" t="s">
        <v>72</v>
      </c>
      <c r="E480" s="24" t="s">
        <v>742</v>
      </c>
      <c r="F480" s="24" t="s">
        <v>747</v>
      </c>
      <c r="G480" s="24" t="s">
        <v>748</v>
      </c>
      <c r="H480" s="25" t="s">
        <v>1754</v>
      </c>
      <c r="I480" s="25" t="s">
        <v>1755</v>
      </c>
      <c r="J480" s="25"/>
    </row>
    <row r="481" customFormat="false" ht="23.85" hidden="false" customHeight="false" outlineLevel="0" collapsed="false">
      <c r="A481" s="16" t="n">
        <v>69</v>
      </c>
      <c r="B481" s="17" t="s">
        <v>520</v>
      </c>
      <c r="C481" s="16" t="s">
        <v>133</v>
      </c>
      <c r="D481" s="16" t="s">
        <v>96</v>
      </c>
      <c r="E481" s="16" t="s">
        <v>719</v>
      </c>
      <c r="F481" s="16" t="s">
        <v>720</v>
      </c>
      <c r="G481" s="16" t="s">
        <v>721</v>
      </c>
      <c r="H481" s="18" t="s">
        <v>1756</v>
      </c>
      <c r="I481" s="17" t="s">
        <v>1757</v>
      </c>
      <c r="J481" s="17" t="s">
        <v>1758</v>
      </c>
    </row>
    <row r="482" customFormat="false" ht="15" hidden="false" customHeight="false" outlineLevel="0" collapsed="false">
      <c r="A482" s="16" t="n">
        <v>69</v>
      </c>
      <c r="B482" s="17" t="s">
        <v>520</v>
      </c>
      <c r="C482" s="16" t="s">
        <v>133</v>
      </c>
      <c r="D482" s="16" t="s">
        <v>96</v>
      </c>
      <c r="E482" s="16" t="s">
        <v>719</v>
      </c>
      <c r="F482" s="16" t="s">
        <v>725</v>
      </c>
      <c r="G482" s="16" t="s">
        <v>726</v>
      </c>
      <c r="H482" s="17" t="s">
        <v>1759</v>
      </c>
      <c r="I482" s="17" t="s">
        <v>1760</v>
      </c>
      <c r="J482" s="17"/>
    </row>
    <row r="483" customFormat="false" ht="15" hidden="false" customHeight="false" outlineLevel="0" collapsed="false">
      <c r="A483" s="16" t="n">
        <v>69</v>
      </c>
      <c r="B483" s="17" t="s">
        <v>520</v>
      </c>
      <c r="C483" s="16" t="s">
        <v>133</v>
      </c>
      <c r="D483" s="16" t="s">
        <v>96</v>
      </c>
      <c r="E483" s="16" t="s">
        <v>729</v>
      </c>
      <c r="F483" s="16" t="s">
        <v>730</v>
      </c>
      <c r="G483" s="16" t="s">
        <v>731</v>
      </c>
      <c r="H483" s="17" t="s">
        <v>1761</v>
      </c>
      <c r="I483" s="17" t="s">
        <v>1762</v>
      </c>
      <c r="J483" s="17"/>
    </row>
    <row r="484" customFormat="false" ht="15" hidden="false" customHeight="false" outlineLevel="0" collapsed="false">
      <c r="A484" s="16" t="n">
        <v>69</v>
      </c>
      <c r="B484" s="17" t="s">
        <v>520</v>
      </c>
      <c r="C484" s="16" t="s">
        <v>133</v>
      </c>
      <c r="D484" s="16" t="s">
        <v>96</v>
      </c>
      <c r="E484" s="16" t="s">
        <v>729</v>
      </c>
      <c r="F484" s="16" t="s">
        <v>734</v>
      </c>
      <c r="G484" s="16" t="s">
        <v>735</v>
      </c>
      <c r="H484" s="17" t="s">
        <v>1763</v>
      </c>
      <c r="I484" s="17" t="s">
        <v>1764</v>
      </c>
      <c r="J484" s="17"/>
    </row>
    <row r="485" customFormat="false" ht="23.85" hidden="false" customHeight="false" outlineLevel="0" collapsed="false">
      <c r="A485" s="16" t="n">
        <v>69</v>
      </c>
      <c r="B485" s="17" t="s">
        <v>520</v>
      </c>
      <c r="C485" s="16" t="s">
        <v>133</v>
      </c>
      <c r="D485" s="16" t="s">
        <v>96</v>
      </c>
      <c r="E485" s="16" t="s">
        <v>729</v>
      </c>
      <c r="F485" s="16" t="s">
        <v>738</v>
      </c>
      <c r="G485" s="16" t="s">
        <v>739</v>
      </c>
      <c r="H485" s="17" t="s">
        <v>1765</v>
      </c>
      <c r="I485" s="17" t="s">
        <v>1766</v>
      </c>
      <c r="J485" s="17"/>
    </row>
    <row r="486" customFormat="false" ht="15" hidden="false" customHeight="false" outlineLevel="0" collapsed="false">
      <c r="A486" s="16" t="n">
        <v>69</v>
      </c>
      <c r="B486" s="17" t="s">
        <v>520</v>
      </c>
      <c r="C486" s="16" t="s">
        <v>133</v>
      </c>
      <c r="D486" s="16" t="s">
        <v>96</v>
      </c>
      <c r="E486" s="16" t="s">
        <v>742</v>
      </c>
      <c r="F486" s="16" t="s">
        <v>743</v>
      </c>
      <c r="G486" s="16" t="s">
        <v>744</v>
      </c>
      <c r="H486" s="17" t="s">
        <v>1767</v>
      </c>
      <c r="I486" s="17" t="s">
        <v>1768</v>
      </c>
      <c r="J486" s="17"/>
    </row>
    <row r="487" customFormat="false" ht="23.85" hidden="false" customHeight="false" outlineLevel="0" collapsed="false">
      <c r="A487" s="19" t="n">
        <v>69</v>
      </c>
      <c r="B487" s="20" t="s">
        <v>520</v>
      </c>
      <c r="C487" s="19" t="s">
        <v>133</v>
      </c>
      <c r="D487" s="19" t="s">
        <v>96</v>
      </c>
      <c r="E487" s="19" t="s">
        <v>742</v>
      </c>
      <c r="F487" s="19" t="s">
        <v>747</v>
      </c>
      <c r="G487" s="19" t="s">
        <v>748</v>
      </c>
      <c r="H487" s="20" t="s">
        <v>1769</v>
      </c>
      <c r="I487" s="20" t="s">
        <v>1770</v>
      </c>
      <c r="J487" s="20"/>
    </row>
    <row r="488" customFormat="false" ht="23.85" hidden="false" customHeight="false" outlineLevel="0" collapsed="false">
      <c r="A488" s="21" t="n">
        <v>70</v>
      </c>
      <c r="B488" s="22" t="s">
        <v>524</v>
      </c>
      <c r="C488" s="21" t="s">
        <v>133</v>
      </c>
      <c r="D488" s="21" t="s">
        <v>96</v>
      </c>
      <c r="E488" s="21" t="s">
        <v>719</v>
      </c>
      <c r="F488" s="21" t="s">
        <v>720</v>
      </c>
      <c r="G488" s="21" t="s">
        <v>721</v>
      </c>
      <c r="H488" s="23" t="s">
        <v>1771</v>
      </c>
      <c r="I488" s="22" t="s">
        <v>1772</v>
      </c>
      <c r="J488" s="22" t="s">
        <v>1773</v>
      </c>
    </row>
    <row r="489" customFormat="false" ht="23.85" hidden="false" customHeight="false" outlineLevel="0" collapsed="false">
      <c r="A489" s="21" t="n">
        <v>70</v>
      </c>
      <c r="B489" s="22" t="s">
        <v>524</v>
      </c>
      <c r="C489" s="21" t="s">
        <v>133</v>
      </c>
      <c r="D489" s="21" t="s">
        <v>96</v>
      </c>
      <c r="E489" s="21" t="s">
        <v>719</v>
      </c>
      <c r="F489" s="21" t="s">
        <v>725</v>
      </c>
      <c r="G489" s="21" t="s">
        <v>726</v>
      </c>
      <c r="H489" s="22" t="s">
        <v>1774</v>
      </c>
      <c r="I489" s="22" t="s">
        <v>1775</v>
      </c>
      <c r="J489" s="22"/>
    </row>
    <row r="490" customFormat="false" ht="15" hidden="false" customHeight="false" outlineLevel="0" collapsed="false">
      <c r="A490" s="21" t="n">
        <v>70</v>
      </c>
      <c r="B490" s="22" t="s">
        <v>524</v>
      </c>
      <c r="C490" s="21" t="s">
        <v>133</v>
      </c>
      <c r="D490" s="21" t="s">
        <v>96</v>
      </c>
      <c r="E490" s="21" t="s">
        <v>729</v>
      </c>
      <c r="F490" s="21" t="s">
        <v>730</v>
      </c>
      <c r="G490" s="21" t="s">
        <v>731</v>
      </c>
      <c r="H490" s="22" t="s">
        <v>1776</v>
      </c>
      <c r="I490" s="22" t="s">
        <v>1777</v>
      </c>
      <c r="J490" s="22"/>
    </row>
    <row r="491" customFormat="false" ht="15" hidden="false" customHeight="false" outlineLevel="0" collapsed="false">
      <c r="A491" s="21" t="n">
        <v>70</v>
      </c>
      <c r="B491" s="22" t="s">
        <v>524</v>
      </c>
      <c r="C491" s="21" t="s">
        <v>133</v>
      </c>
      <c r="D491" s="21" t="s">
        <v>96</v>
      </c>
      <c r="E491" s="21" t="s">
        <v>729</v>
      </c>
      <c r="F491" s="21" t="s">
        <v>734</v>
      </c>
      <c r="G491" s="21" t="s">
        <v>735</v>
      </c>
      <c r="H491" s="22" t="s">
        <v>1778</v>
      </c>
      <c r="I491" s="22" t="s">
        <v>1779</v>
      </c>
      <c r="J491" s="22"/>
    </row>
    <row r="492" customFormat="false" ht="23.85" hidden="false" customHeight="false" outlineLevel="0" collapsed="false">
      <c r="A492" s="21" t="n">
        <v>70</v>
      </c>
      <c r="B492" s="22" t="s">
        <v>524</v>
      </c>
      <c r="C492" s="21" t="s">
        <v>133</v>
      </c>
      <c r="D492" s="21" t="s">
        <v>96</v>
      </c>
      <c r="E492" s="21" t="s">
        <v>729</v>
      </c>
      <c r="F492" s="21" t="s">
        <v>738</v>
      </c>
      <c r="G492" s="21" t="s">
        <v>739</v>
      </c>
      <c r="H492" s="22" t="s">
        <v>1780</v>
      </c>
      <c r="I492" s="22" t="s">
        <v>1781</v>
      </c>
      <c r="J492" s="22"/>
    </row>
    <row r="493" customFormat="false" ht="15" hidden="false" customHeight="false" outlineLevel="0" collapsed="false">
      <c r="A493" s="21" t="n">
        <v>70</v>
      </c>
      <c r="B493" s="22" t="s">
        <v>524</v>
      </c>
      <c r="C493" s="21" t="s">
        <v>133</v>
      </c>
      <c r="D493" s="21" t="s">
        <v>96</v>
      </c>
      <c r="E493" s="21" t="s">
        <v>742</v>
      </c>
      <c r="F493" s="21" t="s">
        <v>743</v>
      </c>
      <c r="G493" s="21" t="s">
        <v>744</v>
      </c>
      <c r="H493" s="22" t="s">
        <v>1782</v>
      </c>
      <c r="I493" s="22" t="s">
        <v>1783</v>
      </c>
      <c r="J493" s="22"/>
    </row>
    <row r="494" customFormat="false" ht="23.85" hidden="false" customHeight="false" outlineLevel="0" collapsed="false">
      <c r="A494" s="24" t="n">
        <v>70</v>
      </c>
      <c r="B494" s="25" t="s">
        <v>524</v>
      </c>
      <c r="C494" s="24" t="s">
        <v>133</v>
      </c>
      <c r="D494" s="24" t="s">
        <v>96</v>
      </c>
      <c r="E494" s="24" t="s">
        <v>742</v>
      </c>
      <c r="F494" s="24" t="s">
        <v>747</v>
      </c>
      <c r="G494" s="24" t="s">
        <v>748</v>
      </c>
      <c r="H494" s="25" t="s">
        <v>1784</v>
      </c>
      <c r="I494" s="25" t="s">
        <v>1785</v>
      </c>
      <c r="J494" s="25"/>
    </row>
    <row r="495" customFormat="false" ht="23.85" hidden="false" customHeight="false" outlineLevel="0" collapsed="false">
      <c r="A495" s="16" t="n">
        <v>71</v>
      </c>
      <c r="B495" s="17" t="s">
        <v>529</v>
      </c>
      <c r="C495" s="16" t="s">
        <v>90</v>
      </c>
      <c r="D495" s="16" t="s">
        <v>96</v>
      </c>
      <c r="E495" s="16" t="s">
        <v>719</v>
      </c>
      <c r="F495" s="16" t="s">
        <v>720</v>
      </c>
      <c r="G495" s="16" t="s">
        <v>721</v>
      </c>
      <c r="H495" s="18" t="s">
        <v>1786</v>
      </c>
      <c r="I495" s="17" t="s">
        <v>1787</v>
      </c>
      <c r="J495" s="17" t="s">
        <v>1788</v>
      </c>
    </row>
    <row r="496" customFormat="false" ht="15" hidden="false" customHeight="false" outlineLevel="0" collapsed="false">
      <c r="A496" s="16" t="n">
        <v>71</v>
      </c>
      <c r="B496" s="17" t="s">
        <v>529</v>
      </c>
      <c r="C496" s="16" t="s">
        <v>90</v>
      </c>
      <c r="D496" s="16" t="s">
        <v>96</v>
      </c>
      <c r="E496" s="16" t="s">
        <v>719</v>
      </c>
      <c r="F496" s="16" t="s">
        <v>725</v>
      </c>
      <c r="G496" s="16" t="s">
        <v>726</v>
      </c>
      <c r="H496" s="17" t="s">
        <v>1789</v>
      </c>
      <c r="I496" s="17" t="s">
        <v>1790</v>
      </c>
      <c r="J496" s="17"/>
    </row>
    <row r="497" customFormat="false" ht="15" hidden="false" customHeight="false" outlineLevel="0" collapsed="false">
      <c r="A497" s="16" t="n">
        <v>71</v>
      </c>
      <c r="B497" s="17" t="s">
        <v>529</v>
      </c>
      <c r="C497" s="16" t="s">
        <v>90</v>
      </c>
      <c r="D497" s="16" t="s">
        <v>96</v>
      </c>
      <c r="E497" s="16" t="s">
        <v>729</v>
      </c>
      <c r="F497" s="16" t="s">
        <v>730</v>
      </c>
      <c r="G497" s="16" t="s">
        <v>731</v>
      </c>
      <c r="H497" s="17" t="s">
        <v>1791</v>
      </c>
      <c r="I497" s="17" t="s">
        <v>1792</v>
      </c>
      <c r="J497" s="17"/>
    </row>
    <row r="498" customFormat="false" ht="15" hidden="false" customHeight="false" outlineLevel="0" collapsed="false">
      <c r="A498" s="16" t="n">
        <v>71</v>
      </c>
      <c r="B498" s="17" t="s">
        <v>529</v>
      </c>
      <c r="C498" s="16" t="s">
        <v>90</v>
      </c>
      <c r="D498" s="16" t="s">
        <v>96</v>
      </c>
      <c r="E498" s="16" t="s">
        <v>729</v>
      </c>
      <c r="F498" s="16" t="s">
        <v>734</v>
      </c>
      <c r="G498" s="16" t="s">
        <v>735</v>
      </c>
      <c r="H498" s="17" t="s">
        <v>1793</v>
      </c>
      <c r="I498" s="17" t="s">
        <v>1794</v>
      </c>
      <c r="J498" s="17"/>
    </row>
    <row r="499" customFormat="false" ht="15" hidden="false" customHeight="false" outlineLevel="0" collapsed="false">
      <c r="A499" s="16" t="n">
        <v>71</v>
      </c>
      <c r="B499" s="17" t="s">
        <v>529</v>
      </c>
      <c r="C499" s="16" t="s">
        <v>90</v>
      </c>
      <c r="D499" s="16" t="s">
        <v>96</v>
      </c>
      <c r="E499" s="16" t="s">
        <v>729</v>
      </c>
      <c r="F499" s="16" t="s">
        <v>738</v>
      </c>
      <c r="G499" s="16" t="s">
        <v>739</v>
      </c>
      <c r="H499" s="17" t="s">
        <v>1795</v>
      </c>
      <c r="I499" s="17" t="s">
        <v>1796</v>
      </c>
      <c r="J499" s="17"/>
    </row>
    <row r="500" customFormat="false" ht="15" hidden="false" customHeight="false" outlineLevel="0" collapsed="false">
      <c r="A500" s="16" t="n">
        <v>71</v>
      </c>
      <c r="B500" s="17" t="s">
        <v>529</v>
      </c>
      <c r="C500" s="16" t="s">
        <v>90</v>
      </c>
      <c r="D500" s="16" t="s">
        <v>96</v>
      </c>
      <c r="E500" s="16" t="s">
        <v>742</v>
      </c>
      <c r="F500" s="16" t="s">
        <v>743</v>
      </c>
      <c r="G500" s="16" t="s">
        <v>744</v>
      </c>
      <c r="H500" s="17" t="s">
        <v>1797</v>
      </c>
      <c r="I500" s="17" t="s">
        <v>1798</v>
      </c>
      <c r="J500" s="17"/>
    </row>
    <row r="501" customFormat="false" ht="23.85" hidden="false" customHeight="false" outlineLevel="0" collapsed="false">
      <c r="A501" s="19" t="n">
        <v>71</v>
      </c>
      <c r="B501" s="20" t="s">
        <v>529</v>
      </c>
      <c r="C501" s="19" t="s">
        <v>90</v>
      </c>
      <c r="D501" s="19" t="s">
        <v>96</v>
      </c>
      <c r="E501" s="19" t="s">
        <v>742</v>
      </c>
      <c r="F501" s="19" t="s">
        <v>747</v>
      </c>
      <c r="G501" s="19" t="s">
        <v>748</v>
      </c>
      <c r="H501" s="20" t="s">
        <v>1799</v>
      </c>
      <c r="I501" s="20" t="s">
        <v>1800</v>
      </c>
      <c r="J501" s="20"/>
    </row>
    <row r="502" customFormat="false" ht="23.85" hidden="false" customHeight="false" outlineLevel="0" collapsed="false">
      <c r="A502" s="21" t="n">
        <v>72</v>
      </c>
      <c r="B502" s="22" t="s">
        <v>537</v>
      </c>
      <c r="C502" s="21" t="s">
        <v>90</v>
      </c>
      <c r="D502" s="21" t="s">
        <v>96</v>
      </c>
      <c r="E502" s="21" t="s">
        <v>719</v>
      </c>
      <c r="F502" s="21" t="s">
        <v>720</v>
      </c>
      <c r="G502" s="21" t="s">
        <v>721</v>
      </c>
      <c r="H502" s="23" t="s">
        <v>1801</v>
      </c>
      <c r="I502" s="22" t="s">
        <v>1802</v>
      </c>
      <c r="J502" s="22" t="s">
        <v>1803</v>
      </c>
    </row>
    <row r="503" customFormat="false" ht="15" hidden="false" customHeight="false" outlineLevel="0" collapsed="false">
      <c r="A503" s="21" t="n">
        <v>72</v>
      </c>
      <c r="B503" s="22" t="s">
        <v>537</v>
      </c>
      <c r="C503" s="21" t="s">
        <v>90</v>
      </c>
      <c r="D503" s="21" t="s">
        <v>96</v>
      </c>
      <c r="E503" s="21" t="s">
        <v>719</v>
      </c>
      <c r="F503" s="21" t="s">
        <v>725</v>
      </c>
      <c r="G503" s="21" t="s">
        <v>726</v>
      </c>
      <c r="H503" s="22" t="s">
        <v>1804</v>
      </c>
      <c r="I503" s="22" t="s">
        <v>1805</v>
      </c>
      <c r="J503" s="22"/>
    </row>
    <row r="504" customFormat="false" ht="15" hidden="false" customHeight="false" outlineLevel="0" collapsed="false">
      <c r="A504" s="21" t="n">
        <v>72</v>
      </c>
      <c r="B504" s="22" t="s">
        <v>537</v>
      </c>
      <c r="C504" s="21" t="s">
        <v>90</v>
      </c>
      <c r="D504" s="21" t="s">
        <v>96</v>
      </c>
      <c r="E504" s="21" t="s">
        <v>729</v>
      </c>
      <c r="F504" s="21" t="s">
        <v>730</v>
      </c>
      <c r="G504" s="21" t="s">
        <v>731</v>
      </c>
      <c r="H504" s="22" t="s">
        <v>1806</v>
      </c>
      <c r="I504" s="22" t="s">
        <v>1807</v>
      </c>
      <c r="J504" s="22"/>
    </row>
    <row r="505" customFormat="false" ht="15" hidden="false" customHeight="false" outlineLevel="0" collapsed="false">
      <c r="A505" s="21" t="n">
        <v>72</v>
      </c>
      <c r="B505" s="22" t="s">
        <v>537</v>
      </c>
      <c r="C505" s="21" t="s">
        <v>90</v>
      </c>
      <c r="D505" s="21" t="s">
        <v>96</v>
      </c>
      <c r="E505" s="21" t="s">
        <v>729</v>
      </c>
      <c r="F505" s="21" t="s">
        <v>734</v>
      </c>
      <c r="G505" s="21" t="s">
        <v>735</v>
      </c>
      <c r="H505" s="22" t="s">
        <v>1808</v>
      </c>
      <c r="I505" s="22" t="s">
        <v>1809</v>
      </c>
      <c r="J505" s="22"/>
    </row>
    <row r="506" customFormat="false" ht="23.85" hidden="false" customHeight="false" outlineLevel="0" collapsed="false">
      <c r="A506" s="21" t="n">
        <v>72</v>
      </c>
      <c r="B506" s="22" t="s">
        <v>537</v>
      </c>
      <c r="C506" s="21" t="s">
        <v>90</v>
      </c>
      <c r="D506" s="21" t="s">
        <v>96</v>
      </c>
      <c r="E506" s="21" t="s">
        <v>729</v>
      </c>
      <c r="F506" s="21" t="s">
        <v>738</v>
      </c>
      <c r="G506" s="21" t="s">
        <v>739</v>
      </c>
      <c r="H506" s="22" t="s">
        <v>1810</v>
      </c>
      <c r="I506" s="22" t="s">
        <v>1811</v>
      </c>
      <c r="J506" s="22"/>
    </row>
    <row r="507" customFormat="false" ht="15" hidden="false" customHeight="false" outlineLevel="0" collapsed="false">
      <c r="A507" s="21" t="n">
        <v>72</v>
      </c>
      <c r="B507" s="22" t="s">
        <v>537</v>
      </c>
      <c r="C507" s="21" t="s">
        <v>90</v>
      </c>
      <c r="D507" s="21" t="s">
        <v>96</v>
      </c>
      <c r="E507" s="21" t="s">
        <v>742</v>
      </c>
      <c r="F507" s="21" t="s">
        <v>743</v>
      </c>
      <c r="G507" s="21" t="s">
        <v>744</v>
      </c>
      <c r="H507" s="22" t="s">
        <v>1812</v>
      </c>
      <c r="I507" s="22" t="s">
        <v>1813</v>
      </c>
      <c r="J507" s="22"/>
    </row>
    <row r="508" customFormat="false" ht="23.85" hidden="false" customHeight="false" outlineLevel="0" collapsed="false">
      <c r="A508" s="24" t="n">
        <v>72</v>
      </c>
      <c r="B508" s="25" t="s">
        <v>537</v>
      </c>
      <c r="C508" s="24" t="s">
        <v>90</v>
      </c>
      <c r="D508" s="24" t="s">
        <v>96</v>
      </c>
      <c r="E508" s="24" t="s">
        <v>742</v>
      </c>
      <c r="F508" s="24" t="s">
        <v>747</v>
      </c>
      <c r="G508" s="24" t="s">
        <v>748</v>
      </c>
      <c r="H508" s="25" t="s">
        <v>1814</v>
      </c>
      <c r="I508" s="25" t="s">
        <v>1815</v>
      </c>
      <c r="J508" s="25"/>
    </row>
    <row r="509" customFormat="false" ht="23.85" hidden="false" customHeight="false" outlineLevel="0" collapsed="false">
      <c r="A509" s="16" t="n">
        <v>73</v>
      </c>
      <c r="B509" s="17" t="s">
        <v>545</v>
      </c>
      <c r="C509" s="16" t="s">
        <v>90</v>
      </c>
      <c r="D509" s="16" t="s">
        <v>72</v>
      </c>
      <c r="E509" s="16" t="s">
        <v>719</v>
      </c>
      <c r="F509" s="16" t="s">
        <v>720</v>
      </c>
      <c r="G509" s="16" t="s">
        <v>721</v>
      </c>
      <c r="H509" s="18" t="s">
        <v>1816</v>
      </c>
      <c r="I509" s="17" t="s">
        <v>1817</v>
      </c>
      <c r="J509" s="17" t="s">
        <v>1818</v>
      </c>
    </row>
    <row r="510" customFormat="false" ht="23.85" hidden="false" customHeight="false" outlineLevel="0" collapsed="false">
      <c r="A510" s="16" t="n">
        <v>73</v>
      </c>
      <c r="B510" s="17" t="s">
        <v>545</v>
      </c>
      <c r="C510" s="16" t="s">
        <v>90</v>
      </c>
      <c r="D510" s="16" t="s">
        <v>72</v>
      </c>
      <c r="E510" s="16" t="s">
        <v>719</v>
      </c>
      <c r="F510" s="16" t="s">
        <v>725</v>
      </c>
      <c r="G510" s="16" t="s">
        <v>726</v>
      </c>
      <c r="H510" s="17" t="s">
        <v>1819</v>
      </c>
      <c r="I510" s="17" t="s">
        <v>1820</v>
      </c>
      <c r="J510" s="17"/>
    </row>
    <row r="511" customFormat="false" ht="23.85" hidden="false" customHeight="false" outlineLevel="0" collapsed="false">
      <c r="A511" s="16" t="n">
        <v>73</v>
      </c>
      <c r="B511" s="17" t="s">
        <v>545</v>
      </c>
      <c r="C511" s="16" t="s">
        <v>90</v>
      </c>
      <c r="D511" s="16" t="s">
        <v>72</v>
      </c>
      <c r="E511" s="16" t="s">
        <v>729</v>
      </c>
      <c r="F511" s="16" t="s">
        <v>730</v>
      </c>
      <c r="G511" s="16" t="s">
        <v>731</v>
      </c>
      <c r="H511" s="17" t="s">
        <v>1821</v>
      </c>
      <c r="I511" s="17" t="s">
        <v>1822</v>
      </c>
      <c r="J511" s="17"/>
    </row>
    <row r="512" customFormat="false" ht="15" hidden="false" customHeight="false" outlineLevel="0" collapsed="false">
      <c r="A512" s="16" t="n">
        <v>73</v>
      </c>
      <c r="B512" s="17" t="s">
        <v>545</v>
      </c>
      <c r="C512" s="16" t="s">
        <v>90</v>
      </c>
      <c r="D512" s="16" t="s">
        <v>72</v>
      </c>
      <c r="E512" s="16" t="s">
        <v>729</v>
      </c>
      <c r="F512" s="16" t="s">
        <v>734</v>
      </c>
      <c r="G512" s="16" t="s">
        <v>735</v>
      </c>
      <c r="H512" s="17" t="s">
        <v>1823</v>
      </c>
      <c r="I512" s="17" t="s">
        <v>1824</v>
      </c>
      <c r="J512" s="17"/>
    </row>
    <row r="513" customFormat="false" ht="15" hidden="false" customHeight="false" outlineLevel="0" collapsed="false">
      <c r="A513" s="16" t="n">
        <v>73</v>
      </c>
      <c r="B513" s="17" t="s">
        <v>545</v>
      </c>
      <c r="C513" s="16" t="s">
        <v>90</v>
      </c>
      <c r="D513" s="16" t="s">
        <v>72</v>
      </c>
      <c r="E513" s="16" t="s">
        <v>729</v>
      </c>
      <c r="F513" s="16" t="s">
        <v>738</v>
      </c>
      <c r="G513" s="16" t="s">
        <v>739</v>
      </c>
      <c r="H513" s="17" t="s">
        <v>1825</v>
      </c>
      <c r="I513" s="17" t="s">
        <v>1826</v>
      </c>
      <c r="J513" s="17"/>
    </row>
    <row r="514" customFormat="false" ht="15" hidden="false" customHeight="false" outlineLevel="0" collapsed="false">
      <c r="A514" s="16" t="n">
        <v>73</v>
      </c>
      <c r="B514" s="17" t="s">
        <v>545</v>
      </c>
      <c r="C514" s="16" t="s">
        <v>90</v>
      </c>
      <c r="D514" s="16" t="s">
        <v>72</v>
      </c>
      <c r="E514" s="16" t="s">
        <v>742</v>
      </c>
      <c r="F514" s="16" t="s">
        <v>743</v>
      </c>
      <c r="G514" s="16" t="s">
        <v>744</v>
      </c>
      <c r="H514" s="17" t="s">
        <v>1827</v>
      </c>
      <c r="I514" s="17" t="s">
        <v>1828</v>
      </c>
      <c r="J514" s="17"/>
    </row>
    <row r="515" customFormat="false" ht="23.85" hidden="false" customHeight="false" outlineLevel="0" collapsed="false">
      <c r="A515" s="19" t="n">
        <v>73</v>
      </c>
      <c r="B515" s="20" t="s">
        <v>545</v>
      </c>
      <c r="C515" s="19" t="s">
        <v>90</v>
      </c>
      <c r="D515" s="19" t="s">
        <v>72</v>
      </c>
      <c r="E515" s="19" t="s">
        <v>742</v>
      </c>
      <c r="F515" s="19" t="s">
        <v>747</v>
      </c>
      <c r="G515" s="19" t="s">
        <v>748</v>
      </c>
      <c r="H515" s="20" t="s">
        <v>1829</v>
      </c>
      <c r="I515" s="20" t="s">
        <v>1830</v>
      </c>
      <c r="J515" s="20"/>
    </row>
    <row r="516" customFormat="false" ht="23.85" hidden="false" customHeight="false" outlineLevel="0" collapsed="false">
      <c r="A516" s="21" t="n">
        <v>74</v>
      </c>
      <c r="B516" s="22" t="s">
        <v>553</v>
      </c>
      <c r="C516" s="21" t="s">
        <v>133</v>
      </c>
      <c r="D516" s="21" t="s">
        <v>164</v>
      </c>
      <c r="E516" s="21" t="s">
        <v>719</v>
      </c>
      <c r="F516" s="21" t="s">
        <v>720</v>
      </c>
      <c r="G516" s="21" t="s">
        <v>721</v>
      </c>
      <c r="H516" s="23" t="s">
        <v>1831</v>
      </c>
      <c r="I516" s="22" t="s">
        <v>1832</v>
      </c>
      <c r="J516" s="22" t="s">
        <v>1833</v>
      </c>
    </row>
    <row r="517" customFormat="false" ht="15" hidden="false" customHeight="false" outlineLevel="0" collapsed="false">
      <c r="A517" s="21" t="n">
        <v>74</v>
      </c>
      <c r="B517" s="22" t="s">
        <v>553</v>
      </c>
      <c r="C517" s="21" t="s">
        <v>133</v>
      </c>
      <c r="D517" s="21" t="s">
        <v>164</v>
      </c>
      <c r="E517" s="21" t="s">
        <v>719</v>
      </c>
      <c r="F517" s="21" t="s">
        <v>725</v>
      </c>
      <c r="G517" s="21" t="s">
        <v>726</v>
      </c>
      <c r="H517" s="22" t="s">
        <v>1834</v>
      </c>
      <c r="I517" s="22" t="s">
        <v>1835</v>
      </c>
      <c r="J517" s="22"/>
    </row>
    <row r="518" customFormat="false" ht="23.85" hidden="false" customHeight="false" outlineLevel="0" collapsed="false">
      <c r="A518" s="21" t="n">
        <v>74</v>
      </c>
      <c r="B518" s="22" t="s">
        <v>553</v>
      </c>
      <c r="C518" s="21" t="s">
        <v>133</v>
      </c>
      <c r="D518" s="21" t="s">
        <v>164</v>
      </c>
      <c r="E518" s="21" t="s">
        <v>729</v>
      </c>
      <c r="F518" s="21" t="s">
        <v>730</v>
      </c>
      <c r="G518" s="21" t="s">
        <v>731</v>
      </c>
      <c r="H518" s="22" t="s">
        <v>1836</v>
      </c>
      <c r="I518" s="22" t="s">
        <v>1837</v>
      </c>
      <c r="J518" s="22"/>
    </row>
    <row r="519" customFormat="false" ht="15" hidden="false" customHeight="false" outlineLevel="0" collapsed="false">
      <c r="A519" s="21" t="n">
        <v>74</v>
      </c>
      <c r="B519" s="22" t="s">
        <v>553</v>
      </c>
      <c r="C519" s="21" t="s">
        <v>133</v>
      </c>
      <c r="D519" s="21" t="s">
        <v>164</v>
      </c>
      <c r="E519" s="21" t="s">
        <v>729</v>
      </c>
      <c r="F519" s="21" t="s">
        <v>734</v>
      </c>
      <c r="G519" s="21" t="s">
        <v>735</v>
      </c>
      <c r="H519" s="22" t="s">
        <v>1838</v>
      </c>
      <c r="I519" s="22" t="s">
        <v>1839</v>
      </c>
      <c r="J519" s="22"/>
    </row>
    <row r="520" customFormat="false" ht="15" hidden="false" customHeight="false" outlineLevel="0" collapsed="false">
      <c r="A520" s="21" t="n">
        <v>74</v>
      </c>
      <c r="B520" s="22" t="s">
        <v>553</v>
      </c>
      <c r="C520" s="21" t="s">
        <v>133</v>
      </c>
      <c r="D520" s="21" t="s">
        <v>164</v>
      </c>
      <c r="E520" s="21" t="s">
        <v>729</v>
      </c>
      <c r="F520" s="21" t="s">
        <v>738</v>
      </c>
      <c r="G520" s="21" t="s">
        <v>739</v>
      </c>
      <c r="H520" s="22" t="s">
        <v>1840</v>
      </c>
      <c r="I520" s="22" t="s">
        <v>1841</v>
      </c>
      <c r="J520" s="22"/>
    </row>
    <row r="521" customFormat="false" ht="15" hidden="false" customHeight="false" outlineLevel="0" collapsed="false">
      <c r="A521" s="21" t="n">
        <v>74</v>
      </c>
      <c r="B521" s="22" t="s">
        <v>553</v>
      </c>
      <c r="C521" s="21" t="s">
        <v>133</v>
      </c>
      <c r="D521" s="21" t="s">
        <v>164</v>
      </c>
      <c r="E521" s="21" t="s">
        <v>742</v>
      </c>
      <c r="F521" s="21" t="s">
        <v>743</v>
      </c>
      <c r="G521" s="21" t="s">
        <v>744</v>
      </c>
      <c r="H521" s="22" t="s">
        <v>1842</v>
      </c>
      <c r="I521" s="22" t="s">
        <v>1843</v>
      </c>
      <c r="J521" s="22"/>
    </row>
    <row r="522" customFormat="false" ht="23.85" hidden="false" customHeight="false" outlineLevel="0" collapsed="false">
      <c r="A522" s="24" t="n">
        <v>74</v>
      </c>
      <c r="B522" s="25" t="s">
        <v>553</v>
      </c>
      <c r="C522" s="24" t="s">
        <v>133</v>
      </c>
      <c r="D522" s="24" t="s">
        <v>164</v>
      </c>
      <c r="E522" s="24" t="s">
        <v>742</v>
      </c>
      <c r="F522" s="24" t="s">
        <v>747</v>
      </c>
      <c r="G522" s="24" t="s">
        <v>748</v>
      </c>
      <c r="H522" s="25" t="s">
        <v>1844</v>
      </c>
      <c r="I522" s="25" t="s">
        <v>1845</v>
      </c>
      <c r="J522" s="25"/>
    </row>
    <row r="523" customFormat="false" ht="35.05" hidden="false" customHeight="false" outlineLevel="0" collapsed="false">
      <c r="A523" s="16" t="n">
        <v>75</v>
      </c>
      <c r="B523" s="17" t="s">
        <v>557</v>
      </c>
      <c r="C523" s="16" t="s">
        <v>133</v>
      </c>
      <c r="D523" s="16" t="s">
        <v>96</v>
      </c>
      <c r="E523" s="16" t="s">
        <v>719</v>
      </c>
      <c r="F523" s="16" t="s">
        <v>720</v>
      </c>
      <c r="G523" s="16" t="s">
        <v>721</v>
      </c>
      <c r="H523" s="18" t="s">
        <v>1846</v>
      </c>
      <c r="I523" s="17" t="s">
        <v>1847</v>
      </c>
      <c r="J523" s="17" t="s">
        <v>1848</v>
      </c>
    </row>
    <row r="524" customFormat="false" ht="23.85" hidden="false" customHeight="false" outlineLevel="0" collapsed="false">
      <c r="A524" s="16" t="n">
        <v>75</v>
      </c>
      <c r="B524" s="17" t="s">
        <v>557</v>
      </c>
      <c r="C524" s="16" t="s">
        <v>133</v>
      </c>
      <c r="D524" s="16" t="s">
        <v>96</v>
      </c>
      <c r="E524" s="16" t="s">
        <v>719</v>
      </c>
      <c r="F524" s="16" t="s">
        <v>725</v>
      </c>
      <c r="G524" s="16" t="s">
        <v>726</v>
      </c>
      <c r="H524" s="17" t="s">
        <v>1849</v>
      </c>
      <c r="I524" s="17" t="s">
        <v>1850</v>
      </c>
      <c r="J524" s="17"/>
    </row>
    <row r="525" customFormat="false" ht="23.85" hidden="false" customHeight="false" outlineLevel="0" collapsed="false">
      <c r="A525" s="16" t="n">
        <v>75</v>
      </c>
      <c r="B525" s="17" t="s">
        <v>557</v>
      </c>
      <c r="C525" s="16" t="s">
        <v>133</v>
      </c>
      <c r="D525" s="16" t="s">
        <v>96</v>
      </c>
      <c r="E525" s="16" t="s">
        <v>729</v>
      </c>
      <c r="F525" s="16" t="s">
        <v>730</v>
      </c>
      <c r="G525" s="16" t="s">
        <v>731</v>
      </c>
      <c r="H525" s="17" t="s">
        <v>1851</v>
      </c>
      <c r="I525" s="17" t="s">
        <v>1852</v>
      </c>
      <c r="J525" s="17"/>
    </row>
    <row r="526" customFormat="false" ht="15" hidden="false" customHeight="false" outlineLevel="0" collapsed="false">
      <c r="A526" s="16" t="n">
        <v>75</v>
      </c>
      <c r="B526" s="17" t="s">
        <v>557</v>
      </c>
      <c r="C526" s="16" t="s">
        <v>133</v>
      </c>
      <c r="D526" s="16" t="s">
        <v>96</v>
      </c>
      <c r="E526" s="16" t="s">
        <v>729</v>
      </c>
      <c r="F526" s="16" t="s">
        <v>734</v>
      </c>
      <c r="G526" s="16" t="s">
        <v>735</v>
      </c>
      <c r="H526" s="17" t="s">
        <v>1853</v>
      </c>
      <c r="I526" s="17" t="s">
        <v>1854</v>
      </c>
      <c r="J526" s="17"/>
    </row>
    <row r="527" customFormat="false" ht="15" hidden="false" customHeight="false" outlineLevel="0" collapsed="false">
      <c r="A527" s="16" t="n">
        <v>75</v>
      </c>
      <c r="B527" s="17" t="s">
        <v>557</v>
      </c>
      <c r="C527" s="16" t="s">
        <v>133</v>
      </c>
      <c r="D527" s="16" t="s">
        <v>96</v>
      </c>
      <c r="E527" s="16" t="s">
        <v>729</v>
      </c>
      <c r="F527" s="16" t="s">
        <v>738</v>
      </c>
      <c r="G527" s="16" t="s">
        <v>739</v>
      </c>
      <c r="H527" s="17" t="s">
        <v>1855</v>
      </c>
      <c r="I527" s="17" t="s">
        <v>1856</v>
      </c>
      <c r="J527" s="17"/>
    </row>
    <row r="528" customFormat="false" ht="15" hidden="false" customHeight="false" outlineLevel="0" collapsed="false">
      <c r="A528" s="16" t="n">
        <v>75</v>
      </c>
      <c r="B528" s="17" t="s">
        <v>557</v>
      </c>
      <c r="C528" s="16" t="s">
        <v>133</v>
      </c>
      <c r="D528" s="16" t="s">
        <v>96</v>
      </c>
      <c r="E528" s="16" t="s">
        <v>742</v>
      </c>
      <c r="F528" s="16" t="s">
        <v>743</v>
      </c>
      <c r="G528" s="16" t="s">
        <v>744</v>
      </c>
      <c r="H528" s="17" t="s">
        <v>1857</v>
      </c>
      <c r="I528" s="17" t="s">
        <v>1858</v>
      </c>
      <c r="J528" s="17"/>
    </row>
    <row r="529" customFormat="false" ht="23.85" hidden="false" customHeight="false" outlineLevel="0" collapsed="false">
      <c r="A529" s="19" t="n">
        <v>75</v>
      </c>
      <c r="B529" s="20" t="s">
        <v>557</v>
      </c>
      <c r="C529" s="19" t="s">
        <v>133</v>
      </c>
      <c r="D529" s="19" t="s">
        <v>96</v>
      </c>
      <c r="E529" s="19" t="s">
        <v>742</v>
      </c>
      <c r="F529" s="19" t="s">
        <v>747</v>
      </c>
      <c r="G529" s="19" t="s">
        <v>748</v>
      </c>
      <c r="H529" s="20" t="s">
        <v>1859</v>
      </c>
      <c r="I529" s="20" t="s">
        <v>1860</v>
      </c>
      <c r="J529" s="20"/>
    </row>
    <row r="530" customFormat="false" ht="23.85" hidden="false" customHeight="false" outlineLevel="0" collapsed="false">
      <c r="A530" s="21" t="n">
        <v>76</v>
      </c>
      <c r="B530" s="22" t="s">
        <v>561</v>
      </c>
      <c r="C530" s="21" t="s">
        <v>133</v>
      </c>
      <c r="D530" s="21" t="s">
        <v>72</v>
      </c>
      <c r="E530" s="21" t="s">
        <v>719</v>
      </c>
      <c r="F530" s="21" t="s">
        <v>720</v>
      </c>
      <c r="G530" s="21" t="s">
        <v>721</v>
      </c>
      <c r="H530" s="23" t="s">
        <v>1861</v>
      </c>
      <c r="I530" s="22" t="s">
        <v>1862</v>
      </c>
      <c r="J530" s="22" t="s">
        <v>1863</v>
      </c>
    </row>
    <row r="531" customFormat="false" ht="23.85" hidden="false" customHeight="false" outlineLevel="0" collapsed="false">
      <c r="A531" s="21" t="n">
        <v>76</v>
      </c>
      <c r="B531" s="22" t="s">
        <v>561</v>
      </c>
      <c r="C531" s="21" t="s">
        <v>133</v>
      </c>
      <c r="D531" s="21" t="s">
        <v>72</v>
      </c>
      <c r="E531" s="21" t="s">
        <v>719</v>
      </c>
      <c r="F531" s="21" t="s">
        <v>725</v>
      </c>
      <c r="G531" s="21" t="s">
        <v>726</v>
      </c>
      <c r="H531" s="22" t="s">
        <v>1864</v>
      </c>
      <c r="I531" s="22" t="s">
        <v>1865</v>
      </c>
      <c r="J531" s="22"/>
    </row>
    <row r="532" customFormat="false" ht="15" hidden="false" customHeight="false" outlineLevel="0" collapsed="false">
      <c r="A532" s="21" t="n">
        <v>76</v>
      </c>
      <c r="B532" s="22" t="s">
        <v>561</v>
      </c>
      <c r="C532" s="21" t="s">
        <v>133</v>
      </c>
      <c r="D532" s="21" t="s">
        <v>72</v>
      </c>
      <c r="E532" s="21" t="s">
        <v>729</v>
      </c>
      <c r="F532" s="21" t="s">
        <v>730</v>
      </c>
      <c r="G532" s="21" t="s">
        <v>731</v>
      </c>
      <c r="H532" s="22" t="s">
        <v>1866</v>
      </c>
      <c r="I532" s="22" t="s">
        <v>1867</v>
      </c>
      <c r="J532" s="22"/>
    </row>
    <row r="533" customFormat="false" ht="15" hidden="false" customHeight="false" outlineLevel="0" collapsed="false">
      <c r="A533" s="21" t="n">
        <v>76</v>
      </c>
      <c r="B533" s="22" t="s">
        <v>561</v>
      </c>
      <c r="C533" s="21" t="s">
        <v>133</v>
      </c>
      <c r="D533" s="21" t="s">
        <v>72</v>
      </c>
      <c r="E533" s="21" t="s">
        <v>729</v>
      </c>
      <c r="F533" s="21" t="s">
        <v>734</v>
      </c>
      <c r="G533" s="21" t="s">
        <v>735</v>
      </c>
      <c r="H533" s="22" t="s">
        <v>1868</v>
      </c>
      <c r="I533" s="22" t="s">
        <v>1869</v>
      </c>
      <c r="J533" s="22"/>
    </row>
    <row r="534" customFormat="false" ht="15" hidden="false" customHeight="false" outlineLevel="0" collapsed="false">
      <c r="A534" s="21" t="n">
        <v>76</v>
      </c>
      <c r="B534" s="22" t="s">
        <v>561</v>
      </c>
      <c r="C534" s="21" t="s">
        <v>133</v>
      </c>
      <c r="D534" s="21" t="s">
        <v>72</v>
      </c>
      <c r="E534" s="21" t="s">
        <v>729</v>
      </c>
      <c r="F534" s="21" t="s">
        <v>738</v>
      </c>
      <c r="G534" s="21" t="s">
        <v>739</v>
      </c>
      <c r="H534" s="22" t="s">
        <v>1870</v>
      </c>
      <c r="I534" s="22" t="s">
        <v>1871</v>
      </c>
      <c r="J534" s="22"/>
    </row>
    <row r="535" customFormat="false" ht="15" hidden="false" customHeight="false" outlineLevel="0" collapsed="false">
      <c r="A535" s="21" t="n">
        <v>76</v>
      </c>
      <c r="B535" s="22" t="s">
        <v>561</v>
      </c>
      <c r="C535" s="21" t="s">
        <v>133</v>
      </c>
      <c r="D535" s="21" t="s">
        <v>72</v>
      </c>
      <c r="E535" s="21" t="s">
        <v>742</v>
      </c>
      <c r="F535" s="21" t="s">
        <v>743</v>
      </c>
      <c r="G535" s="21" t="s">
        <v>744</v>
      </c>
      <c r="H535" s="22" t="s">
        <v>1872</v>
      </c>
      <c r="I535" s="22" t="s">
        <v>1873</v>
      </c>
      <c r="J535" s="22"/>
    </row>
    <row r="536" customFormat="false" ht="23.85" hidden="false" customHeight="false" outlineLevel="0" collapsed="false">
      <c r="A536" s="24" t="n">
        <v>76</v>
      </c>
      <c r="B536" s="25" t="s">
        <v>561</v>
      </c>
      <c r="C536" s="24" t="s">
        <v>133</v>
      </c>
      <c r="D536" s="24" t="s">
        <v>72</v>
      </c>
      <c r="E536" s="24" t="s">
        <v>742</v>
      </c>
      <c r="F536" s="24" t="s">
        <v>747</v>
      </c>
      <c r="G536" s="24" t="s">
        <v>748</v>
      </c>
      <c r="H536" s="25" t="s">
        <v>1874</v>
      </c>
      <c r="I536" s="25" t="s">
        <v>1875</v>
      </c>
      <c r="J536" s="25"/>
    </row>
    <row r="537" customFormat="false" ht="35.05" hidden="false" customHeight="false" outlineLevel="0" collapsed="false">
      <c r="A537" s="16" t="n">
        <v>77</v>
      </c>
      <c r="B537" s="17" t="s">
        <v>565</v>
      </c>
      <c r="C537" s="16" t="s">
        <v>133</v>
      </c>
      <c r="D537" s="16" t="s">
        <v>96</v>
      </c>
      <c r="E537" s="16" t="s">
        <v>719</v>
      </c>
      <c r="F537" s="16" t="s">
        <v>720</v>
      </c>
      <c r="G537" s="16" t="s">
        <v>721</v>
      </c>
      <c r="H537" s="18" t="s">
        <v>1876</v>
      </c>
      <c r="I537" s="17" t="s">
        <v>1877</v>
      </c>
      <c r="J537" s="17" t="s">
        <v>1878</v>
      </c>
    </row>
    <row r="538" customFormat="false" ht="15" hidden="false" customHeight="false" outlineLevel="0" collapsed="false">
      <c r="A538" s="16" t="n">
        <v>77</v>
      </c>
      <c r="B538" s="17" t="s">
        <v>565</v>
      </c>
      <c r="C538" s="16" t="s">
        <v>133</v>
      </c>
      <c r="D538" s="16" t="s">
        <v>96</v>
      </c>
      <c r="E538" s="16" t="s">
        <v>719</v>
      </c>
      <c r="F538" s="16" t="s">
        <v>725</v>
      </c>
      <c r="G538" s="16" t="s">
        <v>726</v>
      </c>
      <c r="H538" s="17" t="s">
        <v>1879</v>
      </c>
      <c r="I538" s="17" t="s">
        <v>1880</v>
      </c>
      <c r="J538" s="17"/>
    </row>
    <row r="539" customFormat="false" ht="23.85" hidden="false" customHeight="false" outlineLevel="0" collapsed="false">
      <c r="A539" s="16" t="n">
        <v>77</v>
      </c>
      <c r="B539" s="17" t="s">
        <v>565</v>
      </c>
      <c r="C539" s="16" t="s">
        <v>133</v>
      </c>
      <c r="D539" s="16" t="s">
        <v>96</v>
      </c>
      <c r="E539" s="16" t="s">
        <v>729</v>
      </c>
      <c r="F539" s="16" t="s">
        <v>730</v>
      </c>
      <c r="G539" s="16" t="s">
        <v>731</v>
      </c>
      <c r="H539" s="17" t="s">
        <v>1881</v>
      </c>
      <c r="I539" s="17" t="s">
        <v>1882</v>
      </c>
      <c r="J539" s="17"/>
    </row>
    <row r="540" customFormat="false" ht="23.85" hidden="false" customHeight="false" outlineLevel="0" collapsed="false">
      <c r="A540" s="16" t="n">
        <v>77</v>
      </c>
      <c r="B540" s="17" t="s">
        <v>565</v>
      </c>
      <c r="C540" s="16" t="s">
        <v>133</v>
      </c>
      <c r="D540" s="16" t="s">
        <v>96</v>
      </c>
      <c r="E540" s="16" t="s">
        <v>729</v>
      </c>
      <c r="F540" s="16" t="s">
        <v>734</v>
      </c>
      <c r="G540" s="16" t="s">
        <v>735</v>
      </c>
      <c r="H540" s="17" t="s">
        <v>1883</v>
      </c>
      <c r="I540" s="17" t="s">
        <v>1884</v>
      </c>
      <c r="J540" s="17"/>
    </row>
    <row r="541" customFormat="false" ht="15" hidden="false" customHeight="false" outlineLevel="0" collapsed="false">
      <c r="A541" s="16" t="n">
        <v>77</v>
      </c>
      <c r="B541" s="17" t="s">
        <v>565</v>
      </c>
      <c r="C541" s="16" t="s">
        <v>133</v>
      </c>
      <c r="D541" s="16" t="s">
        <v>96</v>
      </c>
      <c r="E541" s="16" t="s">
        <v>729</v>
      </c>
      <c r="F541" s="16" t="s">
        <v>738</v>
      </c>
      <c r="G541" s="16" t="s">
        <v>739</v>
      </c>
      <c r="H541" s="17" t="s">
        <v>1885</v>
      </c>
      <c r="I541" s="17" t="s">
        <v>1886</v>
      </c>
      <c r="J541" s="17"/>
    </row>
    <row r="542" customFormat="false" ht="15" hidden="false" customHeight="false" outlineLevel="0" collapsed="false">
      <c r="A542" s="16" t="n">
        <v>77</v>
      </c>
      <c r="B542" s="17" t="s">
        <v>565</v>
      </c>
      <c r="C542" s="16" t="s">
        <v>133</v>
      </c>
      <c r="D542" s="16" t="s">
        <v>96</v>
      </c>
      <c r="E542" s="16" t="s">
        <v>742</v>
      </c>
      <c r="F542" s="16" t="s">
        <v>743</v>
      </c>
      <c r="G542" s="16" t="s">
        <v>744</v>
      </c>
      <c r="H542" s="17" t="s">
        <v>1887</v>
      </c>
      <c r="I542" s="17" t="s">
        <v>1888</v>
      </c>
      <c r="J542" s="17"/>
    </row>
    <row r="543" customFormat="false" ht="23.85" hidden="false" customHeight="false" outlineLevel="0" collapsed="false">
      <c r="A543" s="19" t="n">
        <v>77</v>
      </c>
      <c r="B543" s="20" t="s">
        <v>565</v>
      </c>
      <c r="C543" s="19" t="s">
        <v>133</v>
      </c>
      <c r="D543" s="19" t="s">
        <v>96</v>
      </c>
      <c r="E543" s="19" t="s">
        <v>742</v>
      </c>
      <c r="F543" s="19" t="s">
        <v>747</v>
      </c>
      <c r="G543" s="19" t="s">
        <v>748</v>
      </c>
      <c r="H543" s="20" t="s">
        <v>1889</v>
      </c>
      <c r="I543" s="20" t="s">
        <v>1890</v>
      </c>
      <c r="J543" s="20"/>
    </row>
    <row r="544" customFormat="false" ht="23.85" hidden="false" customHeight="false" outlineLevel="0" collapsed="false">
      <c r="A544" s="21" t="n">
        <v>78</v>
      </c>
      <c r="B544" s="22" t="s">
        <v>569</v>
      </c>
      <c r="C544" s="21" t="s">
        <v>133</v>
      </c>
      <c r="D544" s="21" t="s">
        <v>96</v>
      </c>
      <c r="E544" s="21" t="s">
        <v>719</v>
      </c>
      <c r="F544" s="21" t="s">
        <v>720</v>
      </c>
      <c r="G544" s="21" t="s">
        <v>721</v>
      </c>
      <c r="H544" s="23" t="s">
        <v>1891</v>
      </c>
      <c r="I544" s="22" t="s">
        <v>1892</v>
      </c>
      <c r="J544" s="22" t="s">
        <v>1893</v>
      </c>
    </row>
    <row r="545" customFormat="false" ht="23.85" hidden="false" customHeight="false" outlineLevel="0" collapsed="false">
      <c r="A545" s="21" t="n">
        <v>78</v>
      </c>
      <c r="B545" s="22" t="s">
        <v>569</v>
      </c>
      <c r="C545" s="21" t="s">
        <v>133</v>
      </c>
      <c r="D545" s="21" t="s">
        <v>96</v>
      </c>
      <c r="E545" s="21" t="s">
        <v>719</v>
      </c>
      <c r="F545" s="21" t="s">
        <v>725</v>
      </c>
      <c r="G545" s="21" t="s">
        <v>726</v>
      </c>
      <c r="H545" s="22" t="s">
        <v>1894</v>
      </c>
      <c r="I545" s="22" t="s">
        <v>1895</v>
      </c>
      <c r="J545" s="22"/>
    </row>
    <row r="546" customFormat="false" ht="15" hidden="false" customHeight="false" outlineLevel="0" collapsed="false">
      <c r="A546" s="21" t="n">
        <v>78</v>
      </c>
      <c r="B546" s="22" t="s">
        <v>569</v>
      </c>
      <c r="C546" s="21" t="s">
        <v>133</v>
      </c>
      <c r="D546" s="21" t="s">
        <v>96</v>
      </c>
      <c r="E546" s="21" t="s">
        <v>729</v>
      </c>
      <c r="F546" s="21" t="s">
        <v>730</v>
      </c>
      <c r="G546" s="21" t="s">
        <v>731</v>
      </c>
      <c r="H546" s="22" t="s">
        <v>1896</v>
      </c>
      <c r="I546" s="22" t="s">
        <v>1897</v>
      </c>
      <c r="J546" s="22"/>
    </row>
    <row r="547" customFormat="false" ht="15" hidden="false" customHeight="false" outlineLevel="0" collapsed="false">
      <c r="A547" s="21" t="n">
        <v>78</v>
      </c>
      <c r="B547" s="22" t="s">
        <v>569</v>
      </c>
      <c r="C547" s="21" t="s">
        <v>133</v>
      </c>
      <c r="D547" s="21" t="s">
        <v>96</v>
      </c>
      <c r="E547" s="21" t="s">
        <v>729</v>
      </c>
      <c r="F547" s="21" t="s">
        <v>734</v>
      </c>
      <c r="G547" s="21" t="s">
        <v>735</v>
      </c>
      <c r="H547" s="22" t="s">
        <v>1898</v>
      </c>
      <c r="I547" s="22" t="s">
        <v>1899</v>
      </c>
      <c r="J547" s="22"/>
    </row>
    <row r="548" customFormat="false" ht="15" hidden="false" customHeight="false" outlineLevel="0" collapsed="false">
      <c r="A548" s="21" t="n">
        <v>78</v>
      </c>
      <c r="B548" s="22" t="s">
        <v>569</v>
      </c>
      <c r="C548" s="21" t="s">
        <v>133</v>
      </c>
      <c r="D548" s="21" t="s">
        <v>96</v>
      </c>
      <c r="E548" s="21" t="s">
        <v>729</v>
      </c>
      <c r="F548" s="21" t="s">
        <v>738</v>
      </c>
      <c r="G548" s="21" t="s">
        <v>739</v>
      </c>
      <c r="H548" s="22" t="s">
        <v>1900</v>
      </c>
      <c r="I548" s="22" t="s">
        <v>1901</v>
      </c>
      <c r="J548" s="22"/>
    </row>
    <row r="549" customFormat="false" ht="15" hidden="false" customHeight="false" outlineLevel="0" collapsed="false">
      <c r="A549" s="21" t="n">
        <v>78</v>
      </c>
      <c r="B549" s="22" t="s">
        <v>569</v>
      </c>
      <c r="C549" s="21" t="s">
        <v>133</v>
      </c>
      <c r="D549" s="21" t="s">
        <v>96</v>
      </c>
      <c r="E549" s="21" t="s">
        <v>742</v>
      </c>
      <c r="F549" s="21" t="s">
        <v>743</v>
      </c>
      <c r="G549" s="21" t="s">
        <v>744</v>
      </c>
      <c r="H549" s="22" t="s">
        <v>1902</v>
      </c>
      <c r="I549" s="22" t="s">
        <v>1903</v>
      </c>
      <c r="J549" s="22"/>
    </row>
    <row r="550" customFormat="false" ht="23.85" hidden="false" customHeight="false" outlineLevel="0" collapsed="false">
      <c r="A550" s="24" t="n">
        <v>78</v>
      </c>
      <c r="B550" s="25" t="s">
        <v>569</v>
      </c>
      <c r="C550" s="24" t="s">
        <v>133</v>
      </c>
      <c r="D550" s="24" t="s">
        <v>96</v>
      </c>
      <c r="E550" s="24" t="s">
        <v>742</v>
      </c>
      <c r="F550" s="24" t="s">
        <v>747</v>
      </c>
      <c r="G550" s="24" t="s">
        <v>748</v>
      </c>
      <c r="H550" s="25" t="s">
        <v>1904</v>
      </c>
      <c r="I550" s="25" t="s">
        <v>1905</v>
      </c>
      <c r="J550" s="25"/>
    </row>
    <row r="551" customFormat="false" ht="23.85" hidden="false" customHeight="false" outlineLevel="0" collapsed="false">
      <c r="A551" s="16" t="n">
        <v>79</v>
      </c>
      <c r="B551" s="17" t="s">
        <v>573</v>
      </c>
      <c r="C551" s="16" t="s">
        <v>133</v>
      </c>
      <c r="D551" s="16" t="s">
        <v>96</v>
      </c>
      <c r="E551" s="16" t="s">
        <v>719</v>
      </c>
      <c r="F551" s="16" t="s">
        <v>720</v>
      </c>
      <c r="G551" s="16" t="s">
        <v>721</v>
      </c>
      <c r="H551" s="18" t="s">
        <v>1906</v>
      </c>
      <c r="I551" s="17" t="s">
        <v>1907</v>
      </c>
      <c r="J551" s="17" t="s">
        <v>1908</v>
      </c>
    </row>
    <row r="552" customFormat="false" ht="15" hidden="false" customHeight="false" outlineLevel="0" collapsed="false">
      <c r="A552" s="16" t="n">
        <v>79</v>
      </c>
      <c r="B552" s="17" t="s">
        <v>573</v>
      </c>
      <c r="C552" s="16" t="s">
        <v>133</v>
      </c>
      <c r="D552" s="16" t="s">
        <v>96</v>
      </c>
      <c r="E552" s="16" t="s">
        <v>719</v>
      </c>
      <c r="F552" s="16" t="s">
        <v>725</v>
      </c>
      <c r="G552" s="16" t="s">
        <v>726</v>
      </c>
      <c r="H552" s="17" t="s">
        <v>1909</v>
      </c>
      <c r="I552" s="17" t="s">
        <v>1910</v>
      </c>
      <c r="J552" s="17"/>
    </row>
    <row r="553" customFormat="false" ht="15" hidden="false" customHeight="false" outlineLevel="0" collapsed="false">
      <c r="A553" s="16" t="n">
        <v>79</v>
      </c>
      <c r="B553" s="17" t="s">
        <v>573</v>
      </c>
      <c r="C553" s="16" t="s">
        <v>133</v>
      </c>
      <c r="D553" s="16" t="s">
        <v>96</v>
      </c>
      <c r="E553" s="16" t="s">
        <v>729</v>
      </c>
      <c r="F553" s="16" t="s">
        <v>730</v>
      </c>
      <c r="G553" s="16" t="s">
        <v>731</v>
      </c>
      <c r="H553" s="17" t="s">
        <v>1911</v>
      </c>
      <c r="I553" s="17" t="s">
        <v>1912</v>
      </c>
      <c r="J553" s="17"/>
    </row>
    <row r="554" customFormat="false" ht="15" hidden="false" customHeight="false" outlineLevel="0" collapsed="false">
      <c r="A554" s="16" t="n">
        <v>79</v>
      </c>
      <c r="B554" s="17" t="s">
        <v>573</v>
      </c>
      <c r="C554" s="16" t="s">
        <v>133</v>
      </c>
      <c r="D554" s="16" t="s">
        <v>96</v>
      </c>
      <c r="E554" s="16" t="s">
        <v>729</v>
      </c>
      <c r="F554" s="16" t="s">
        <v>734</v>
      </c>
      <c r="G554" s="16" t="s">
        <v>735</v>
      </c>
      <c r="H554" s="17" t="s">
        <v>1913</v>
      </c>
      <c r="I554" s="17" t="s">
        <v>1914</v>
      </c>
      <c r="J554" s="17"/>
    </row>
    <row r="555" customFormat="false" ht="23.85" hidden="false" customHeight="false" outlineLevel="0" collapsed="false">
      <c r="A555" s="16" t="n">
        <v>79</v>
      </c>
      <c r="B555" s="17" t="s">
        <v>573</v>
      </c>
      <c r="C555" s="16" t="s">
        <v>133</v>
      </c>
      <c r="D555" s="16" t="s">
        <v>96</v>
      </c>
      <c r="E555" s="16" t="s">
        <v>729</v>
      </c>
      <c r="F555" s="16" t="s">
        <v>738</v>
      </c>
      <c r="G555" s="16" t="s">
        <v>739</v>
      </c>
      <c r="H555" s="17" t="s">
        <v>1915</v>
      </c>
      <c r="I555" s="17" t="s">
        <v>1916</v>
      </c>
      <c r="J555" s="17"/>
    </row>
    <row r="556" customFormat="false" ht="15" hidden="false" customHeight="false" outlineLevel="0" collapsed="false">
      <c r="A556" s="16" t="n">
        <v>79</v>
      </c>
      <c r="B556" s="17" t="s">
        <v>573</v>
      </c>
      <c r="C556" s="16" t="s">
        <v>133</v>
      </c>
      <c r="D556" s="16" t="s">
        <v>96</v>
      </c>
      <c r="E556" s="16" t="s">
        <v>742</v>
      </c>
      <c r="F556" s="16" t="s">
        <v>743</v>
      </c>
      <c r="G556" s="16" t="s">
        <v>744</v>
      </c>
      <c r="H556" s="17" t="s">
        <v>1917</v>
      </c>
      <c r="I556" s="17" t="s">
        <v>1918</v>
      </c>
      <c r="J556" s="17"/>
    </row>
    <row r="557" customFormat="false" ht="23.85" hidden="false" customHeight="false" outlineLevel="0" collapsed="false">
      <c r="A557" s="19" t="n">
        <v>79</v>
      </c>
      <c r="B557" s="20" t="s">
        <v>573</v>
      </c>
      <c r="C557" s="19" t="s">
        <v>133</v>
      </c>
      <c r="D557" s="19" t="s">
        <v>96</v>
      </c>
      <c r="E557" s="19" t="s">
        <v>742</v>
      </c>
      <c r="F557" s="19" t="s">
        <v>747</v>
      </c>
      <c r="G557" s="19" t="s">
        <v>748</v>
      </c>
      <c r="H557" s="20" t="s">
        <v>1919</v>
      </c>
      <c r="I557" s="20" t="s">
        <v>1920</v>
      </c>
      <c r="J557" s="20"/>
    </row>
    <row r="558" customFormat="false" ht="35.05" hidden="false" customHeight="false" outlineLevel="0" collapsed="false">
      <c r="A558" s="21" t="n">
        <v>80</v>
      </c>
      <c r="B558" s="22" t="s">
        <v>577</v>
      </c>
      <c r="C558" s="21" t="s">
        <v>133</v>
      </c>
      <c r="D558" s="21" t="s">
        <v>96</v>
      </c>
      <c r="E558" s="21" t="s">
        <v>719</v>
      </c>
      <c r="F558" s="21" t="s">
        <v>720</v>
      </c>
      <c r="G558" s="21" t="s">
        <v>721</v>
      </c>
      <c r="H558" s="23" t="s">
        <v>1921</v>
      </c>
      <c r="I558" s="22" t="s">
        <v>1922</v>
      </c>
      <c r="J558" s="22" t="s">
        <v>1923</v>
      </c>
    </row>
    <row r="559" customFormat="false" ht="23.85" hidden="false" customHeight="false" outlineLevel="0" collapsed="false">
      <c r="A559" s="21" t="n">
        <v>80</v>
      </c>
      <c r="B559" s="22" t="s">
        <v>577</v>
      </c>
      <c r="C559" s="21" t="s">
        <v>133</v>
      </c>
      <c r="D559" s="21" t="s">
        <v>96</v>
      </c>
      <c r="E559" s="21" t="s">
        <v>719</v>
      </c>
      <c r="F559" s="21" t="s">
        <v>725</v>
      </c>
      <c r="G559" s="21" t="s">
        <v>726</v>
      </c>
      <c r="H559" s="22" t="s">
        <v>1924</v>
      </c>
      <c r="I559" s="22" t="s">
        <v>1925</v>
      </c>
      <c r="J559" s="22"/>
    </row>
    <row r="560" customFormat="false" ht="23.85" hidden="false" customHeight="false" outlineLevel="0" collapsed="false">
      <c r="A560" s="21" t="n">
        <v>80</v>
      </c>
      <c r="B560" s="22" t="s">
        <v>577</v>
      </c>
      <c r="C560" s="21" t="s">
        <v>133</v>
      </c>
      <c r="D560" s="21" t="s">
        <v>96</v>
      </c>
      <c r="E560" s="21" t="s">
        <v>729</v>
      </c>
      <c r="F560" s="21" t="s">
        <v>730</v>
      </c>
      <c r="G560" s="21" t="s">
        <v>731</v>
      </c>
      <c r="H560" s="22" t="s">
        <v>1926</v>
      </c>
      <c r="I560" s="22" t="s">
        <v>1927</v>
      </c>
      <c r="J560" s="22"/>
    </row>
    <row r="561" customFormat="false" ht="15" hidden="false" customHeight="false" outlineLevel="0" collapsed="false">
      <c r="A561" s="21" t="n">
        <v>80</v>
      </c>
      <c r="B561" s="22" t="s">
        <v>577</v>
      </c>
      <c r="C561" s="21" t="s">
        <v>133</v>
      </c>
      <c r="D561" s="21" t="s">
        <v>96</v>
      </c>
      <c r="E561" s="21" t="s">
        <v>729</v>
      </c>
      <c r="F561" s="21" t="s">
        <v>734</v>
      </c>
      <c r="G561" s="21" t="s">
        <v>735</v>
      </c>
      <c r="H561" s="22" t="s">
        <v>1928</v>
      </c>
      <c r="I561" s="22" t="s">
        <v>1929</v>
      </c>
      <c r="J561" s="22"/>
    </row>
    <row r="562" customFormat="false" ht="15" hidden="false" customHeight="false" outlineLevel="0" collapsed="false">
      <c r="A562" s="21" t="n">
        <v>80</v>
      </c>
      <c r="B562" s="22" t="s">
        <v>577</v>
      </c>
      <c r="C562" s="21" t="s">
        <v>133</v>
      </c>
      <c r="D562" s="21" t="s">
        <v>96</v>
      </c>
      <c r="E562" s="21" t="s">
        <v>729</v>
      </c>
      <c r="F562" s="21" t="s">
        <v>738</v>
      </c>
      <c r="G562" s="21" t="s">
        <v>739</v>
      </c>
      <c r="H562" s="22" t="s">
        <v>1930</v>
      </c>
      <c r="I562" s="22" t="s">
        <v>1931</v>
      </c>
      <c r="J562" s="22"/>
    </row>
    <row r="563" customFormat="false" ht="15" hidden="false" customHeight="false" outlineLevel="0" collapsed="false">
      <c r="A563" s="21" t="n">
        <v>80</v>
      </c>
      <c r="B563" s="22" t="s">
        <v>577</v>
      </c>
      <c r="C563" s="21" t="s">
        <v>133</v>
      </c>
      <c r="D563" s="21" t="s">
        <v>96</v>
      </c>
      <c r="E563" s="21" t="s">
        <v>742</v>
      </c>
      <c r="F563" s="21" t="s">
        <v>743</v>
      </c>
      <c r="G563" s="21" t="s">
        <v>744</v>
      </c>
      <c r="H563" s="22" t="s">
        <v>1932</v>
      </c>
      <c r="I563" s="22" t="s">
        <v>1933</v>
      </c>
      <c r="J563" s="22"/>
    </row>
    <row r="564" customFormat="false" ht="15" hidden="false" customHeight="false" outlineLevel="0" collapsed="false">
      <c r="A564" s="24" t="n">
        <v>80</v>
      </c>
      <c r="B564" s="25" t="s">
        <v>577</v>
      </c>
      <c r="C564" s="24" t="s">
        <v>133</v>
      </c>
      <c r="D564" s="24" t="s">
        <v>96</v>
      </c>
      <c r="E564" s="24" t="s">
        <v>742</v>
      </c>
      <c r="F564" s="24" t="s">
        <v>747</v>
      </c>
      <c r="G564" s="24" t="s">
        <v>748</v>
      </c>
      <c r="H564" s="25" t="s">
        <v>1934</v>
      </c>
      <c r="I564" s="25" t="s">
        <v>1935</v>
      </c>
      <c r="J564" s="25"/>
    </row>
    <row r="565" customFormat="false" ht="23.85" hidden="false" customHeight="false" outlineLevel="0" collapsed="false">
      <c r="A565" s="16" t="n">
        <v>81</v>
      </c>
      <c r="B565" s="17" t="s">
        <v>582</v>
      </c>
      <c r="C565" s="16" t="s">
        <v>133</v>
      </c>
      <c r="D565" s="16" t="s">
        <v>85</v>
      </c>
      <c r="E565" s="16" t="s">
        <v>719</v>
      </c>
      <c r="F565" s="16" t="s">
        <v>720</v>
      </c>
      <c r="G565" s="16" t="s">
        <v>721</v>
      </c>
      <c r="H565" s="18" t="s">
        <v>1936</v>
      </c>
      <c r="I565" s="17" t="s">
        <v>1937</v>
      </c>
      <c r="J565" s="17" t="s">
        <v>1938</v>
      </c>
    </row>
    <row r="566" customFormat="false" ht="15" hidden="false" customHeight="false" outlineLevel="0" collapsed="false">
      <c r="A566" s="16" t="n">
        <v>81</v>
      </c>
      <c r="B566" s="17" t="s">
        <v>582</v>
      </c>
      <c r="C566" s="16" t="s">
        <v>133</v>
      </c>
      <c r="D566" s="16" t="s">
        <v>85</v>
      </c>
      <c r="E566" s="16" t="s">
        <v>719</v>
      </c>
      <c r="F566" s="16" t="s">
        <v>725</v>
      </c>
      <c r="G566" s="16" t="s">
        <v>726</v>
      </c>
      <c r="H566" s="17" t="s">
        <v>1939</v>
      </c>
      <c r="I566" s="17" t="s">
        <v>1940</v>
      </c>
      <c r="J566" s="17"/>
    </row>
    <row r="567" customFormat="false" ht="15" hidden="false" customHeight="false" outlineLevel="0" collapsed="false">
      <c r="A567" s="16" t="n">
        <v>81</v>
      </c>
      <c r="B567" s="17" t="s">
        <v>582</v>
      </c>
      <c r="C567" s="16" t="s">
        <v>133</v>
      </c>
      <c r="D567" s="16" t="s">
        <v>85</v>
      </c>
      <c r="E567" s="16" t="s">
        <v>729</v>
      </c>
      <c r="F567" s="16" t="s">
        <v>730</v>
      </c>
      <c r="G567" s="16" t="s">
        <v>731</v>
      </c>
      <c r="H567" s="17" t="s">
        <v>1941</v>
      </c>
      <c r="I567" s="17" t="s">
        <v>1942</v>
      </c>
      <c r="J567" s="17"/>
    </row>
    <row r="568" customFormat="false" ht="15" hidden="false" customHeight="false" outlineLevel="0" collapsed="false">
      <c r="A568" s="16" t="n">
        <v>81</v>
      </c>
      <c r="B568" s="17" t="s">
        <v>582</v>
      </c>
      <c r="C568" s="16" t="s">
        <v>133</v>
      </c>
      <c r="D568" s="16" t="s">
        <v>85</v>
      </c>
      <c r="E568" s="16" t="s">
        <v>729</v>
      </c>
      <c r="F568" s="16" t="s">
        <v>734</v>
      </c>
      <c r="G568" s="16" t="s">
        <v>735</v>
      </c>
      <c r="H568" s="17" t="s">
        <v>1943</v>
      </c>
      <c r="I568" s="17" t="s">
        <v>1944</v>
      </c>
      <c r="J568" s="17"/>
    </row>
    <row r="569" customFormat="false" ht="23.85" hidden="false" customHeight="false" outlineLevel="0" collapsed="false">
      <c r="A569" s="16" t="n">
        <v>81</v>
      </c>
      <c r="B569" s="17" t="s">
        <v>582</v>
      </c>
      <c r="C569" s="16" t="s">
        <v>133</v>
      </c>
      <c r="D569" s="16" t="s">
        <v>85</v>
      </c>
      <c r="E569" s="16" t="s">
        <v>729</v>
      </c>
      <c r="F569" s="16" t="s">
        <v>738</v>
      </c>
      <c r="G569" s="16" t="s">
        <v>739</v>
      </c>
      <c r="H569" s="17" t="s">
        <v>1945</v>
      </c>
      <c r="I569" s="17" t="s">
        <v>1946</v>
      </c>
      <c r="J569" s="17"/>
    </row>
    <row r="570" customFormat="false" ht="15" hidden="false" customHeight="false" outlineLevel="0" collapsed="false">
      <c r="A570" s="16" t="n">
        <v>81</v>
      </c>
      <c r="B570" s="17" t="s">
        <v>582</v>
      </c>
      <c r="C570" s="16" t="s">
        <v>133</v>
      </c>
      <c r="D570" s="16" t="s">
        <v>85</v>
      </c>
      <c r="E570" s="16" t="s">
        <v>742</v>
      </c>
      <c r="F570" s="16" t="s">
        <v>743</v>
      </c>
      <c r="G570" s="16" t="s">
        <v>744</v>
      </c>
      <c r="H570" s="17" t="s">
        <v>1947</v>
      </c>
      <c r="I570" s="17" t="s">
        <v>1948</v>
      </c>
      <c r="J570" s="17"/>
    </row>
    <row r="571" customFormat="false" ht="23.85" hidden="false" customHeight="false" outlineLevel="0" collapsed="false">
      <c r="A571" s="19" t="n">
        <v>81</v>
      </c>
      <c r="B571" s="20" t="s">
        <v>582</v>
      </c>
      <c r="C571" s="19" t="s">
        <v>133</v>
      </c>
      <c r="D571" s="19" t="s">
        <v>85</v>
      </c>
      <c r="E571" s="19" t="s">
        <v>742</v>
      </c>
      <c r="F571" s="19" t="s">
        <v>747</v>
      </c>
      <c r="G571" s="19" t="s">
        <v>748</v>
      </c>
      <c r="H571" s="20" t="s">
        <v>1949</v>
      </c>
      <c r="I571" s="20" t="s">
        <v>1950</v>
      </c>
      <c r="J571" s="20"/>
    </row>
    <row r="572" customFormat="false" ht="23.85" hidden="false" customHeight="false" outlineLevel="0" collapsed="false">
      <c r="A572" s="21" t="n">
        <v>82</v>
      </c>
      <c r="B572" s="22" t="s">
        <v>586</v>
      </c>
      <c r="C572" s="21" t="s">
        <v>90</v>
      </c>
      <c r="D572" s="21" t="s">
        <v>96</v>
      </c>
      <c r="E572" s="21" t="s">
        <v>719</v>
      </c>
      <c r="F572" s="21" t="s">
        <v>720</v>
      </c>
      <c r="G572" s="21" t="s">
        <v>721</v>
      </c>
      <c r="H572" s="23" t="s">
        <v>1951</v>
      </c>
      <c r="I572" s="22" t="s">
        <v>1952</v>
      </c>
      <c r="J572" s="22" t="s">
        <v>1953</v>
      </c>
    </row>
    <row r="573" customFormat="false" ht="15" hidden="false" customHeight="false" outlineLevel="0" collapsed="false">
      <c r="A573" s="21" t="n">
        <v>82</v>
      </c>
      <c r="B573" s="22" t="s">
        <v>586</v>
      </c>
      <c r="C573" s="21" t="s">
        <v>90</v>
      </c>
      <c r="D573" s="21" t="s">
        <v>96</v>
      </c>
      <c r="E573" s="21" t="s">
        <v>719</v>
      </c>
      <c r="F573" s="21" t="s">
        <v>725</v>
      </c>
      <c r="G573" s="21" t="s">
        <v>726</v>
      </c>
      <c r="H573" s="22" t="s">
        <v>1954</v>
      </c>
      <c r="I573" s="22" t="s">
        <v>1955</v>
      </c>
      <c r="J573" s="22"/>
    </row>
    <row r="574" customFormat="false" ht="15" hidden="false" customHeight="false" outlineLevel="0" collapsed="false">
      <c r="A574" s="21" t="n">
        <v>82</v>
      </c>
      <c r="B574" s="22" t="s">
        <v>586</v>
      </c>
      <c r="C574" s="21" t="s">
        <v>90</v>
      </c>
      <c r="D574" s="21" t="s">
        <v>96</v>
      </c>
      <c r="E574" s="21" t="s">
        <v>729</v>
      </c>
      <c r="F574" s="21" t="s">
        <v>730</v>
      </c>
      <c r="G574" s="21" t="s">
        <v>731</v>
      </c>
      <c r="H574" s="22" t="s">
        <v>1956</v>
      </c>
      <c r="I574" s="22" t="s">
        <v>1957</v>
      </c>
      <c r="J574" s="22"/>
    </row>
    <row r="575" customFormat="false" ht="23.85" hidden="false" customHeight="false" outlineLevel="0" collapsed="false">
      <c r="A575" s="21" t="n">
        <v>82</v>
      </c>
      <c r="B575" s="22" t="s">
        <v>586</v>
      </c>
      <c r="C575" s="21" t="s">
        <v>90</v>
      </c>
      <c r="D575" s="21" t="s">
        <v>96</v>
      </c>
      <c r="E575" s="21" t="s">
        <v>729</v>
      </c>
      <c r="F575" s="21" t="s">
        <v>734</v>
      </c>
      <c r="G575" s="21" t="s">
        <v>735</v>
      </c>
      <c r="H575" s="22" t="s">
        <v>1958</v>
      </c>
      <c r="I575" s="22" t="s">
        <v>1959</v>
      </c>
      <c r="J575" s="22"/>
    </row>
    <row r="576" customFormat="false" ht="15" hidden="false" customHeight="false" outlineLevel="0" collapsed="false">
      <c r="A576" s="21" t="n">
        <v>82</v>
      </c>
      <c r="B576" s="22" t="s">
        <v>586</v>
      </c>
      <c r="C576" s="21" t="s">
        <v>90</v>
      </c>
      <c r="D576" s="21" t="s">
        <v>96</v>
      </c>
      <c r="E576" s="21" t="s">
        <v>729</v>
      </c>
      <c r="F576" s="21" t="s">
        <v>738</v>
      </c>
      <c r="G576" s="21" t="s">
        <v>739</v>
      </c>
      <c r="H576" s="22" t="s">
        <v>1960</v>
      </c>
      <c r="I576" s="22" t="s">
        <v>1961</v>
      </c>
      <c r="J576" s="22"/>
    </row>
    <row r="577" customFormat="false" ht="15" hidden="false" customHeight="false" outlineLevel="0" collapsed="false">
      <c r="A577" s="21" t="n">
        <v>82</v>
      </c>
      <c r="B577" s="22" t="s">
        <v>586</v>
      </c>
      <c r="C577" s="21" t="s">
        <v>90</v>
      </c>
      <c r="D577" s="21" t="s">
        <v>96</v>
      </c>
      <c r="E577" s="21" t="s">
        <v>742</v>
      </c>
      <c r="F577" s="21" t="s">
        <v>743</v>
      </c>
      <c r="G577" s="21" t="s">
        <v>744</v>
      </c>
      <c r="H577" s="22" t="s">
        <v>1962</v>
      </c>
      <c r="I577" s="22" t="s">
        <v>1963</v>
      </c>
      <c r="J577" s="22"/>
    </row>
    <row r="578" customFormat="false" ht="23.85" hidden="false" customHeight="false" outlineLevel="0" collapsed="false">
      <c r="A578" s="24" t="n">
        <v>82</v>
      </c>
      <c r="B578" s="25" t="s">
        <v>586</v>
      </c>
      <c r="C578" s="24" t="s">
        <v>90</v>
      </c>
      <c r="D578" s="24" t="s">
        <v>96</v>
      </c>
      <c r="E578" s="24" t="s">
        <v>742</v>
      </c>
      <c r="F578" s="24" t="s">
        <v>747</v>
      </c>
      <c r="G578" s="24" t="s">
        <v>748</v>
      </c>
      <c r="H578" s="25" t="s">
        <v>1964</v>
      </c>
      <c r="I578" s="25" t="s">
        <v>1965</v>
      </c>
      <c r="J578" s="25"/>
    </row>
    <row r="579" customFormat="false" ht="35.05" hidden="false" customHeight="false" outlineLevel="0" collapsed="false">
      <c r="A579" s="16" t="n">
        <v>83</v>
      </c>
      <c r="B579" s="17" t="s">
        <v>594</v>
      </c>
      <c r="C579" s="16" t="s">
        <v>90</v>
      </c>
      <c r="D579" s="16" t="s">
        <v>96</v>
      </c>
      <c r="E579" s="16" t="s">
        <v>719</v>
      </c>
      <c r="F579" s="16" t="s">
        <v>720</v>
      </c>
      <c r="G579" s="16" t="s">
        <v>721</v>
      </c>
      <c r="H579" s="18" t="s">
        <v>1966</v>
      </c>
      <c r="I579" s="17" t="s">
        <v>1967</v>
      </c>
      <c r="J579" s="17" t="s">
        <v>1968</v>
      </c>
    </row>
    <row r="580" customFormat="false" ht="23.85" hidden="false" customHeight="false" outlineLevel="0" collapsed="false">
      <c r="A580" s="16" t="n">
        <v>83</v>
      </c>
      <c r="B580" s="17" t="s">
        <v>594</v>
      </c>
      <c r="C580" s="16" t="s">
        <v>90</v>
      </c>
      <c r="D580" s="16" t="s">
        <v>96</v>
      </c>
      <c r="E580" s="16" t="s">
        <v>719</v>
      </c>
      <c r="F580" s="16" t="s">
        <v>725</v>
      </c>
      <c r="G580" s="16" t="s">
        <v>726</v>
      </c>
      <c r="H580" s="17" t="s">
        <v>1969</v>
      </c>
      <c r="I580" s="17" t="s">
        <v>1970</v>
      </c>
      <c r="J580" s="17"/>
    </row>
    <row r="581" customFormat="false" ht="15" hidden="false" customHeight="false" outlineLevel="0" collapsed="false">
      <c r="A581" s="16" t="n">
        <v>83</v>
      </c>
      <c r="B581" s="17" t="s">
        <v>594</v>
      </c>
      <c r="C581" s="16" t="s">
        <v>90</v>
      </c>
      <c r="D581" s="16" t="s">
        <v>96</v>
      </c>
      <c r="E581" s="16" t="s">
        <v>729</v>
      </c>
      <c r="F581" s="16" t="s">
        <v>730</v>
      </c>
      <c r="G581" s="16" t="s">
        <v>731</v>
      </c>
      <c r="H581" s="17" t="s">
        <v>1971</v>
      </c>
      <c r="I581" s="17" t="s">
        <v>1972</v>
      </c>
      <c r="J581" s="17"/>
    </row>
    <row r="582" customFormat="false" ht="23.85" hidden="false" customHeight="false" outlineLevel="0" collapsed="false">
      <c r="A582" s="16" t="n">
        <v>83</v>
      </c>
      <c r="B582" s="17" t="s">
        <v>594</v>
      </c>
      <c r="C582" s="16" t="s">
        <v>90</v>
      </c>
      <c r="D582" s="16" t="s">
        <v>96</v>
      </c>
      <c r="E582" s="16" t="s">
        <v>729</v>
      </c>
      <c r="F582" s="16" t="s">
        <v>734</v>
      </c>
      <c r="G582" s="16" t="s">
        <v>735</v>
      </c>
      <c r="H582" s="17" t="s">
        <v>1973</v>
      </c>
      <c r="I582" s="17" t="s">
        <v>1974</v>
      </c>
      <c r="J582" s="17"/>
    </row>
    <row r="583" customFormat="false" ht="15" hidden="false" customHeight="false" outlineLevel="0" collapsed="false">
      <c r="A583" s="16" t="n">
        <v>83</v>
      </c>
      <c r="B583" s="17" t="s">
        <v>594</v>
      </c>
      <c r="C583" s="16" t="s">
        <v>90</v>
      </c>
      <c r="D583" s="16" t="s">
        <v>96</v>
      </c>
      <c r="E583" s="16" t="s">
        <v>729</v>
      </c>
      <c r="F583" s="16" t="s">
        <v>738</v>
      </c>
      <c r="G583" s="16" t="s">
        <v>739</v>
      </c>
      <c r="H583" s="17" t="s">
        <v>1975</v>
      </c>
      <c r="I583" s="17" t="s">
        <v>1976</v>
      </c>
      <c r="J583" s="17"/>
    </row>
    <row r="584" customFormat="false" ht="15" hidden="false" customHeight="false" outlineLevel="0" collapsed="false">
      <c r="A584" s="16" t="n">
        <v>83</v>
      </c>
      <c r="B584" s="17" t="s">
        <v>594</v>
      </c>
      <c r="C584" s="16" t="s">
        <v>90</v>
      </c>
      <c r="D584" s="16" t="s">
        <v>96</v>
      </c>
      <c r="E584" s="16" t="s">
        <v>742</v>
      </c>
      <c r="F584" s="16" t="s">
        <v>743</v>
      </c>
      <c r="G584" s="16" t="s">
        <v>744</v>
      </c>
      <c r="H584" s="17" t="s">
        <v>1977</v>
      </c>
      <c r="I584" s="17" t="s">
        <v>1978</v>
      </c>
      <c r="J584" s="17"/>
    </row>
    <row r="585" customFormat="false" ht="23.85" hidden="false" customHeight="false" outlineLevel="0" collapsed="false">
      <c r="A585" s="19" t="n">
        <v>83</v>
      </c>
      <c r="B585" s="20" t="s">
        <v>594</v>
      </c>
      <c r="C585" s="19" t="s">
        <v>90</v>
      </c>
      <c r="D585" s="19" t="s">
        <v>96</v>
      </c>
      <c r="E585" s="19" t="s">
        <v>742</v>
      </c>
      <c r="F585" s="19" t="s">
        <v>747</v>
      </c>
      <c r="G585" s="19" t="s">
        <v>748</v>
      </c>
      <c r="H585" s="20" t="s">
        <v>1979</v>
      </c>
      <c r="I585" s="20" t="s">
        <v>1980</v>
      </c>
      <c r="J585" s="20"/>
    </row>
    <row r="586" customFormat="false" ht="23.85" hidden="false" customHeight="false" outlineLevel="0" collapsed="false">
      <c r="A586" s="21" t="n">
        <v>84</v>
      </c>
      <c r="B586" s="22" t="s">
        <v>602</v>
      </c>
      <c r="C586" s="21" t="s">
        <v>90</v>
      </c>
      <c r="D586" s="21" t="s">
        <v>96</v>
      </c>
      <c r="E586" s="21" t="s">
        <v>719</v>
      </c>
      <c r="F586" s="21" t="s">
        <v>720</v>
      </c>
      <c r="G586" s="21" t="s">
        <v>721</v>
      </c>
      <c r="H586" s="23" t="s">
        <v>1981</v>
      </c>
      <c r="I586" s="22" t="s">
        <v>1982</v>
      </c>
      <c r="J586" s="22" t="s">
        <v>1983</v>
      </c>
    </row>
    <row r="587" customFormat="false" ht="23.85" hidden="false" customHeight="false" outlineLevel="0" collapsed="false">
      <c r="A587" s="21" t="n">
        <v>84</v>
      </c>
      <c r="B587" s="22" t="s">
        <v>602</v>
      </c>
      <c r="C587" s="21" t="s">
        <v>90</v>
      </c>
      <c r="D587" s="21" t="s">
        <v>96</v>
      </c>
      <c r="E587" s="21" t="s">
        <v>719</v>
      </c>
      <c r="F587" s="21" t="s">
        <v>725</v>
      </c>
      <c r="G587" s="21" t="s">
        <v>726</v>
      </c>
      <c r="H587" s="22" t="s">
        <v>1984</v>
      </c>
      <c r="I587" s="22" t="s">
        <v>1985</v>
      </c>
      <c r="J587" s="22"/>
    </row>
    <row r="588" customFormat="false" ht="15" hidden="false" customHeight="false" outlineLevel="0" collapsed="false">
      <c r="A588" s="21" t="n">
        <v>84</v>
      </c>
      <c r="B588" s="22" t="s">
        <v>602</v>
      </c>
      <c r="C588" s="21" t="s">
        <v>90</v>
      </c>
      <c r="D588" s="21" t="s">
        <v>96</v>
      </c>
      <c r="E588" s="21" t="s">
        <v>729</v>
      </c>
      <c r="F588" s="21" t="s">
        <v>730</v>
      </c>
      <c r="G588" s="21" t="s">
        <v>731</v>
      </c>
      <c r="H588" s="22" t="s">
        <v>1986</v>
      </c>
      <c r="I588" s="22" t="s">
        <v>1987</v>
      </c>
      <c r="J588" s="22"/>
    </row>
    <row r="589" customFormat="false" ht="15" hidden="false" customHeight="false" outlineLevel="0" collapsed="false">
      <c r="A589" s="21" t="n">
        <v>84</v>
      </c>
      <c r="B589" s="22" t="s">
        <v>602</v>
      </c>
      <c r="C589" s="21" t="s">
        <v>90</v>
      </c>
      <c r="D589" s="21" t="s">
        <v>96</v>
      </c>
      <c r="E589" s="21" t="s">
        <v>729</v>
      </c>
      <c r="F589" s="21" t="s">
        <v>734</v>
      </c>
      <c r="G589" s="21" t="s">
        <v>735</v>
      </c>
      <c r="H589" s="22" t="s">
        <v>1988</v>
      </c>
      <c r="I589" s="22" t="s">
        <v>1989</v>
      </c>
      <c r="J589" s="22"/>
    </row>
    <row r="590" customFormat="false" ht="15" hidden="false" customHeight="false" outlineLevel="0" collapsed="false">
      <c r="A590" s="21" t="n">
        <v>84</v>
      </c>
      <c r="B590" s="22" t="s">
        <v>602</v>
      </c>
      <c r="C590" s="21" t="s">
        <v>90</v>
      </c>
      <c r="D590" s="21" t="s">
        <v>96</v>
      </c>
      <c r="E590" s="21" t="s">
        <v>729</v>
      </c>
      <c r="F590" s="21" t="s">
        <v>738</v>
      </c>
      <c r="G590" s="21" t="s">
        <v>739</v>
      </c>
      <c r="H590" s="22" t="s">
        <v>1990</v>
      </c>
      <c r="I590" s="22" t="s">
        <v>1991</v>
      </c>
      <c r="J590" s="22"/>
    </row>
    <row r="591" customFormat="false" ht="15" hidden="false" customHeight="false" outlineLevel="0" collapsed="false">
      <c r="A591" s="21" t="n">
        <v>84</v>
      </c>
      <c r="B591" s="22" t="s">
        <v>602</v>
      </c>
      <c r="C591" s="21" t="s">
        <v>90</v>
      </c>
      <c r="D591" s="21" t="s">
        <v>96</v>
      </c>
      <c r="E591" s="21" t="s">
        <v>742</v>
      </c>
      <c r="F591" s="21" t="s">
        <v>743</v>
      </c>
      <c r="G591" s="21" t="s">
        <v>744</v>
      </c>
      <c r="H591" s="22" t="s">
        <v>1992</v>
      </c>
      <c r="I591" s="22" t="s">
        <v>1993</v>
      </c>
      <c r="J591" s="22"/>
    </row>
    <row r="592" customFormat="false" ht="23.85" hidden="false" customHeight="false" outlineLevel="0" collapsed="false">
      <c r="A592" s="24" t="n">
        <v>84</v>
      </c>
      <c r="B592" s="25" t="s">
        <v>602</v>
      </c>
      <c r="C592" s="24" t="s">
        <v>90</v>
      </c>
      <c r="D592" s="24" t="s">
        <v>96</v>
      </c>
      <c r="E592" s="24" t="s">
        <v>742</v>
      </c>
      <c r="F592" s="24" t="s">
        <v>747</v>
      </c>
      <c r="G592" s="24" t="s">
        <v>748</v>
      </c>
      <c r="H592" s="25" t="s">
        <v>1994</v>
      </c>
      <c r="I592" s="25" t="s">
        <v>1995</v>
      </c>
      <c r="J592" s="25"/>
    </row>
    <row r="593" customFormat="false" ht="23.85" hidden="false" customHeight="false" outlineLevel="0" collapsed="false">
      <c r="A593" s="16" t="n">
        <v>85</v>
      </c>
      <c r="B593" s="17" t="s">
        <v>610</v>
      </c>
      <c r="C593" s="16" t="s">
        <v>110</v>
      </c>
      <c r="D593" s="16" t="s">
        <v>72</v>
      </c>
      <c r="E593" s="16" t="s">
        <v>719</v>
      </c>
      <c r="F593" s="16" t="s">
        <v>720</v>
      </c>
      <c r="G593" s="16" t="s">
        <v>721</v>
      </c>
      <c r="H593" s="18" t="s">
        <v>1996</v>
      </c>
      <c r="I593" s="17" t="s">
        <v>1997</v>
      </c>
      <c r="J593" s="17" t="s">
        <v>1998</v>
      </c>
    </row>
    <row r="594" customFormat="false" ht="15" hidden="false" customHeight="false" outlineLevel="0" collapsed="false">
      <c r="A594" s="16" t="n">
        <v>85</v>
      </c>
      <c r="B594" s="17" t="s">
        <v>610</v>
      </c>
      <c r="C594" s="16" t="s">
        <v>110</v>
      </c>
      <c r="D594" s="16" t="s">
        <v>72</v>
      </c>
      <c r="E594" s="16" t="s">
        <v>719</v>
      </c>
      <c r="F594" s="16" t="s">
        <v>725</v>
      </c>
      <c r="G594" s="16" t="s">
        <v>726</v>
      </c>
      <c r="H594" s="17" t="s">
        <v>1999</v>
      </c>
      <c r="I594" s="17" t="s">
        <v>2000</v>
      </c>
      <c r="J594" s="17"/>
    </row>
    <row r="595" customFormat="false" ht="15" hidden="false" customHeight="false" outlineLevel="0" collapsed="false">
      <c r="A595" s="16" t="n">
        <v>85</v>
      </c>
      <c r="B595" s="17" t="s">
        <v>610</v>
      </c>
      <c r="C595" s="16" t="s">
        <v>110</v>
      </c>
      <c r="D595" s="16" t="s">
        <v>72</v>
      </c>
      <c r="E595" s="16" t="s">
        <v>729</v>
      </c>
      <c r="F595" s="16" t="s">
        <v>730</v>
      </c>
      <c r="G595" s="16" t="s">
        <v>731</v>
      </c>
      <c r="H595" s="17" t="s">
        <v>2001</v>
      </c>
      <c r="I595" s="17" t="s">
        <v>2002</v>
      </c>
      <c r="J595" s="17"/>
    </row>
    <row r="596" customFormat="false" ht="23.85" hidden="false" customHeight="false" outlineLevel="0" collapsed="false">
      <c r="A596" s="16" t="n">
        <v>85</v>
      </c>
      <c r="B596" s="17" t="s">
        <v>610</v>
      </c>
      <c r="C596" s="16" t="s">
        <v>110</v>
      </c>
      <c r="D596" s="16" t="s">
        <v>72</v>
      </c>
      <c r="E596" s="16" t="s">
        <v>729</v>
      </c>
      <c r="F596" s="16" t="s">
        <v>734</v>
      </c>
      <c r="G596" s="16" t="s">
        <v>735</v>
      </c>
      <c r="H596" s="17" t="s">
        <v>2003</v>
      </c>
      <c r="I596" s="17" t="s">
        <v>2004</v>
      </c>
      <c r="J596" s="17"/>
    </row>
    <row r="597" customFormat="false" ht="15" hidden="false" customHeight="false" outlineLevel="0" collapsed="false">
      <c r="A597" s="16" t="n">
        <v>85</v>
      </c>
      <c r="B597" s="17" t="s">
        <v>610</v>
      </c>
      <c r="C597" s="16" t="s">
        <v>110</v>
      </c>
      <c r="D597" s="16" t="s">
        <v>72</v>
      </c>
      <c r="E597" s="16" t="s">
        <v>729</v>
      </c>
      <c r="F597" s="16" t="s">
        <v>738</v>
      </c>
      <c r="G597" s="16" t="s">
        <v>739</v>
      </c>
      <c r="H597" s="17" t="s">
        <v>2005</v>
      </c>
      <c r="I597" s="17" t="s">
        <v>2006</v>
      </c>
      <c r="J597" s="17"/>
    </row>
    <row r="598" customFormat="false" ht="15" hidden="false" customHeight="false" outlineLevel="0" collapsed="false">
      <c r="A598" s="16" t="n">
        <v>85</v>
      </c>
      <c r="B598" s="17" t="s">
        <v>610</v>
      </c>
      <c r="C598" s="16" t="s">
        <v>110</v>
      </c>
      <c r="D598" s="16" t="s">
        <v>72</v>
      </c>
      <c r="E598" s="16" t="s">
        <v>742</v>
      </c>
      <c r="F598" s="16" t="s">
        <v>743</v>
      </c>
      <c r="G598" s="16" t="s">
        <v>744</v>
      </c>
      <c r="H598" s="17" t="s">
        <v>2007</v>
      </c>
      <c r="I598" s="17" t="s">
        <v>2008</v>
      </c>
      <c r="J598" s="17"/>
    </row>
    <row r="599" customFormat="false" ht="23.85" hidden="false" customHeight="false" outlineLevel="0" collapsed="false">
      <c r="A599" s="19" t="n">
        <v>85</v>
      </c>
      <c r="B599" s="20" t="s">
        <v>610</v>
      </c>
      <c r="C599" s="19" t="s">
        <v>110</v>
      </c>
      <c r="D599" s="19" t="s">
        <v>72</v>
      </c>
      <c r="E599" s="19" t="s">
        <v>742</v>
      </c>
      <c r="F599" s="19" t="s">
        <v>747</v>
      </c>
      <c r="G599" s="19" t="s">
        <v>748</v>
      </c>
      <c r="H599" s="20" t="s">
        <v>2009</v>
      </c>
      <c r="I599" s="20" t="s">
        <v>2010</v>
      </c>
      <c r="J599" s="20"/>
    </row>
    <row r="600" customFormat="false" ht="23.85" hidden="false" customHeight="false" outlineLevel="0" collapsed="false">
      <c r="A600" s="21" t="n">
        <v>86</v>
      </c>
      <c r="B600" s="22" t="s">
        <v>616</v>
      </c>
      <c r="C600" s="21" t="s">
        <v>110</v>
      </c>
      <c r="D600" s="21" t="s">
        <v>164</v>
      </c>
      <c r="E600" s="21" t="s">
        <v>719</v>
      </c>
      <c r="F600" s="21" t="s">
        <v>720</v>
      </c>
      <c r="G600" s="21" t="s">
        <v>721</v>
      </c>
      <c r="H600" s="23" t="s">
        <v>2011</v>
      </c>
      <c r="I600" s="22" t="s">
        <v>2012</v>
      </c>
      <c r="J600" s="22" t="s">
        <v>2013</v>
      </c>
    </row>
    <row r="601" customFormat="false" ht="15" hidden="false" customHeight="false" outlineLevel="0" collapsed="false">
      <c r="A601" s="21" t="n">
        <v>86</v>
      </c>
      <c r="B601" s="22" t="s">
        <v>616</v>
      </c>
      <c r="C601" s="21" t="s">
        <v>110</v>
      </c>
      <c r="D601" s="21" t="s">
        <v>164</v>
      </c>
      <c r="E601" s="21" t="s">
        <v>719</v>
      </c>
      <c r="F601" s="21" t="s">
        <v>725</v>
      </c>
      <c r="G601" s="21" t="s">
        <v>726</v>
      </c>
      <c r="H601" s="22" t="s">
        <v>2014</v>
      </c>
      <c r="I601" s="22" t="s">
        <v>2015</v>
      </c>
      <c r="J601" s="22"/>
    </row>
    <row r="602" customFormat="false" ht="23.85" hidden="false" customHeight="false" outlineLevel="0" collapsed="false">
      <c r="A602" s="21" t="n">
        <v>86</v>
      </c>
      <c r="B602" s="22" t="s">
        <v>616</v>
      </c>
      <c r="C602" s="21" t="s">
        <v>110</v>
      </c>
      <c r="D602" s="21" t="s">
        <v>164</v>
      </c>
      <c r="E602" s="21" t="s">
        <v>729</v>
      </c>
      <c r="F602" s="21" t="s">
        <v>730</v>
      </c>
      <c r="G602" s="21" t="s">
        <v>731</v>
      </c>
      <c r="H602" s="22" t="s">
        <v>2016</v>
      </c>
      <c r="I602" s="22" t="s">
        <v>2017</v>
      </c>
      <c r="J602" s="22"/>
    </row>
    <row r="603" customFormat="false" ht="15" hidden="false" customHeight="false" outlineLevel="0" collapsed="false">
      <c r="A603" s="21" t="n">
        <v>86</v>
      </c>
      <c r="B603" s="22" t="s">
        <v>616</v>
      </c>
      <c r="C603" s="21" t="s">
        <v>110</v>
      </c>
      <c r="D603" s="21" t="s">
        <v>164</v>
      </c>
      <c r="E603" s="21" t="s">
        <v>729</v>
      </c>
      <c r="F603" s="21" t="s">
        <v>734</v>
      </c>
      <c r="G603" s="21" t="s">
        <v>735</v>
      </c>
      <c r="H603" s="22" t="s">
        <v>2018</v>
      </c>
      <c r="I603" s="22" t="s">
        <v>2019</v>
      </c>
      <c r="J603" s="22"/>
    </row>
    <row r="604" customFormat="false" ht="15" hidden="false" customHeight="false" outlineLevel="0" collapsed="false">
      <c r="A604" s="21" t="n">
        <v>86</v>
      </c>
      <c r="B604" s="22" t="s">
        <v>616</v>
      </c>
      <c r="C604" s="21" t="s">
        <v>110</v>
      </c>
      <c r="D604" s="21" t="s">
        <v>164</v>
      </c>
      <c r="E604" s="21" t="s">
        <v>729</v>
      </c>
      <c r="F604" s="21" t="s">
        <v>738</v>
      </c>
      <c r="G604" s="21" t="s">
        <v>739</v>
      </c>
      <c r="H604" s="22" t="s">
        <v>2020</v>
      </c>
      <c r="I604" s="22" t="s">
        <v>2021</v>
      </c>
      <c r="J604" s="22"/>
    </row>
    <row r="605" customFormat="false" ht="15" hidden="false" customHeight="false" outlineLevel="0" collapsed="false">
      <c r="A605" s="21" t="n">
        <v>86</v>
      </c>
      <c r="B605" s="22" t="s">
        <v>616</v>
      </c>
      <c r="C605" s="21" t="s">
        <v>110</v>
      </c>
      <c r="D605" s="21" t="s">
        <v>164</v>
      </c>
      <c r="E605" s="21" t="s">
        <v>742</v>
      </c>
      <c r="F605" s="21" t="s">
        <v>743</v>
      </c>
      <c r="G605" s="21" t="s">
        <v>744</v>
      </c>
      <c r="H605" s="22" t="s">
        <v>2022</v>
      </c>
      <c r="I605" s="22" t="s">
        <v>2023</v>
      </c>
      <c r="J605" s="22"/>
    </row>
    <row r="606" customFormat="false" ht="15" hidden="false" customHeight="false" outlineLevel="0" collapsed="false">
      <c r="A606" s="24" t="n">
        <v>86</v>
      </c>
      <c r="B606" s="25" t="s">
        <v>616</v>
      </c>
      <c r="C606" s="24" t="s">
        <v>110</v>
      </c>
      <c r="D606" s="24" t="s">
        <v>164</v>
      </c>
      <c r="E606" s="24" t="s">
        <v>742</v>
      </c>
      <c r="F606" s="24" t="s">
        <v>747</v>
      </c>
      <c r="G606" s="24" t="s">
        <v>748</v>
      </c>
      <c r="H606" s="25" t="s">
        <v>2024</v>
      </c>
      <c r="I606" s="25" t="s">
        <v>2025</v>
      </c>
      <c r="J606" s="25"/>
    </row>
    <row r="607" customFormat="false" ht="23.85" hidden="false" customHeight="false" outlineLevel="0" collapsed="false">
      <c r="A607" s="16" t="n">
        <v>87</v>
      </c>
      <c r="B607" s="17" t="s">
        <v>622</v>
      </c>
      <c r="C607" s="16" t="s">
        <v>133</v>
      </c>
      <c r="D607" s="16" t="s">
        <v>96</v>
      </c>
      <c r="E607" s="16" t="s">
        <v>719</v>
      </c>
      <c r="F607" s="16" t="s">
        <v>720</v>
      </c>
      <c r="G607" s="16" t="s">
        <v>721</v>
      </c>
      <c r="H607" s="18" t="s">
        <v>2026</v>
      </c>
      <c r="I607" s="17" t="s">
        <v>2027</v>
      </c>
      <c r="J607" s="17" t="s">
        <v>2028</v>
      </c>
    </row>
    <row r="608" customFormat="false" ht="15" hidden="false" customHeight="false" outlineLevel="0" collapsed="false">
      <c r="A608" s="16" t="n">
        <v>87</v>
      </c>
      <c r="B608" s="17" t="s">
        <v>622</v>
      </c>
      <c r="C608" s="16" t="s">
        <v>133</v>
      </c>
      <c r="D608" s="16" t="s">
        <v>96</v>
      </c>
      <c r="E608" s="16" t="s">
        <v>719</v>
      </c>
      <c r="F608" s="16" t="s">
        <v>725</v>
      </c>
      <c r="G608" s="16" t="s">
        <v>726</v>
      </c>
      <c r="H608" s="17" t="s">
        <v>2029</v>
      </c>
      <c r="I608" s="17" t="s">
        <v>2030</v>
      </c>
      <c r="J608" s="17"/>
    </row>
    <row r="609" customFormat="false" ht="15" hidden="false" customHeight="false" outlineLevel="0" collapsed="false">
      <c r="A609" s="16" t="n">
        <v>87</v>
      </c>
      <c r="B609" s="17" t="s">
        <v>622</v>
      </c>
      <c r="C609" s="16" t="s">
        <v>133</v>
      </c>
      <c r="D609" s="16" t="s">
        <v>96</v>
      </c>
      <c r="E609" s="16" t="s">
        <v>729</v>
      </c>
      <c r="F609" s="16" t="s">
        <v>730</v>
      </c>
      <c r="G609" s="16" t="s">
        <v>731</v>
      </c>
      <c r="H609" s="17" t="s">
        <v>2031</v>
      </c>
      <c r="I609" s="17" t="s">
        <v>2032</v>
      </c>
      <c r="J609" s="17"/>
    </row>
    <row r="610" customFormat="false" ht="15" hidden="false" customHeight="false" outlineLevel="0" collapsed="false">
      <c r="A610" s="16" t="n">
        <v>87</v>
      </c>
      <c r="B610" s="17" t="s">
        <v>622</v>
      </c>
      <c r="C610" s="16" t="s">
        <v>133</v>
      </c>
      <c r="D610" s="16" t="s">
        <v>96</v>
      </c>
      <c r="E610" s="16" t="s">
        <v>729</v>
      </c>
      <c r="F610" s="16" t="s">
        <v>734</v>
      </c>
      <c r="G610" s="16" t="s">
        <v>735</v>
      </c>
      <c r="H610" s="17" t="s">
        <v>2033</v>
      </c>
      <c r="I610" s="17" t="s">
        <v>2034</v>
      </c>
      <c r="J610" s="17"/>
    </row>
    <row r="611" customFormat="false" ht="15" hidden="false" customHeight="false" outlineLevel="0" collapsed="false">
      <c r="A611" s="16" t="n">
        <v>87</v>
      </c>
      <c r="B611" s="17" t="s">
        <v>622</v>
      </c>
      <c r="C611" s="16" t="s">
        <v>133</v>
      </c>
      <c r="D611" s="16" t="s">
        <v>96</v>
      </c>
      <c r="E611" s="16" t="s">
        <v>729</v>
      </c>
      <c r="F611" s="16" t="s">
        <v>738</v>
      </c>
      <c r="G611" s="16" t="s">
        <v>739</v>
      </c>
      <c r="H611" s="17" t="s">
        <v>2035</v>
      </c>
      <c r="I611" s="17" t="s">
        <v>2036</v>
      </c>
      <c r="J611" s="17"/>
    </row>
    <row r="612" customFormat="false" ht="15" hidden="false" customHeight="false" outlineLevel="0" collapsed="false">
      <c r="A612" s="16" t="n">
        <v>87</v>
      </c>
      <c r="B612" s="17" t="s">
        <v>622</v>
      </c>
      <c r="C612" s="16" t="s">
        <v>133</v>
      </c>
      <c r="D612" s="16" t="s">
        <v>96</v>
      </c>
      <c r="E612" s="16" t="s">
        <v>742</v>
      </c>
      <c r="F612" s="16" t="s">
        <v>743</v>
      </c>
      <c r="G612" s="16" t="s">
        <v>744</v>
      </c>
      <c r="H612" s="17" t="s">
        <v>2037</v>
      </c>
      <c r="I612" s="17" t="s">
        <v>2038</v>
      </c>
      <c r="J612" s="17"/>
    </row>
    <row r="613" customFormat="false" ht="23.85" hidden="false" customHeight="false" outlineLevel="0" collapsed="false">
      <c r="A613" s="19" t="n">
        <v>87</v>
      </c>
      <c r="B613" s="20" t="s">
        <v>622</v>
      </c>
      <c r="C613" s="19" t="s">
        <v>133</v>
      </c>
      <c r="D613" s="19" t="s">
        <v>96</v>
      </c>
      <c r="E613" s="19" t="s">
        <v>742</v>
      </c>
      <c r="F613" s="19" t="s">
        <v>747</v>
      </c>
      <c r="G613" s="19" t="s">
        <v>748</v>
      </c>
      <c r="H613" s="20" t="s">
        <v>2039</v>
      </c>
      <c r="I613" s="20" t="s">
        <v>2040</v>
      </c>
      <c r="J613" s="20"/>
    </row>
    <row r="614" customFormat="false" ht="23.85" hidden="false" customHeight="false" outlineLevel="0" collapsed="false">
      <c r="A614" s="21" t="n">
        <v>88</v>
      </c>
      <c r="B614" s="22" t="s">
        <v>626</v>
      </c>
      <c r="C614" s="21" t="s">
        <v>133</v>
      </c>
      <c r="D614" s="21" t="s">
        <v>96</v>
      </c>
      <c r="E614" s="21" t="s">
        <v>719</v>
      </c>
      <c r="F614" s="21" t="s">
        <v>720</v>
      </c>
      <c r="G614" s="21" t="s">
        <v>721</v>
      </c>
      <c r="H614" s="23" t="s">
        <v>2041</v>
      </c>
      <c r="I614" s="22" t="s">
        <v>2042</v>
      </c>
      <c r="J614" s="22" t="s">
        <v>2043</v>
      </c>
    </row>
    <row r="615" customFormat="false" ht="15" hidden="false" customHeight="false" outlineLevel="0" collapsed="false">
      <c r="A615" s="21" t="n">
        <v>88</v>
      </c>
      <c r="B615" s="22" t="s">
        <v>626</v>
      </c>
      <c r="C615" s="21" t="s">
        <v>133</v>
      </c>
      <c r="D615" s="21" t="s">
        <v>96</v>
      </c>
      <c r="E615" s="21" t="s">
        <v>719</v>
      </c>
      <c r="F615" s="21" t="s">
        <v>725</v>
      </c>
      <c r="G615" s="21" t="s">
        <v>726</v>
      </c>
      <c r="H615" s="22" t="s">
        <v>2044</v>
      </c>
      <c r="I615" s="22" t="s">
        <v>2045</v>
      </c>
      <c r="J615" s="22"/>
    </row>
    <row r="616" customFormat="false" ht="15" hidden="false" customHeight="false" outlineLevel="0" collapsed="false">
      <c r="A616" s="21" t="n">
        <v>88</v>
      </c>
      <c r="B616" s="22" t="s">
        <v>626</v>
      </c>
      <c r="C616" s="21" t="s">
        <v>133</v>
      </c>
      <c r="D616" s="21" t="s">
        <v>96</v>
      </c>
      <c r="E616" s="21" t="s">
        <v>729</v>
      </c>
      <c r="F616" s="21" t="s">
        <v>730</v>
      </c>
      <c r="G616" s="21" t="s">
        <v>731</v>
      </c>
      <c r="H616" s="22" t="s">
        <v>2046</v>
      </c>
      <c r="I616" s="22" t="s">
        <v>2047</v>
      </c>
      <c r="J616" s="22"/>
    </row>
    <row r="617" customFormat="false" ht="23.85" hidden="false" customHeight="false" outlineLevel="0" collapsed="false">
      <c r="A617" s="21" t="n">
        <v>88</v>
      </c>
      <c r="B617" s="22" t="s">
        <v>626</v>
      </c>
      <c r="C617" s="21" t="s">
        <v>133</v>
      </c>
      <c r="D617" s="21" t="s">
        <v>96</v>
      </c>
      <c r="E617" s="21" t="s">
        <v>729</v>
      </c>
      <c r="F617" s="21" t="s">
        <v>734</v>
      </c>
      <c r="G617" s="21" t="s">
        <v>735</v>
      </c>
      <c r="H617" s="22" t="s">
        <v>2048</v>
      </c>
      <c r="I617" s="22" t="s">
        <v>2049</v>
      </c>
      <c r="J617" s="22"/>
    </row>
    <row r="618" customFormat="false" ht="23.85" hidden="false" customHeight="false" outlineLevel="0" collapsed="false">
      <c r="A618" s="21" t="n">
        <v>88</v>
      </c>
      <c r="B618" s="22" t="s">
        <v>626</v>
      </c>
      <c r="C618" s="21" t="s">
        <v>133</v>
      </c>
      <c r="D618" s="21" t="s">
        <v>96</v>
      </c>
      <c r="E618" s="21" t="s">
        <v>729</v>
      </c>
      <c r="F618" s="21" t="s">
        <v>738</v>
      </c>
      <c r="G618" s="21" t="s">
        <v>739</v>
      </c>
      <c r="H618" s="22" t="s">
        <v>2050</v>
      </c>
      <c r="I618" s="22" t="s">
        <v>2051</v>
      </c>
      <c r="J618" s="22"/>
    </row>
    <row r="619" customFormat="false" ht="15" hidden="false" customHeight="false" outlineLevel="0" collapsed="false">
      <c r="A619" s="21" t="n">
        <v>88</v>
      </c>
      <c r="B619" s="22" t="s">
        <v>626</v>
      </c>
      <c r="C619" s="21" t="s">
        <v>133</v>
      </c>
      <c r="D619" s="21" t="s">
        <v>96</v>
      </c>
      <c r="E619" s="21" t="s">
        <v>742</v>
      </c>
      <c r="F619" s="21" t="s">
        <v>743</v>
      </c>
      <c r="G619" s="21" t="s">
        <v>744</v>
      </c>
      <c r="H619" s="22" t="s">
        <v>2052</v>
      </c>
      <c r="I619" s="22" t="s">
        <v>2053</v>
      </c>
      <c r="J619" s="22"/>
    </row>
    <row r="620" customFormat="false" ht="23.85" hidden="false" customHeight="false" outlineLevel="0" collapsed="false">
      <c r="A620" s="24" t="n">
        <v>88</v>
      </c>
      <c r="B620" s="25" t="s">
        <v>626</v>
      </c>
      <c r="C620" s="24" t="s">
        <v>133</v>
      </c>
      <c r="D620" s="24" t="s">
        <v>96</v>
      </c>
      <c r="E620" s="24" t="s">
        <v>742</v>
      </c>
      <c r="F620" s="24" t="s">
        <v>747</v>
      </c>
      <c r="G620" s="24" t="s">
        <v>748</v>
      </c>
      <c r="H620" s="25" t="s">
        <v>2054</v>
      </c>
      <c r="I620" s="25" t="s">
        <v>2055</v>
      </c>
      <c r="J620" s="25"/>
    </row>
    <row r="621" customFormat="false" ht="23.85" hidden="false" customHeight="false" outlineLevel="0" collapsed="false">
      <c r="A621" s="16" t="n">
        <v>89</v>
      </c>
      <c r="B621" s="17" t="s">
        <v>630</v>
      </c>
      <c r="C621" s="16" t="s">
        <v>133</v>
      </c>
      <c r="D621" s="16" t="s">
        <v>113</v>
      </c>
      <c r="E621" s="16" t="s">
        <v>719</v>
      </c>
      <c r="F621" s="16" t="s">
        <v>720</v>
      </c>
      <c r="G621" s="16" t="s">
        <v>721</v>
      </c>
      <c r="H621" s="18" t="s">
        <v>2056</v>
      </c>
      <c r="I621" s="17" t="s">
        <v>2057</v>
      </c>
      <c r="J621" s="17" t="s">
        <v>2058</v>
      </c>
    </row>
    <row r="622" customFormat="false" ht="15" hidden="false" customHeight="false" outlineLevel="0" collapsed="false">
      <c r="A622" s="16" t="n">
        <v>89</v>
      </c>
      <c r="B622" s="17" t="s">
        <v>630</v>
      </c>
      <c r="C622" s="16" t="s">
        <v>133</v>
      </c>
      <c r="D622" s="16" t="s">
        <v>113</v>
      </c>
      <c r="E622" s="16" t="s">
        <v>719</v>
      </c>
      <c r="F622" s="16" t="s">
        <v>725</v>
      </c>
      <c r="G622" s="16" t="s">
        <v>726</v>
      </c>
      <c r="H622" s="17" t="s">
        <v>2059</v>
      </c>
      <c r="I622" s="17" t="s">
        <v>2060</v>
      </c>
      <c r="J622" s="17"/>
    </row>
    <row r="623" customFormat="false" ht="15" hidden="false" customHeight="false" outlineLevel="0" collapsed="false">
      <c r="A623" s="16" t="n">
        <v>89</v>
      </c>
      <c r="B623" s="17" t="s">
        <v>630</v>
      </c>
      <c r="C623" s="16" t="s">
        <v>133</v>
      </c>
      <c r="D623" s="16" t="s">
        <v>113</v>
      </c>
      <c r="E623" s="16" t="s">
        <v>729</v>
      </c>
      <c r="F623" s="16" t="s">
        <v>730</v>
      </c>
      <c r="G623" s="16" t="s">
        <v>731</v>
      </c>
      <c r="H623" s="17" t="s">
        <v>2061</v>
      </c>
      <c r="I623" s="17" t="s">
        <v>2062</v>
      </c>
      <c r="J623" s="17"/>
    </row>
    <row r="624" customFormat="false" ht="15" hidden="false" customHeight="false" outlineLevel="0" collapsed="false">
      <c r="A624" s="16" t="n">
        <v>89</v>
      </c>
      <c r="B624" s="17" t="s">
        <v>630</v>
      </c>
      <c r="C624" s="16" t="s">
        <v>133</v>
      </c>
      <c r="D624" s="16" t="s">
        <v>113</v>
      </c>
      <c r="E624" s="16" t="s">
        <v>729</v>
      </c>
      <c r="F624" s="16" t="s">
        <v>734</v>
      </c>
      <c r="G624" s="16" t="s">
        <v>735</v>
      </c>
      <c r="H624" s="17" t="s">
        <v>2063</v>
      </c>
      <c r="I624" s="17" t="s">
        <v>2064</v>
      </c>
      <c r="J624" s="17"/>
    </row>
    <row r="625" customFormat="false" ht="15" hidden="false" customHeight="false" outlineLevel="0" collapsed="false">
      <c r="A625" s="16" t="n">
        <v>89</v>
      </c>
      <c r="B625" s="17" t="s">
        <v>630</v>
      </c>
      <c r="C625" s="16" t="s">
        <v>133</v>
      </c>
      <c r="D625" s="16" t="s">
        <v>113</v>
      </c>
      <c r="E625" s="16" t="s">
        <v>729</v>
      </c>
      <c r="F625" s="16" t="s">
        <v>738</v>
      </c>
      <c r="G625" s="16" t="s">
        <v>739</v>
      </c>
      <c r="H625" s="17" t="s">
        <v>2065</v>
      </c>
      <c r="I625" s="17" t="s">
        <v>2066</v>
      </c>
      <c r="J625" s="17"/>
    </row>
    <row r="626" customFormat="false" ht="15" hidden="false" customHeight="false" outlineLevel="0" collapsed="false">
      <c r="A626" s="16" t="n">
        <v>89</v>
      </c>
      <c r="B626" s="17" t="s">
        <v>630</v>
      </c>
      <c r="C626" s="16" t="s">
        <v>133</v>
      </c>
      <c r="D626" s="16" t="s">
        <v>113</v>
      </c>
      <c r="E626" s="16" t="s">
        <v>742</v>
      </c>
      <c r="F626" s="16" t="s">
        <v>743</v>
      </c>
      <c r="G626" s="16" t="s">
        <v>744</v>
      </c>
      <c r="H626" s="17" t="s">
        <v>2067</v>
      </c>
      <c r="I626" s="17" t="s">
        <v>2068</v>
      </c>
      <c r="J626" s="17"/>
    </row>
    <row r="627" customFormat="false" ht="23.85" hidden="false" customHeight="false" outlineLevel="0" collapsed="false">
      <c r="A627" s="19" t="n">
        <v>89</v>
      </c>
      <c r="B627" s="20" t="s">
        <v>630</v>
      </c>
      <c r="C627" s="19" t="s">
        <v>133</v>
      </c>
      <c r="D627" s="19" t="s">
        <v>113</v>
      </c>
      <c r="E627" s="19" t="s">
        <v>742</v>
      </c>
      <c r="F627" s="19" t="s">
        <v>747</v>
      </c>
      <c r="G627" s="19" t="s">
        <v>748</v>
      </c>
      <c r="H627" s="20" t="s">
        <v>2069</v>
      </c>
      <c r="I627" s="20" t="s">
        <v>2070</v>
      </c>
      <c r="J627" s="20"/>
    </row>
    <row r="628" customFormat="false" ht="23.85" hidden="false" customHeight="false" outlineLevel="0" collapsed="false">
      <c r="A628" s="21" t="n">
        <v>90</v>
      </c>
      <c r="B628" s="22" t="s">
        <v>634</v>
      </c>
      <c r="C628" s="21" t="s">
        <v>133</v>
      </c>
      <c r="D628" s="21" t="s">
        <v>96</v>
      </c>
      <c r="E628" s="21" t="s">
        <v>719</v>
      </c>
      <c r="F628" s="21" t="s">
        <v>720</v>
      </c>
      <c r="G628" s="21" t="s">
        <v>721</v>
      </c>
      <c r="H628" s="23" t="s">
        <v>2071</v>
      </c>
      <c r="I628" s="22" t="s">
        <v>2072</v>
      </c>
      <c r="J628" s="22" t="s">
        <v>2073</v>
      </c>
    </row>
    <row r="629" customFormat="false" ht="15" hidden="false" customHeight="false" outlineLevel="0" collapsed="false">
      <c r="A629" s="21" t="n">
        <v>90</v>
      </c>
      <c r="B629" s="22" t="s">
        <v>634</v>
      </c>
      <c r="C629" s="21" t="s">
        <v>133</v>
      </c>
      <c r="D629" s="21" t="s">
        <v>96</v>
      </c>
      <c r="E629" s="21" t="s">
        <v>719</v>
      </c>
      <c r="F629" s="21" t="s">
        <v>725</v>
      </c>
      <c r="G629" s="21" t="s">
        <v>726</v>
      </c>
      <c r="H629" s="22" t="s">
        <v>2074</v>
      </c>
      <c r="I629" s="22" t="s">
        <v>2075</v>
      </c>
      <c r="J629" s="22"/>
    </row>
    <row r="630" customFormat="false" ht="15" hidden="false" customHeight="false" outlineLevel="0" collapsed="false">
      <c r="A630" s="21" t="n">
        <v>90</v>
      </c>
      <c r="B630" s="22" t="s">
        <v>634</v>
      </c>
      <c r="C630" s="21" t="s">
        <v>133</v>
      </c>
      <c r="D630" s="21" t="s">
        <v>96</v>
      </c>
      <c r="E630" s="21" t="s">
        <v>729</v>
      </c>
      <c r="F630" s="21" t="s">
        <v>730</v>
      </c>
      <c r="G630" s="21" t="s">
        <v>731</v>
      </c>
      <c r="H630" s="22" t="s">
        <v>2076</v>
      </c>
      <c r="I630" s="22" t="s">
        <v>2077</v>
      </c>
      <c r="J630" s="22"/>
    </row>
    <row r="631" customFormat="false" ht="15" hidden="false" customHeight="false" outlineLevel="0" collapsed="false">
      <c r="A631" s="21" t="n">
        <v>90</v>
      </c>
      <c r="B631" s="22" t="s">
        <v>634</v>
      </c>
      <c r="C631" s="21" t="s">
        <v>133</v>
      </c>
      <c r="D631" s="21" t="s">
        <v>96</v>
      </c>
      <c r="E631" s="21" t="s">
        <v>729</v>
      </c>
      <c r="F631" s="21" t="s">
        <v>734</v>
      </c>
      <c r="G631" s="21" t="s">
        <v>735</v>
      </c>
      <c r="H631" s="22" t="s">
        <v>2078</v>
      </c>
      <c r="I631" s="22" t="s">
        <v>2079</v>
      </c>
      <c r="J631" s="22"/>
    </row>
    <row r="632" customFormat="false" ht="15" hidden="false" customHeight="false" outlineLevel="0" collapsed="false">
      <c r="A632" s="21" t="n">
        <v>90</v>
      </c>
      <c r="B632" s="22" t="s">
        <v>634</v>
      </c>
      <c r="C632" s="21" t="s">
        <v>133</v>
      </c>
      <c r="D632" s="21" t="s">
        <v>96</v>
      </c>
      <c r="E632" s="21" t="s">
        <v>729</v>
      </c>
      <c r="F632" s="21" t="s">
        <v>738</v>
      </c>
      <c r="G632" s="21" t="s">
        <v>739</v>
      </c>
      <c r="H632" s="22" t="s">
        <v>2080</v>
      </c>
      <c r="I632" s="22" t="s">
        <v>2081</v>
      </c>
      <c r="J632" s="22"/>
    </row>
    <row r="633" customFormat="false" ht="15" hidden="false" customHeight="false" outlineLevel="0" collapsed="false">
      <c r="A633" s="21" t="n">
        <v>90</v>
      </c>
      <c r="B633" s="22" t="s">
        <v>634</v>
      </c>
      <c r="C633" s="21" t="s">
        <v>133</v>
      </c>
      <c r="D633" s="21" t="s">
        <v>96</v>
      </c>
      <c r="E633" s="21" t="s">
        <v>742</v>
      </c>
      <c r="F633" s="21" t="s">
        <v>743</v>
      </c>
      <c r="G633" s="21" t="s">
        <v>744</v>
      </c>
      <c r="H633" s="22" t="s">
        <v>2082</v>
      </c>
      <c r="I633" s="22" t="s">
        <v>2083</v>
      </c>
      <c r="J633" s="22"/>
    </row>
    <row r="634" customFormat="false" ht="23.85" hidden="false" customHeight="false" outlineLevel="0" collapsed="false">
      <c r="A634" s="24" t="n">
        <v>90</v>
      </c>
      <c r="B634" s="25" t="s">
        <v>634</v>
      </c>
      <c r="C634" s="24" t="s">
        <v>133</v>
      </c>
      <c r="D634" s="24" t="s">
        <v>96</v>
      </c>
      <c r="E634" s="24" t="s">
        <v>742</v>
      </c>
      <c r="F634" s="24" t="s">
        <v>747</v>
      </c>
      <c r="G634" s="24" t="s">
        <v>748</v>
      </c>
      <c r="H634" s="25" t="s">
        <v>2084</v>
      </c>
      <c r="I634" s="25" t="s">
        <v>2085</v>
      </c>
      <c r="J634" s="25"/>
    </row>
    <row r="635" customFormat="false" ht="23.85" hidden="false" customHeight="false" outlineLevel="0" collapsed="false">
      <c r="A635" s="16" t="n">
        <v>91</v>
      </c>
      <c r="B635" s="17" t="s">
        <v>639</v>
      </c>
      <c r="C635" s="16" t="s">
        <v>77</v>
      </c>
      <c r="D635" s="16" t="s">
        <v>164</v>
      </c>
      <c r="E635" s="16" t="s">
        <v>719</v>
      </c>
      <c r="F635" s="16" t="s">
        <v>720</v>
      </c>
      <c r="G635" s="16" t="s">
        <v>721</v>
      </c>
      <c r="H635" s="18" t="s">
        <v>2086</v>
      </c>
      <c r="I635" s="17" t="s">
        <v>2087</v>
      </c>
      <c r="J635" s="17" t="s">
        <v>2088</v>
      </c>
    </row>
    <row r="636" customFormat="false" ht="15" hidden="false" customHeight="false" outlineLevel="0" collapsed="false">
      <c r="A636" s="16" t="n">
        <v>91</v>
      </c>
      <c r="B636" s="17" t="s">
        <v>639</v>
      </c>
      <c r="C636" s="16" t="s">
        <v>77</v>
      </c>
      <c r="D636" s="16" t="s">
        <v>164</v>
      </c>
      <c r="E636" s="16" t="s">
        <v>719</v>
      </c>
      <c r="F636" s="16" t="s">
        <v>725</v>
      </c>
      <c r="G636" s="16" t="s">
        <v>726</v>
      </c>
      <c r="H636" s="17" t="s">
        <v>2089</v>
      </c>
      <c r="I636" s="17" t="s">
        <v>2090</v>
      </c>
      <c r="J636" s="17"/>
    </row>
    <row r="637" customFormat="false" ht="15" hidden="false" customHeight="false" outlineLevel="0" collapsed="false">
      <c r="A637" s="16" t="n">
        <v>91</v>
      </c>
      <c r="B637" s="17" t="s">
        <v>639</v>
      </c>
      <c r="C637" s="16" t="s">
        <v>77</v>
      </c>
      <c r="D637" s="16" t="s">
        <v>164</v>
      </c>
      <c r="E637" s="16" t="s">
        <v>729</v>
      </c>
      <c r="F637" s="16" t="s">
        <v>730</v>
      </c>
      <c r="G637" s="16" t="s">
        <v>731</v>
      </c>
      <c r="H637" s="17" t="s">
        <v>2091</v>
      </c>
      <c r="I637" s="17" t="s">
        <v>2092</v>
      </c>
      <c r="J637" s="17"/>
    </row>
    <row r="638" customFormat="false" ht="23.85" hidden="false" customHeight="false" outlineLevel="0" collapsed="false">
      <c r="A638" s="16" t="n">
        <v>91</v>
      </c>
      <c r="B638" s="17" t="s">
        <v>639</v>
      </c>
      <c r="C638" s="16" t="s">
        <v>77</v>
      </c>
      <c r="D638" s="16" t="s">
        <v>164</v>
      </c>
      <c r="E638" s="16" t="s">
        <v>729</v>
      </c>
      <c r="F638" s="16" t="s">
        <v>734</v>
      </c>
      <c r="G638" s="16" t="s">
        <v>735</v>
      </c>
      <c r="H638" s="17" t="s">
        <v>2093</v>
      </c>
      <c r="I638" s="17" t="s">
        <v>2094</v>
      </c>
      <c r="J638" s="17"/>
    </row>
    <row r="639" customFormat="false" ht="15" hidden="false" customHeight="false" outlineLevel="0" collapsed="false">
      <c r="A639" s="16" t="n">
        <v>91</v>
      </c>
      <c r="B639" s="17" t="s">
        <v>639</v>
      </c>
      <c r="C639" s="16" t="s">
        <v>77</v>
      </c>
      <c r="D639" s="16" t="s">
        <v>164</v>
      </c>
      <c r="E639" s="16" t="s">
        <v>729</v>
      </c>
      <c r="F639" s="16" t="s">
        <v>738</v>
      </c>
      <c r="G639" s="16" t="s">
        <v>739</v>
      </c>
      <c r="H639" s="17" t="s">
        <v>2095</v>
      </c>
      <c r="I639" s="17" t="s">
        <v>2096</v>
      </c>
      <c r="J639" s="17"/>
    </row>
    <row r="640" customFormat="false" ht="15" hidden="false" customHeight="false" outlineLevel="0" collapsed="false">
      <c r="A640" s="16" t="n">
        <v>91</v>
      </c>
      <c r="B640" s="17" t="s">
        <v>639</v>
      </c>
      <c r="C640" s="16" t="s">
        <v>77</v>
      </c>
      <c r="D640" s="16" t="s">
        <v>164</v>
      </c>
      <c r="E640" s="16" t="s">
        <v>742</v>
      </c>
      <c r="F640" s="16" t="s">
        <v>743</v>
      </c>
      <c r="G640" s="16" t="s">
        <v>744</v>
      </c>
      <c r="H640" s="17" t="s">
        <v>2097</v>
      </c>
      <c r="I640" s="17" t="s">
        <v>2098</v>
      </c>
      <c r="J640" s="17"/>
    </row>
    <row r="641" customFormat="false" ht="23.85" hidden="false" customHeight="false" outlineLevel="0" collapsed="false">
      <c r="A641" s="19" t="n">
        <v>91</v>
      </c>
      <c r="B641" s="20" t="s">
        <v>639</v>
      </c>
      <c r="C641" s="19" t="s">
        <v>77</v>
      </c>
      <c r="D641" s="19" t="s">
        <v>164</v>
      </c>
      <c r="E641" s="19" t="s">
        <v>742</v>
      </c>
      <c r="F641" s="19" t="s">
        <v>747</v>
      </c>
      <c r="G641" s="19" t="s">
        <v>748</v>
      </c>
      <c r="H641" s="20" t="s">
        <v>2099</v>
      </c>
      <c r="I641" s="20" t="s">
        <v>2100</v>
      </c>
      <c r="J641" s="20"/>
    </row>
    <row r="642" customFormat="false" ht="23.85" hidden="false" customHeight="false" outlineLevel="0" collapsed="false">
      <c r="A642" s="21" t="n">
        <v>92</v>
      </c>
      <c r="B642" s="22" t="s">
        <v>647</v>
      </c>
      <c r="C642" s="21" t="s">
        <v>90</v>
      </c>
      <c r="D642" s="21" t="s">
        <v>164</v>
      </c>
      <c r="E642" s="21" t="s">
        <v>719</v>
      </c>
      <c r="F642" s="21" t="s">
        <v>720</v>
      </c>
      <c r="G642" s="21" t="s">
        <v>721</v>
      </c>
      <c r="H642" s="23" t="s">
        <v>2101</v>
      </c>
      <c r="I642" s="22" t="s">
        <v>2102</v>
      </c>
      <c r="J642" s="22" t="s">
        <v>2103</v>
      </c>
    </row>
    <row r="643" customFormat="false" ht="23.85" hidden="false" customHeight="false" outlineLevel="0" collapsed="false">
      <c r="A643" s="21" t="n">
        <v>92</v>
      </c>
      <c r="B643" s="22" t="s">
        <v>647</v>
      </c>
      <c r="C643" s="21" t="s">
        <v>90</v>
      </c>
      <c r="D643" s="21" t="s">
        <v>164</v>
      </c>
      <c r="E643" s="21" t="s">
        <v>719</v>
      </c>
      <c r="F643" s="21" t="s">
        <v>725</v>
      </c>
      <c r="G643" s="21" t="s">
        <v>726</v>
      </c>
      <c r="H643" s="22" t="s">
        <v>2104</v>
      </c>
      <c r="I643" s="22" t="s">
        <v>2105</v>
      </c>
      <c r="J643" s="22"/>
    </row>
    <row r="644" customFormat="false" ht="23.85" hidden="false" customHeight="false" outlineLevel="0" collapsed="false">
      <c r="A644" s="21" t="n">
        <v>92</v>
      </c>
      <c r="B644" s="22" t="s">
        <v>647</v>
      </c>
      <c r="C644" s="21" t="s">
        <v>90</v>
      </c>
      <c r="D644" s="21" t="s">
        <v>164</v>
      </c>
      <c r="E644" s="21" t="s">
        <v>729</v>
      </c>
      <c r="F644" s="21" t="s">
        <v>730</v>
      </c>
      <c r="G644" s="21" t="s">
        <v>731</v>
      </c>
      <c r="H644" s="22" t="s">
        <v>2106</v>
      </c>
      <c r="I644" s="22" t="s">
        <v>2107</v>
      </c>
      <c r="J644" s="22"/>
    </row>
    <row r="645" customFormat="false" ht="23.85" hidden="false" customHeight="false" outlineLevel="0" collapsed="false">
      <c r="A645" s="21" t="n">
        <v>92</v>
      </c>
      <c r="B645" s="22" t="s">
        <v>647</v>
      </c>
      <c r="C645" s="21" t="s">
        <v>90</v>
      </c>
      <c r="D645" s="21" t="s">
        <v>164</v>
      </c>
      <c r="E645" s="21" t="s">
        <v>729</v>
      </c>
      <c r="F645" s="21" t="s">
        <v>734</v>
      </c>
      <c r="G645" s="21" t="s">
        <v>735</v>
      </c>
      <c r="H645" s="22" t="s">
        <v>2108</v>
      </c>
      <c r="I645" s="22" t="s">
        <v>2109</v>
      </c>
      <c r="J645" s="22"/>
    </row>
    <row r="646" customFormat="false" ht="23.85" hidden="false" customHeight="false" outlineLevel="0" collapsed="false">
      <c r="A646" s="21" t="n">
        <v>92</v>
      </c>
      <c r="B646" s="22" t="s">
        <v>647</v>
      </c>
      <c r="C646" s="21" t="s">
        <v>90</v>
      </c>
      <c r="D646" s="21" t="s">
        <v>164</v>
      </c>
      <c r="E646" s="21" t="s">
        <v>729</v>
      </c>
      <c r="F646" s="21" t="s">
        <v>738</v>
      </c>
      <c r="G646" s="21" t="s">
        <v>739</v>
      </c>
      <c r="H646" s="22" t="s">
        <v>2110</v>
      </c>
      <c r="I646" s="22" t="s">
        <v>2111</v>
      </c>
      <c r="J646" s="22"/>
    </row>
    <row r="647" customFormat="false" ht="23.85" hidden="false" customHeight="false" outlineLevel="0" collapsed="false">
      <c r="A647" s="21" t="n">
        <v>92</v>
      </c>
      <c r="B647" s="22" t="s">
        <v>647</v>
      </c>
      <c r="C647" s="21" t="s">
        <v>90</v>
      </c>
      <c r="D647" s="21" t="s">
        <v>164</v>
      </c>
      <c r="E647" s="21" t="s">
        <v>742</v>
      </c>
      <c r="F647" s="21" t="s">
        <v>743</v>
      </c>
      <c r="G647" s="21" t="s">
        <v>744</v>
      </c>
      <c r="H647" s="22" t="s">
        <v>2112</v>
      </c>
      <c r="I647" s="22" t="s">
        <v>2113</v>
      </c>
      <c r="J647" s="22"/>
    </row>
    <row r="648" customFormat="false" ht="23.85" hidden="false" customHeight="false" outlineLevel="0" collapsed="false">
      <c r="A648" s="24" t="n">
        <v>92</v>
      </c>
      <c r="B648" s="25" t="s">
        <v>647</v>
      </c>
      <c r="C648" s="24" t="s">
        <v>90</v>
      </c>
      <c r="D648" s="24" t="s">
        <v>164</v>
      </c>
      <c r="E648" s="24" t="s">
        <v>742</v>
      </c>
      <c r="F648" s="24" t="s">
        <v>747</v>
      </c>
      <c r="G648" s="24" t="s">
        <v>748</v>
      </c>
      <c r="H648" s="25" t="s">
        <v>2114</v>
      </c>
      <c r="I648" s="25" t="s">
        <v>2115</v>
      </c>
      <c r="J648" s="25"/>
    </row>
    <row r="649" customFormat="false" ht="23.85" hidden="false" customHeight="false" outlineLevel="0" collapsed="false">
      <c r="A649" s="16" t="n">
        <v>93</v>
      </c>
      <c r="B649" s="17" t="s">
        <v>655</v>
      </c>
      <c r="C649" s="16" t="s">
        <v>90</v>
      </c>
      <c r="D649" s="16" t="s">
        <v>164</v>
      </c>
      <c r="E649" s="16" t="s">
        <v>719</v>
      </c>
      <c r="F649" s="16" t="s">
        <v>720</v>
      </c>
      <c r="G649" s="16" t="s">
        <v>721</v>
      </c>
      <c r="H649" s="18" t="s">
        <v>2116</v>
      </c>
      <c r="I649" s="17" t="s">
        <v>2117</v>
      </c>
      <c r="J649" s="17" t="s">
        <v>2118</v>
      </c>
    </row>
    <row r="650" customFormat="false" ht="15" hidden="false" customHeight="false" outlineLevel="0" collapsed="false">
      <c r="A650" s="16" t="n">
        <v>93</v>
      </c>
      <c r="B650" s="17" t="s">
        <v>655</v>
      </c>
      <c r="C650" s="16" t="s">
        <v>90</v>
      </c>
      <c r="D650" s="16" t="s">
        <v>164</v>
      </c>
      <c r="E650" s="16" t="s">
        <v>719</v>
      </c>
      <c r="F650" s="16" t="s">
        <v>725</v>
      </c>
      <c r="G650" s="16" t="s">
        <v>726</v>
      </c>
      <c r="H650" s="17" t="s">
        <v>2119</v>
      </c>
      <c r="I650" s="17" t="s">
        <v>2120</v>
      </c>
      <c r="J650" s="17"/>
    </row>
    <row r="651" customFormat="false" ht="15" hidden="false" customHeight="false" outlineLevel="0" collapsed="false">
      <c r="A651" s="16" t="n">
        <v>93</v>
      </c>
      <c r="B651" s="17" t="s">
        <v>655</v>
      </c>
      <c r="C651" s="16" t="s">
        <v>90</v>
      </c>
      <c r="D651" s="16" t="s">
        <v>164</v>
      </c>
      <c r="E651" s="16" t="s">
        <v>729</v>
      </c>
      <c r="F651" s="16" t="s">
        <v>730</v>
      </c>
      <c r="G651" s="16" t="s">
        <v>731</v>
      </c>
      <c r="H651" s="17" t="s">
        <v>2121</v>
      </c>
      <c r="I651" s="17" t="s">
        <v>2122</v>
      </c>
      <c r="J651" s="17"/>
    </row>
    <row r="652" customFormat="false" ht="23.85" hidden="false" customHeight="false" outlineLevel="0" collapsed="false">
      <c r="A652" s="16" t="n">
        <v>93</v>
      </c>
      <c r="B652" s="17" t="s">
        <v>655</v>
      </c>
      <c r="C652" s="16" t="s">
        <v>90</v>
      </c>
      <c r="D652" s="16" t="s">
        <v>164</v>
      </c>
      <c r="E652" s="16" t="s">
        <v>729</v>
      </c>
      <c r="F652" s="16" t="s">
        <v>734</v>
      </c>
      <c r="G652" s="16" t="s">
        <v>735</v>
      </c>
      <c r="H652" s="17" t="s">
        <v>2123</v>
      </c>
      <c r="I652" s="17" t="s">
        <v>2124</v>
      </c>
      <c r="J652" s="17"/>
    </row>
    <row r="653" customFormat="false" ht="15" hidden="false" customHeight="false" outlineLevel="0" collapsed="false">
      <c r="A653" s="16" t="n">
        <v>93</v>
      </c>
      <c r="B653" s="17" t="s">
        <v>655</v>
      </c>
      <c r="C653" s="16" t="s">
        <v>90</v>
      </c>
      <c r="D653" s="16" t="s">
        <v>164</v>
      </c>
      <c r="E653" s="16" t="s">
        <v>729</v>
      </c>
      <c r="F653" s="16" t="s">
        <v>738</v>
      </c>
      <c r="G653" s="16" t="s">
        <v>739</v>
      </c>
      <c r="H653" s="17" t="s">
        <v>2125</v>
      </c>
      <c r="I653" s="17" t="s">
        <v>2126</v>
      </c>
      <c r="J653" s="17"/>
    </row>
    <row r="654" customFormat="false" ht="15" hidden="false" customHeight="false" outlineLevel="0" collapsed="false">
      <c r="A654" s="16" t="n">
        <v>93</v>
      </c>
      <c r="B654" s="17" t="s">
        <v>655</v>
      </c>
      <c r="C654" s="16" t="s">
        <v>90</v>
      </c>
      <c r="D654" s="16" t="s">
        <v>164</v>
      </c>
      <c r="E654" s="16" t="s">
        <v>742</v>
      </c>
      <c r="F654" s="16" t="s">
        <v>743</v>
      </c>
      <c r="G654" s="16" t="s">
        <v>744</v>
      </c>
      <c r="H654" s="17" t="s">
        <v>2127</v>
      </c>
      <c r="I654" s="17" t="s">
        <v>2113</v>
      </c>
      <c r="J654" s="17"/>
    </row>
    <row r="655" customFormat="false" ht="23.85" hidden="false" customHeight="false" outlineLevel="0" collapsed="false">
      <c r="A655" s="19" t="n">
        <v>93</v>
      </c>
      <c r="B655" s="20" t="s">
        <v>655</v>
      </c>
      <c r="C655" s="19" t="s">
        <v>90</v>
      </c>
      <c r="D655" s="19" t="s">
        <v>164</v>
      </c>
      <c r="E655" s="19" t="s">
        <v>742</v>
      </c>
      <c r="F655" s="19" t="s">
        <v>747</v>
      </c>
      <c r="G655" s="19" t="s">
        <v>748</v>
      </c>
      <c r="H655" s="20" t="s">
        <v>2128</v>
      </c>
      <c r="I655" s="20" t="s">
        <v>2129</v>
      </c>
      <c r="J655" s="20"/>
    </row>
    <row r="656" customFormat="false" ht="23.85" hidden="false" customHeight="false" outlineLevel="0" collapsed="false">
      <c r="A656" s="21" t="n">
        <v>94</v>
      </c>
      <c r="B656" s="22" t="s">
        <v>663</v>
      </c>
      <c r="C656" s="21" t="s">
        <v>110</v>
      </c>
      <c r="D656" s="21" t="s">
        <v>96</v>
      </c>
      <c r="E656" s="21" t="s">
        <v>719</v>
      </c>
      <c r="F656" s="21" t="s">
        <v>720</v>
      </c>
      <c r="G656" s="21" t="s">
        <v>721</v>
      </c>
      <c r="H656" s="23" t="s">
        <v>2130</v>
      </c>
      <c r="I656" s="22" t="s">
        <v>2131</v>
      </c>
      <c r="J656" s="22" t="s">
        <v>2132</v>
      </c>
    </row>
    <row r="657" customFormat="false" ht="15" hidden="false" customHeight="false" outlineLevel="0" collapsed="false">
      <c r="A657" s="21" t="n">
        <v>94</v>
      </c>
      <c r="B657" s="22" t="s">
        <v>663</v>
      </c>
      <c r="C657" s="21" t="s">
        <v>110</v>
      </c>
      <c r="D657" s="21" t="s">
        <v>96</v>
      </c>
      <c r="E657" s="21" t="s">
        <v>719</v>
      </c>
      <c r="F657" s="21" t="s">
        <v>725</v>
      </c>
      <c r="G657" s="21" t="s">
        <v>726</v>
      </c>
      <c r="H657" s="22" t="s">
        <v>2133</v>
      </c>
      <c r="I657" s="22" t="s">
        <v>2134</v>
      </c>
      <c r="J657" s="22"/>
    </row>
    <row r="658" customFormat="false" ht="23.85" hidden="false" customHeight="false" outlineLevel="0" collapsed="false">
      <c r="A658" s="21" t="n">
        <v>94</v>
      </c>
      <c r="B658" s="22" t="s">
        <v>663</v>
      </c>
      <c r="C658" s="21" t="s">
        <v>110</v>
      </c>
      <c r="D658" s="21" t="s">
        <v>96</v>
      </c>
      <c r="E658" s="21" t="s">
        <v>729</v>
      </c>
      <c r="F658" s="21" t="s">
        <v>730</v>
      </c>
      <c r="G658" s="21" t="s">
        <v>731</v>
      </c>
      <c r="H658" s="22" t="s">
        <v>2135</v>
      </c>
      <c r="I658" s="22" t="s">
        <v>2136</v>
      </c>
      <c r="J658" s="22"/>
    </row>
    <row r="659" customFormat="false" ht="23.85" hidden="false" customHeight="false" outlineLevel="0" collapsed="false">
      <c r="A659" s="21" t="n">
        <v>94</v>
      </c>
      <c r="B659" s="22" t="s">
        <v>663</v>
      </c>
      <c r="C659" s="21" t="s">
        <v>110</v>
      </c>
      <c r="D659" s="21" t="s">
        <v>96</v>
      </c>
      <c r="E659" s="21" t="s">
        <v>729</v>
      </c>
      <c r="F659" s="21" t="s">
        <v>734</v>
      </c>
      <c r="G659" s="21" t="s">
        <v>735</v>
      </c>
      <c r="H659" s="22" t="s">
        <v>2137</v>
      </c>
      <c r="I659" s="22" t="s">
        <v>2138</v>
      </c>
      <c r="J659" s="22"/>
    </row>
    <row r="660" customFormat="false" ht="15" hidden="false" customHeight="false" outlineLevel="0" collapsed="false">
      <c r="A660" s="21" t="n">
        <v>94</v>
      </c>
      <c r="B660" s="22" t="s">
        <v>663</v>
      </c>
      <c r="C660" s="21" t="s">
        <v>110</v>
      </c>
      <c r="D660" s="21" t="s">
        <v>96</v>
      </c>
      <c r="E660" s="21" t="s">
        <v>729</v>
      </c>
      <c r="F660" s="21" t="s">
        <v>738</v>
      </c>
      <c r="G660" s="21" t="s">
        <v>739</v>
      </c>
      <c r="H660" s="22" t="s">
        <v>2139</v>
      </c>
      <c r="I660" s="22" t="s">
        <v>2140</v>
      </c>
      <c r="J660" s="22"/>
    </row>
    <row r="661" customFormat="false" ht="15" hidden="false" customHeight="false" outlineLevel="0" collapsed="false">
      <c r="A661" s="21" t="n">
        <v>94</v>
      </c>
      <c r="B661" s="22" t="s">
        <v>663</v>
      </c>
      <c r="C661" s="21" t="s">
        <v>110</v>
      </c>
      <c r="D661" s="21" t="s">
        <v>96</v>
      </c>
      <c r="E661" s="21" t="s">
        <v>742</v>
      </c>
      <c r="F661" s="21" t="s">
        <v>743</v>
      </c>
      <c r="G661" s="21" t="s">
        <v>744</v>
      </c>
      <c r="H661" s="22" t="s">
        <v>2141</v>
      </c>
      <c r="I661" s="22" t="s">
        <v>2142</v>
      </c>
      <c r="J661" s="22"/>
    </row>
    <row r="662" customFormat="false" ht="23.85" hidden="false" customHeight="false" outlineLevel="0" collapsed="false">
      <c r="A662" s="24" t="n">
        <v>94</v>
      </c>
      <c r="B662" s="25" t="s">
        <v>663</v>
      </c>
      <c r="C662" s="24" t="s">
        <v>110</v>
      </c>
      <c r="D662" s="24" t="s">
        <v>96</v>
      </c>
      <c r="E662" s="24" t="s">
        <v>742</v>
      </c>
      <c r="F662" s="24" t="s">
        <v>747</v>
      </c>
      <c r="G662" s="24" t="s">
        <v>748</v>
      </c>
      <c r="H662" s="25" t="s">
        <v>2143</v>
      </c>
      <c r="I662" s="25" t="s">
        <v>2144</v>
      </c>
      <c r="J662" s="25"/>
    </row>
    <row r="663" customFormat="false" ht="23.85" hidden="false" customHeight="false" outlineLevel="0" collapsed="false">
      <c r="A663" s="16" t="n">
        <v>95</v>
      </c>
      <c r="B663" s="17" t="s">
        <v>669</v>
      </c>
      <c r="C663" s="16" t="s">
        <v>133</v>
      </c>
      <c r="D663" s="16" t="s">
        <v>96</v>
      </c>
      <c r="E663" s="16" t="s">
        <v>719</v>
      </c>
      <c r="F663" s="16" t="s">
        <v>720</v>
      </c>
      <c r="G663" s="16" t="s">
        <v>721</v>
      </c>
      <c r="H663" s="18" t="s">
        <v>2145</v>
      </c>
      <c r="I663" s="17" t="s">
        <v>2146</v>
      </c>
      <c r="J663" s="17" t="s">
        <v>2147</v>
      </c>
    </row>
    <row r="664" customFormat="false" ht="15" hidden="false" customHeight="false" outlineLevel="0" collapsed="false">
      <c r="A664" s="16" t="n">
        <v>95</v>
      </c>
      <c r="B664" s="17" t="s">
        <v>669</v>
      </c>
      <c r="C664" s="16" t="s">
        <v>133</v>
      </c>
      <c r="D664" s="16" t="s">
        <v>96</v>
      </c>
      <c r="E664" s="16" t="s">
        <v>719</v>
      </c>
      <c r="F664" s="16" t="s">
        <v>725</v>
      </c>
      <c r="G664" s="16" t="s">
        <v>726</v>
      </c>
      <c r="H664" s="17" t="s">
        <v>2148</v>
      </c>
      <c r="I664" s="17" t="s">
        <v>2149</v>
      </c>
      <c r="J664" s="17"/>
    </row>
    <row r="665" customFormat="false" ht="15" hidden="false" customHeight="false" outlineLevel="0" collapsed="false">
      <c r="A665" s="16" t="n">
        <v>95</v>
      </c>
      <c r="B665" s="17" t="s">
        <v>669</v>
      </c>
      <c r="C665" s="16" t="s">
        <v>133</v>
      </c>
      <c r="D665" s="16" t="s">
        <v>96</v>
      </c>
      <c r="E665" s="16" t="s">
        <v>729</v>
      </c>
      <c r="F665" s="16" t="s">
        <v>730</v>
      </c>
      <c r="G665" s="16" t="s">
        <v>731</v>
      </c>
      <c r="H665" s="17" t="s">
        <v>2150</v>
      </c>
      <c r="I665" s="17" t="s">
        <v>2151</v>
      </c>
      <c r="J665" s="17"/>
    </row>
    <row r="666" customFormat="false" ht="15" hidden="false" customHeight="false" outlineLevel="0" collapsed="false">
      <c r="A666" s="16" t="n">
        <v>95</v>
      </c>
      <c r="B666" s="17" t="s">
        <v>669</v>
      </c>
      <c r="C666" s="16" t="s">
        <v>133</v>
      </c>
      <c r="D666" s="16" t="s">
        <v>96</v>
      </c>
      <c r="E666" s="16" t="s">
        <v>729</v>
      </c>
      <c r="F666" s="16" t="s">
        <v>734</v>
      </c>
      <c r="G666" s="16" t="s">
        <v>735</v>
      </c>
      <c r="H666" s="17" t="s">
        <v>2152</v>
      </c>
      <c r="I666" s="17" t="s">
        <v>2153</v>
      </c>
      <c r="J666" s="17"/>
    </row>
    <row r="667" customFormat="false" ht="15" hidden="false" customHeight="false" outlineLevel="0" collapsed="false">
      <c r="A667" s="16" t="n">
        <v>95</v>
      </c>
      <c r="B667" s="17" t="s">
        <v>669</v>
      </c>
      <c r="C667" s="16" t="s">
        <v>133</v>
      </c>
      <c r="D667" s="16" t="s">
        <v>96</v>
      </c>
      <c r="E667" s="16" t="s">
        <v>729</v>
      </c>
      <c r="F667" s="16" t="s">
        <v>738</v>
      </c>
      <c r="G667" s="16" t="s">
        <v>739</v>
      </c>
      <c r="H667" s="17" t="s">
        <v>2154</v>
      </c>
      <c r="I667" s="17" t="s">
        <v>2155</v>
      </c>
      <c r="J667" s="17"/>
    </row>
    <row r="668" customFormat="false" ht="15" hidden="false" customHeight="false" outlineLevel="0" collapsed="false">
      <c r="A668" s="16" t="n">
        <v>95</v>
      </c>
      <c r="B668" s="17" t="s">
        <v>669</v>
      </c>
      <c r="C668" s="16" t="s">
        <v>133</v>
      </c>
      <c r="D668" s="16" t="s">
        <v>96</v>
      </c>
      <c r="E668" s="16" t="s">
        <v>742</v>
      </c>
      <c r="F668" s="16" t="s">
        <v>743</v>
      </c>
      <c r="G668" s="16" t="s">
        <v>744</v>
      </c>
      <c r="H668" s="17" t="s">
        <v>2156</v>
      </c>
      <c r="I668" s="17" t="s">
        <v>2157</v>
      </c>
      <c r="J668" s="17"/>
    </row>
    <row r="669" customFormat="false" ht="23.85" hidden="false" customHeight="false" outlineLevel="0" collapsed="false">
      <c r="A669" s="19" t="n">
        <v>95</v>
      </c>
      <c r="B669" s="20" t="s">
        <v>669</v>
      </c>
      <c r="C669" s="19" t="s">
        <v>133</v>
      </c>
      <c r="D669" s="19" t="s">
        <v>96</v>
      </c>
      <c r="E669" s="19" t="s">
        <v>742</v>
      </c>
      <c r="F669" s="19" t="s">
        <v>747</v>
      </c>
      <c r="G669" s="19" t="s">
        <v>748</v>
      </c>
      <c r="H669" s="20" t="s">
        <v>2158</v>
      </c>
      <c r="I669" s="20" t="s">
        <v>2159</v>
      </c>
      <c r="J669" s="20"/>
    </row>
    <row r="670" customFormat="false" ht="35.05" hidden="false" customHeight="false" outlineLevel="0" collapsed="false">
      <c r="A670" s="21" t="n">
        <v>96</v>
      </c>
      <c r="B670" s="22" t="s">
        <v>673</v>
      </c>
      <c r="C670" s="21" t="s">
        <v>133</v>
      </c>
      <c r="D670" s="21" t="s">
        <v>96</v>
      </c>
      <c r="E670" s="21" t="s">
        <v>719</v>
      </c>
      <c r="F670" s="21" t="s">
        <v>720</v>
      </c>
      <c r="G670" s="21" t="s">
        <v>721</v>
      </c>
      <c r="H670" s="23" t="s">
        <v>2160</v>
      </c>
      <c r="I670" s="22" t="s">
        <v>2161</v>
      </c>
      <c r="J670" s="22" t="s">
        <v>2162</v>
      </c>
    </row>
    <row r="671" customFormat="false" ht="23.85" hidden="false" customHeight="false" outlineLevel="0" collapsed="false">
      <c r="A671" s="21" t="n">
        <v>96</v>
      </c>
      <c r="B671" s="22" t="s">
        <v>673</v>
      </c>
      <c r="C671" s="21" t="s">
        <v>133</v>
      </c>
      <c r="D671" s="21" t="s">
        <v>96</v>
      </c>
      <c r="E671" s="21" t="s">
        <v>719</v>
      </c>
      <c r="F671" s="21" t="s">
        <v>725</v>
      </c>
      <c r="G671" s="21" t="s">
        <v>726</v>
      </c>
      <c r="H671" s="22" t="s">
        <v>2163</v>
      </c>
      <c r="I671" s="22" t="s">
        <v>2164</v>
      </c>
      <c r="J671" s="22"/>
    </row>
    <row r="672" customFormat="false" ht="15" hidden="false" customHeight="false" outlineLevel="0" collapsed="false">
      <c r="A672" s="21" t="n">
        <v>96</v>
      </c>
      <c r="B672" s="22" t="s">
        <v>673</v>
      </c>
      <c r="C672" s="21" t="s">
        <v>133</v>
      </c>
      <c r="D672" s="21" t="s">
        <v>96</v>
      </c>
      <c r="E672" s="21" t="s">
        <v>729</v>
      </c>
      <c r="F672" s="21" t="s">
        <v>730</v>
      </c>
      <c r="G672" s="21" t="s">
        <v>731</v>
      </c>
      <c r="H672" s="22" t="s">
        <v>2165</v>
      </c>
      <c r="I672" s="22" t="s">
        <v>2166</v>
      </c>
      <c r="J672" s="22"/>
    </row>
    <row r="673" customFormat="false" ht="15" hidden="false" customHeight="false" outlineLevel="0" collapsed="false">
      <c r="A673" s="21" t="n">
        <v>96</v>
      </c>
      <c r="B673" s="22" t="s">
        <v>673</v>
      </c>
      <c r="C673" s="21" t="s">
        <v>133</v>
      </c>
      <c r="D673" s="21" t="s">
        <v>96</v>
      </c>
      <c r="E673" s="21" t="s">
        <v>729</v>
      </c>
      <c r="F673" s="21" t="s">
        <v>734</v>
      </c>
      <c r="G673" s="21" t="s">
        <v>735</v>
      </c>
      <c r="H673" s="22" t="s">
        <v>2167</v>
      </c>
      <c r="I673" s="22" t="s">
        <v>2168</v>
      </c>
      <c r="J673" s="22"/>
    </row>
    <row r="674" customFormat="false" ht="15" hidden="false" customHeight="false" outlineLevel="0" collapsed="false">
      <c r="A674" s="21" t="n">
        <v>96</v>
      </c>
      <c r="B674" s="22" t="s">
        <v>673</v>
      </c>
      <c r="C674" s="21" t="s">
        <v>133</v>
      </c>
      <c r="D674" s="21" t="s">
        <v>96</v>
      </c>
      <c r="E674" s="21" t="s">
        <v>729</v>
      </c>
      <c r="F674" s="21" t="s">
        <v>738</v>
      </c>
      <c r="G674" s="21" t="s">
        <v>739</v>
      </c>
      <c r="H674" s="22" t="s">
        <v>2169</v>
      </c>
      <c r="I674" s="22" t="s">
        <v>2170</v>
      </c>
      <c r="J674" s="22"/>
    </row>
    <row r="675" customFormat="false" ht="15" hidden="false" customHeight="false" outlineLevel="0" collapsed="false">
      <c r="A675" s="21" t="n">
        <v>96</v>
      </c>
      <c r="B675" s="22" t="s">
        <v>673</v>
      </c>
      <c r="C675" s="21" t="s">
        <v>133</v>
      </c>
      <c r="D675" s="21" t="s">
        <v>96</v>
      </c>
      <c r="E675" s="21" t="s">
        <v>742</v>
      </c>
      <c r="F675" s="21" t="s">
        <v>743</v>
      </c>
      <c r="G675" s="21" t="s">
        <v>744</v>
      </c>
      <c r="H675" s="22" t="s">
        <v>2171</v>
      </c>
      <c r="I675" s="22" t="s">
        <v>2172</v>
      </c>
      <c r="J675" s="22"/>
    </row>
    <row r="676" customFormat="false" ht="23.85" hidden="false" customHeight="false" outlineLevel="0" collapsed="false">
      <c r="A676" s="24" t="n">
        <v>96</v>
      </c>
      <c r="B676" s="25" t="s">
        <v>673</v>
      </c>
      <c r="C676" s="24" t="s">
        <v>133</v>
      </c>
      <c r="D676" s="24" t="s">
        <v>96</v>
      </c>
      <c r="E676" s="24" t="s">
        <v>742</v>
      </c>
      <c r="F676" s="24" t="s">
        <v>747</v>
      </c>
      <c r="G676" s="24" t="s">
        <v>748</v>
      </c>
      <c r="H676" s="25" t="s">
        <v>2173</v>
      </c>
      <c r="I676" s="25" t="s">
        <v>2174</v>
      </c>
      <c r="J676" s="25"/>
    </row>
    <row r="677" customFormat="false" ht="23.85" hidden="false" customHeight="false" outlineLevel="0" collapsed="false">
      <c r="A677" s="16" t="n">
        <v>97</v>
      </c>
      <c r="B677" s="17" t="s">
        <v>677</v>
      </c>
      <c r="C677" s="16" t="s">
        <v>133</v>
      </c>
      <c r="D677" s="16" t="s">
        <v>105</v>
      </c>
      <c r="E677" s="16" t="s">
        <v>719</v>
      </c>
      <c r="F677" s="16" t="s">
        <v>720</v>
      </c>
      <c r="G677" s="16" t="s">
        <v>721</v>
      </c>
      <c r="H677" s="18" t="s">
        <v>2175</v>
      </c>
      <c r="I677" s="17" t="s">
        <v>2176</v>
      </c>
      <c r="J677" s="17" t="s">
        <v>2177</v>
      </c>
    </row>
    <row r="678" customFormat="false" ht="15" hidden="false" customHeight="false" outlineLevel="0" collapsed="false">
      <c r="A678" s="16" t="n">
        <v>97</v>
      </c>
      <c r="B678" s="17" t="s">
        <v>677</v>
      </c>
      <c r="C678" s="16" t="s">
        <v>133</v>
      </c>
      <c r="D678" s="16" t="s">
        <v>105</v>
      </c>
      <c r="E678" s="16" t="s">
        <v>719</v>
      </c>
      <c r="F678" s="16" t="s">
        <v>725</v>
      </c>
      <c r="G678" s="16" t="s">
        <v>726</v>
      </c>
      <c r="H678" s="17" t="s">
        <v>2178</v>
      </c>
      <c r="I678" s="17" t="s">
        <v>2179</v>
      </c>
      <c r="J678" s="17"/>
    </row>
    <row r="679" customFormat="false" ht="15" hidden="false" customHeight="false" outlineLevel="0" collapsed="false">
      <c r="A679" s="16" t="n">
        <v>97</v>
      </c>
      <c r="B679" s="17" t="s">
        <v>677</v>
      </c>
      <c r="C679" s="16" t="s">
        <v>133</v>
      </c>
      <c r="D679" s="16" t="s">
        <v>105</v>
      </c>
      <c r="E679" s="16" t="s">
        <v>729</v>
      </c>
      <c r="F679" s="16" t="s">
        <v>730</v>
      </c>
      <c r="G679" s="16" t="s">
        <v>731</v>
      </c>
      <c r="H679" s="17" t="s">
        <v>2180</v>
      </c>
      <c r="I679" s="17" t="s">
        <v>2181</v>
      </c>
      <c r="J679" s="17"/>
    </row>
    <row r="680" customFormat="false" ht="15" hidden="false" customHeight="false" outlineLevel="0" collapsed="false">
      <c r="A680" s="16" t="n">
        <v>97</v>
      </c>
      <c r="B680" s="17" t="s">
        <v>677</v>
      </c>
      <c r="C680" s="16" t="s">
        <v>133</v>
      </c>
      <c r="D680" s="16" t="s">
        <v>105</v>
      </c>
      <c r="E680" s="16" t="s">
        <v>729</v>
      </c>
      <c r="F680" s="16" t="s">
        <v>734</v>
      </c>
      <c r="G680" s="16" t="s">
        <v>735</v>
      </c>
      <c r="H680" s="17" t="s">
        <v>2182</v>
      </c>
      <c r="I680" s="17" t="s">
        <v>2183</v>
      </c>
      <c r="J680" s="17"/>
    </row>
    <row r="681" customFormat="false" ht="15" hidden="false" customHeight="false" outlineLevel="0" collapsed="false">
      <c r="A681" s="16" t="n">
        <v>97</v>
      </c>
      <c r="B681" s="17" t="s">
        <v>677</v>
      </c>
      <c r="C681" s="16" t="s">
        <v>133</v>
      </c>
      <c r="D681" s="16" t="s">
        <v>105</v>
      </c>
      <c r="E681" s="16" t="s">
        <v>729</v>
      </c>
      <c r="F681" s="16" t="s">
        <v>738</v>
      </c>
      <c r="G681" s="16" t="s">
        <v>739</v>
      </c>
      <c r="H681" s="17" t="s">
        <v>2184</v>
      </c>
      <c r="I681" s="17" t="s">
        <v>2185</v>
      </c>
      <c r="J681" s="17"/>
    </row>
    <row r="682" customFormat="false" ht="15" hidden="false" customHeight="false" outlineLevel="0" collapsed="false">
      <c r="A682" s="16" t="n">
        <v>97</v>
      </c>
      <c r="B682" s="17" t="s">
        <v>677</v>
      </c>
      <c r="C682" s="16" t="s">
        <v>133</v>
      </c>
      <c r="D682" s="16" t="s">
        <v>105</v>
      </c>
      <c r="E682" s="16" t="s">
        <v>742</v>
      </c>
      <c r="F682" s="16" t="s">
        <v>743</v>
      </c>
      <c r="G682" s="16" t="s">
        <v>744</v>
      </c>
      <c r="H682" s="17" t="s">
        <v>2186</v>
      </c>
      <c r="I682" s="17" t="s">
        <v>2187</v>
      </c>
      <c r="J682" s="17"/>
    </row>
    <row r="683" customFormat="false" ht="23.85" hidden="false" customHeight="false" outlineLevel="0" collapsed="false">
      <c r="A683" s="19" t="n">
        <v>97</v>
      </c>
      <c r="B683" s="20" t="s">
        <v>677</v>
      </c>
      <c r="C683" s="19" t="s">
        <v>133</v>
      </c>
      <c r="D683" s="19" t="s">
        <v>105</v>
      </c>
      <c r="E683" s="19" t="s">
        <v>742</v>
      </c>
      <c r="F683" s="19" t="s">
        <v>747</v>
      </c>
      <c r="G683" s="19" t="s">
        <v>748</v>
      </c>
      <c r="H683" s="20" t="s">
        <v>2188</v>
      </c>
      <c r="I683" s="20" t="s">
        <v>2189</v>
      </c>
      <c r="J683" s="20"/>
    </row>
    <row r="684" customFormat="false" ht="23.85" hidden="false" customHeight="false" outlineLevel="0" collapsed="false">
      <c r="A684" s="21" t="n">
        <v>98</v>
      </c>
      <c r="B684" s="22" t="s">
        <v>681</v>
      </c>
      <c r="C684" s="21" t="s">
        <v>133</v>
      </c>
      <c r="D684" s="21" t="s">
        <v>113</v>
      </c>
      <c r="E684" s="21" t="s">
        <v>719</v>
      </c>
      <c r="F684" s="21" t="s">
        <v>720</v>
      </c>
      <c r="G684" s="21" t="s">
        <v>721</v>
      </c>
      <c r="H684" s="23" t="s">
        <v>2190</v>
      </c>
      <c r="I684" s="22" t="s">
        <v>2191</v>
      </c>
      <c r="J684" s="22" t="s">
        <v>2192</v>
      </c>
    </row>
    <row r="685" customFormat="false" ht="15" hidden="false" customHeight="false" outlineLevel="0" collapsed="false">
      <c r="A685" s="21" t="n">
        <v>98</v>
      </c>
      <c r="B685" s="22" t="s">
        <v>681</v>
      </c>
      <c r="C685" s="21" t="s">
        <v>133</v>
      </c>
      <c r="D685" s="21" t="s">
        <v>113</v>
      </c>
      <c r="E685" s="21" t="s">
        <v>719</v>
      </c>
      <c r="F685" s="21" t="s">
        <v>725</v>
      </c>
      <c r="G685" s="21" t="s">
        <v>726</v>
      </c>
      <c r="H685" s="22" t="s">
        <v>2193</v>
      </c>
      <c r="I685" s="22" t="s">
        <v>2194</v>
      </c>
      <c r="J685" s="22"/>
    </row>
    <row r="686" customFormat="false" ht="15" hidden="false" customHeight="false" outlineLevel="0" collapsed="false">
      <c r="A686" s="21" t="n">
        <v>98</v>
      </c>
      <c r="B686" s="22" t="s">
        <v>681</v>
      </c>
      <c r="C686" s="21" t="s">
        <v>133</v>
      </c>
      <c r="D686" s="21" t="s">
        <v>113</v>
      </c>
      <c r="E686" s="21" t="s">
        <v>729</v>
      </c>
      <c r="F686" s="21" t="s">
        <v>730</v>
      </c>
      <c r="G686" s="21" t="s">
        <v>731</v>
      </c>
      <c r="H686" s="22" t="s">
        <v>2195</v>
      </c>
      <c r="I686" s="22" t="s">
        <v>2196</v>
      </c>
      <c r="J686" s="22"/>
    </row>
    <row r="687" customFormat="false" ht="15" hidden="false" customHeight="false" outlineLevel="0" collapsed="false">
      <c r="A687" s="21" t="n">
        <v>98</v>
      </c>
      <c r="B687" s="22" t="s">
        <v>681</v>
      </c>
      <c r="C687" s="21" t="s">
        <v>133</v>
      </c>
      <c r="D687" s="21" t="s">
        <v>113</v>
      </c>
      <c r="E687" s="21" t="s">
        <v>729</v>
      </c>
      <c r="F687" s="21" t="s">
        <v>734</v>
      </c>
      <c r="G687" s="21" t="s">
        <v>735</v>
      </c>
      <c r="H687" s="22" t="s">
        <v>2197</v>
      </c>
      <c r="I687" s="22" t="s">
        <v>2198</v>
      </c>
      <c r="J687" s="22"/>
    </row>
    <row r="688" customFormat="false" ht="15" hidden="false" customHeight="false" outlineLevel="0" collapsed="false">
      <c r="A688" s="21" t="n">
        <v>98</v>
      </c>
      <c r="B688" s="22" t="s">
        <v>681</v>
      </c>
      <c r="C688" s="21" t="s">
        <v>133</v>
      </c>
      <c r="D688" s="21" t="s">
        <v>113</v>
      </c>
      <c r="E688" s="21" t="s">
        <v>729</v>
      </c>
      <c r="F688" s="21" t="s">
        <v>738</v>
      </c>
      <c r="G688" s="21" t="s">
        <v>739</v>
      </c>
      <c r="H688" s="22" t="s">
        <v>2199</v>
      </c>
      <c r="I688" s="22" t="s">
        <v>2200</v>
      </c>
      <c r="J688" s="22"/>
    </row>
    <row r="689" customFormat="false" ht="15" hidden="false" customHeight="false" outlineLevel="0" collapsed="false">
      <c r="A689" s="21" t="n">
        <v>98</v>
      </c>
      <c r="B689" s="22" t="s">
        <v>681</v>
      </c>
      <c r="C689" s="21" t="s">
        <v>133</v>
      </c>
      <c r="D689" s="21" t="s">
        <v>113</v>
      </c>
      <c r="E689" s="21" t="s">
        <v>742</v>
      </c>
      <c r="F689" s="21" t="s">
        <v>743</v>
      </c>
      <c r="G689" s="21" t="s">
        <v>744</v>
      </c>
      <c r="H689" s="22" t="s">
        <v>2201</v>
      </c>
      <c r="I689" s="22" t="s">
        <v>2202</v>
      </c>
      <c r="J689" s="22"/>
    </row>
    <row r="690" customFormat="false" ht="23.85" hidden="false" customHeight="false" outlineLevel="0" collapsed="false">
      <c r="A690" s="24" t="n">
        <v>98</v>
      </c>
      <c r="B690" s="25" t="s">
        <v>681</v>
      </c>
      <c r="C690" s="24" t="s">
        <v>133</v>
      </c>
      <c r="D690" s="24" t="s">
        <v>113</v>
      </c>
      <c r="E690" s="24" t="s">
        <v>742</v>
      </c>
      <c r="F690" s="24" t="s">
        <v>747</v>
      </c>
      <c r="G690" s="24" t="s">
        <v>748</v>
      </c>
      <c r="H690" s="25" t="s">
        <v>2203</v>
      </c>
      <c r="I690" s="25" t="s">
        <v>2204</v>
      </c>
      <c r="J690" s="25"/>
    </row>
    <row r="691" customFormat="false" ht="23.85" hidden="false" customHeight="false" outlineLevel="0" collapsed="false">
      <c r="A691" s="16" t="n">
        <v>99</v>
      </c>
      <c r="B691" s="17" t="s">
        <v>685</v>
      </c>
      <c r="C691" s="16" t="s">
        <v>133</v>
      </c>
      <c r="D691" s="16" t="s">
        <v>96</v>
      </c>
      <c r="E691" s="16" t="s">
        <v>719</v>
      </c>
      <c r="F691" s="16" t="s">
        <v>720</v>
      </c>
      <c r="G691" s="16" t="s">
        <v>721</v>
      </c>
      <c r="H691" s="18" t="s">
        <v>2205</v>
      </c>
      <c r="I691" s="17" t="s">
        <v>2206</v>
      </c>
      <c r="J691" s="17" t="s">
        <v>2207</v>
      </c>
    </row>
    <row r="692" customFormat="false" ht="23.85" hidden="false" customHeight="false" outlineLevel="0" collapsed="false">
      <c r="A692" s="16" t="n">
        <v>99</v>
      </c>
      <c r="B692" s="17" t="s">
        <v>685</v>
      </c>
      <c r="C692" s="16" t="s">
        <v>133</v>
      </c>
      <c r="D692" s="16" t="s">
        <v>96</v>
      </c>
      <c r="E692" s="16" t="s">
        <v>719</v>
      </c>
      <c r="F692" s="16" t="s">
        <v>725</v>
      </c>
      <c r="G692" s="16" t="s">
        <v>726</v>
      </c>
      <c r="H692" s="17" t="s">
        <v>2208</v>
      </c>
      <c r="I692" s="17" t="s">
        <v>2209</v>
      </c>
      <c r="J692" s="17"/>
    </row>
    <row r="693" customFormat="false" ht="15" hidden="false" customHeight="false" outlineLevel="0" collapsed="false">
      <c r="A693" s="16" t="n">
        <v>99</v>
      </c>
      <c r="B693" s="17" t="s">
        <v>685</v>
      </c>
      <c r="C693" s="16" t="s">
        <v>133</v>
      </c>
      <c r="D693" s="16" t="s">
        <v>96</v>
      </c>
      <c r="E693" s="16" t="s">
        <v>729</v>
      </c>
      <c r="F693" s="16" t="s">
        <v>730</v>
      </c>
      <c r="G693" s="16" t="s">
        <v>731</v>
      </c>
      <c r="H693" s="17" t="s">
        <v>2210</v>
      </c>
      <c r="I693" s="17" t="s">
        <v>2211</v>
      </c>
      <c r="J693" s="17"/>
    </row>
    <row r="694" customFormat="false" ht="15" hidden="false" customHeight="false" outlineLevel="0" collapsed="false">
      <c r="A694" s="16" t="n">
        <v>99</v>
      </c>
      <c r="B694" s="17" t="s">
        <v>685</v>
      </c>
      <c r="C694" s="16" t="s">
        <v>133</v>
      </c>
      <c r="D694" s="16" t="s">
        <v>96</v>
      </c>
      <c r="E694" s="16" t="s">
        <v>729</v>
      </c>
      <c r="F694" s="16" t="s">
        <v>734</v>
      </c>
      <c r="G694" s="16" t="s">
        <v>735</v>
      </c>
      <c r="H694" s="17" t="s">
        <v>2212</v>
      </c>
      <c r="I694" s="17" t="s">
        <v>2213</v>
      </c>
      <c r="J694" s="17"/>
    </row>
    <row r="695" customFormat="false" ht="15" hidden="false" customHeight="false" outlineLevel="0" collapsed="false">
      <c r="A695" s="16" t="n">
        <v>99</v>
      </c>
      <c r="B695" s="17" t="s">
        <v>685</v>
      </c>
      <c r="C695" s="16" t="s">
        <v>133</v>
      </c>
      <c r="D695" s="16" t="s">
        <v>96</v>
      </c>
      <c r="E695" s="16" t="s">
        <v>729</v>
      </c>
      <c r="F695" s="16" t="s">
        <v>738</v>
      </c>
      <c r="G695" s="16" t="s">
        <v>739</v>
      </c>
      <c r="H695" s="17" t="s">
        <v>2214</v>
      </c>
      <c r="I695" s="17" t="s">
        <v>2215</v>
      </c>
      <c r="J695" s="17"/>
    </row>
    <row r="696" customFormat="false" ht="15" hidden="false" customHeight="false" outlineLevel="0" collapsed="false">
      <c r="A696" s="16" t="n">
        <v>99</v>
      </c>
      <c r="B696" s="17" t="s">
        <v>685</v>
      </c>
      <c r="C696" s="16" t="s">
        <v>133</v>
      </c>
      <c r="D696" s="16" t="s">
        <v>96</v>
      </c>
      <c r="E696" s="16" t="s">
        <v>742</v>
      </c>
      <c r="F696" s="16" t="s">
        <v>743</v>
      </c>
      <c r="G696" s="16" t="s">
        <v>744</v>
      </c>
      <c r="H696" s="17" t="s">
        <v>2216</v>
      </c>
      <c r="I696" s="17" t="s">
        <v>2217</v>
      </c>
      <c r="J696" s="17"/>
    </row>
    <row r="697" customFormat="false" ht="23.85" hidden="false" customHeight="false" outlineLevel="0" collapsed="false">
      <c r="A697" s="19" t="n">
        <v>99</v>
      </c>
      <c r="B697" s="20" t="s">
        <v>685</v>
      </c>
      <c r="C697" s="19" t="s">
        <v>133</v>
      </c>
      <c r="D697" s="19" t="s">
        <v>96</v>
      </c>
      <c r="E697" s="19" t="s">
        <v>742</v>
      </c>
      <c r="F697" s="19" t="s">
        <v>747</v>
      </c>
      <c r="G697" s="19" t="s">
        <v>748</v>
      </c>
      <c r="H697" s="20" t="s">
        <v>2218</v>
      </c>
      <c r="I697" s="20" t="s">
        <v>2219</v>
      </c>
      <c r="J697" s="20"/>
    </row>
    <row r="698" customFormat="false" ht="15" hidden="false" customHeight="false" outlineLevel="0" collapsed="false">
      <c r="A698" s="21" t="n">
        <v>100</v>
      </c>
      <c r="B698" s="22" t="s">
        <v>689</v>
      </c>
      <c r="C698" s="21" t="s">
        <v>133</v>
      </c>
      <c r="D698" s="21" t="s">
        <v>317</v>
      </c>
      <c r="E698" s="21" t="s">
        <v>719</v>
      </c>
      <c r="F698" s="21" t="s">
        <v>720</v>
      </c>
      <c r="G698" s="21" t="s">
        <v>721</v>
      </c>
      <c r="H698" s="23" t="s">
        <v>2220</v>
      </c>
      <c r="I698" s="22" t="s">
        <v>2221</v>
      </c>
      <c r="J698" s="22" t="s">
        <v>2222</v>
      </c>
    </row>
    <row r="699" customFormat="false" ht="23.85" hidden="false" customHeight="false" outlineLevel="0" collapsed="false">
      <c r="A699" s="21" t="n">
        <v>100</v>
      </c>
      <c r="B699" s="22" t="s">
        <v>689</v>
      </c>
      <c r="C699" s="21" t="s">
        <v>133</v>
      </c>
      <c r="D699" s="21" t="s">
        <v>317</v>
      </c>
      <c r="E699" s="21" t="s">
        <v>719</v>
      </c>
      <c r="F699" s="21" t="s">
        <v>725</v>
      </c>
      <c r="G699" s="21" t="s">
        <v>726</v>
      </c>
      <c r="H699" s="22" t="s">
        <v>2223</v>
      </c>
      <c r="I699" s="22" t="s">
        <v>2224</v>
      </c>
      <c r="J699" s="22"/>
    </row>
    <row r="700" customFormat="false" ht="15" hidden="false" customHeight="false" outlineLevel="0" collapsed="false">
      <c r="A700" s="21" t="n">
        <v>100</v>
      </c>
      <c r="B700" s="22" t="s">
        <v>689</v>
      </c>
      <c r="C700" s="21" t="s">
        <v>133</v>
      </c>
      <c r="D700" s="21" t="s">
        <v>317</v>
      </c>
      <c r="E700" s="21" t="s">
        <v>729</v>
      </c>
      <c r="F700" s="21" t="s">
        <v>730</v>
      </c>
      <c r="G700" s="21" t="s">
        <v>731</v>
      </c>
      <c r="H700" s="22" t="s">
        <v>2225</v>
      </c>
      <c r="I700" s="22" t="s">
        <v>2226</v>
      </c>
      <c r="J700" s="22"/>
    </row>
    <row r="701" customFormat="false" ht="15" hidden="false" customHeight="false" outlineLevel="0" collapsed="false">
      <c r="A701" s="21" t="n">
        <v>100</v>
      </c>
      <c r="B701" s="22" t="s">
        <v>689</v>
      </c>
      <c r="C701" s="21" t="s">
        <v>133</v>
      </c>
      <c r="D701" s="21" t="s">
        <v>317</v>
      </c>
      <c r="E701" s="21" t="s">
        <v>729</v>
      </c>
      <c r="F701" s="21" t="s">
        <v>734</v>
      </c>
      <c r="G701" s="21" t="s">
        <v>735</v>
      </c>
      <c r="H701" s="22" t="s">
        <v>2227</v>
      </c>
      <c r="I701" s="22" t="s">
        <v>2228</v>
      </c>
      <c r="J701" s="22"/>
    </row>
    <row r="702" customFormat="false" ht="15" hidden="false" customHeight="false" outlineLevel="0" collapsed="false">
      <c r="A702" s="21" t="n">
        <v>100</v>
      </c>
      <c r="B702" s="22" t="s">
        <v>689</v>
      </c>
      <c r="C702" s="21" t="s">
        <v>133</v>
      </c>
      <c r="D702" s="21" t="s">
        <v>317</v>
      </c>
      <c r="E702" s="21" t="s">
        <v>729</v>
      </c>
      <c r="F702" s="21" t="s">
        <v>738</v>
      </c>
      <c r="G702" s="21" t="s">
        <v>739</v>
      </c>
      <c r="H702" s="22" t="s">
        <v>2229</v>
      </c>
      <c r="I702" s="22" t="s">
        <v>2230</v>
      </c>
      <c r="J702" s="22"/>
    </row>
    <row r="703" customFormat="false" ht="15" hidden="false" customHeight="false" outlineLevel="0" collapsed="false">
      <c r="A703" s="21" t="n">
        <v>100</v>
      </c>
      <c r="B703" s="22" t="s">
        <v>689</v>
      </c>
      <c r="C703" s="21" t="s">
        <v>133</v>
      </c>
      <c r="D703" s="21" t="s">
        <v>317</v>
      </c>
      <c r="E703" s="21" t="s">
        <v>742</v>
      </c>
      <c r="F703" s="21" t="s">
        <v>743</v>
      </c>
      <c r="G703" s="21" t="s">
        <v>744</v>
      </c>
      <c r="H703" s="22" t="s">
        <v>2231</v>
      </c>
      <c r="I703" s="22" t="s">
        <v>2232</v>
      </c>
      <c r="J703" s="22"/>
    </row>
    <row r="704" customFormat="false" ht="23.85" hidden="false" customHeight="false" outlineLevel="0" collapsed="false">
      <c r="A704" s="24" t="n">
        <v>100</v>
      </c>
      <c r="B704" s="25" t="s">
        <v>689</v>
      </c>
      <c r="C704" s="24" t="s">
        <v>133</v>
      </c>
      <c r="D704" s="24" t="s">
        <v>317</v>
      </c>
      <c r="E704" s="24" t="s">
        <v>742</v>
      </c>
      <c r="F704" s="24" t="s">
        <v>747</v>
      </c>
      <c r="G704" s="24" t="s">
        <v>748</v>
      </c>
      <c r="H704" s="25" t="s">
        <v>2233</v>
      </c>
      <c r="I704" s="25" t="s">
        <v>1575</v>
      </c>
      <c r="J704" s="25"/>
    </row>
    <row r="705" customFormat="false" ht="35.05" hidden="false" customHeight="false" outlineLevel="0" collapsed="false">
      <c r="A705" s="16" t="n">
        <v>101</v>
      </c>
      <c r="B705" s="17" t="s">
        <v>693</v>
      </c>
      <c r="C705" s="16" t="s">
        <v>90</v>
      </c>
      <c r="D705" s="16" t="s">
        <v>72</v>
      </c>
      <c r="E705" s="16" t="s">
        <v>719</v>
      </c>
      <c r="F705" s="16" t="s">
        <v>720</v>
      </c>
      <c r="G705" s="16" t="s">
        <v>721</v>
      </c>
      <c r="H705" s="18" t="s">
        <v>2234</v>
      </c>
      <c r="I705" s="17" t="s">
        <v>2235</v>
      </c>
      <c r="J705" s="17" t="s">
        <v>2236</v>
      </c>
    </row>
    <row r="706" customFormat="false" ht="15" hidden="false" customHeight="false" outlineLevel="0" collapsed="false">
      <c r="A706" s="16" t="n">
        <v>101</v>
      </c>
      <c r="B706" s="17" t="s">
        <v>693</v>
      </c>
      <c r="C706" s="16" t="s">
        <v>90</v>
      </c>
      <c r="D706" s="16" t="s">
        <v>72</v>
      </c>
      <c r="E706" s="16" t="s">
        <v>719</v>
      </c>
      <c r="F706" s="16" t="s">
        <v>725</v>
      </c>
      <c r="G706" s="16" t="s">
        <v>726</v>
      </c>
      <c r="H706" s="17" t="s">
        <v>2237</v>
      </c>
      <c r="I706" s="17" t="s">
        <v>2238</v>
      </c>
      <c r="J706" s="17"/>
    </row>
    <row r="707" customFormat="false" ht="15" hidden="false" customHeight="false" outlineLevel="0" collapsed="false">
      <c r="A707" s="16" t="n">
        <v>101</v>
      </c>
      <c r="B707" s="17" t="s">
        <v>693</v>
      </c>
      <c r="C707" s="16" t="s">
        <v>90</v>
      </c>
      <c r="D707" s="16" t="s">
        <v>72</v>
      </c>
      <c r="E707" s="16" t="s">
        <v>729</v>
      </c>
      <c r="F707" s="16" t="s">
        <v>730</v>
      </c>
      <c r="G707" s="16" t="s">
        <v>731</v>
      </c>
      <c r="H707" s="17" t="s">
        <v>2239</v>
      </c>
      <c r="I707" s="17" t="s">
        <v>2240</v>
      </c>
      <c r="J707" s="17"/>
    </row>
    <row r="708" customFormat="false" ht="23.85" hidden="false" customHeight="false" outlineLevel="0" collapsed="false">
      <c r="A708" s="16" t="n">
        <v>101</v>
      </c>
      <c r="B708" s="17" t="s">
        <v>693</v>
      </c>
      <c r="C708" s="16" t="s">
        <v>90</v>
      </c>
      <c r="D708" s="16" t="s">
        <v>72</v>
      </c>
      <c r="E708" s="16" t="s">
        <v>729</v>
      </c>
      <c r="F708" s="16" t="s">
        <v>734</v>
      </c>
      <c r="G708" s="16" t="s">
        <v>735</v>
      </c>
      <c r="H708" s="17" t="s">
        <v>2241</v>
      </c>
      <c r="I708" s="17" t="s">
        <v>2242</v>
      </c>
      <c r="J708" s="17"/>
    </row>
    <row r="709" customFormat="false" ht="15" hidden="false" customHeight="false" outlineLevel="0" collapsed="false">
      <c r="A709" s="16" t="n">
        <v>101</v>
      </c>
      <c r="B709" s="17" t="s">
        <v>693</v>
      </c>
      <c r="C709" s="16" t="s">
        <v>90</v>
      </c>
      <c r="D709" s="16" t="s">
        <v>72</v>
      </c>
      <c r="E709" s="16" t="s">
        <v>729</v>
      </c>
      <c r="F709" s="16" t="s">
        <v>738</v>
      </c>
      <c r="G709" s="16" t="s">
        <v>739</v>
      </c>
      <c r="H709" s="17" t="s">
        <v>2243</v>
      </c>
      <c r="I709" s="17" t="s">
        <v>2244</v>
      </c>
      <c r="J709" s="17"/>
    </row>
    <row r="710" customFormat="false" ht="15" hidden="false" customHeight="false" outlineLevel="0" collapsed="false">
      <c r="A710" s="16" t="n">
        <v>101</v>
      </c>
      <c r="B710" s="17" t="s">
        <v>693</v>
      </c>
      <c r="C710" s="16" t="s">
        <v>90</v>
      </c>
      <c r="D710" s="16" t="s">
        <v>72</v>
      </c>
      <c r="E710" s="16" t="s">
        <v>742</v>
      </c>
      <c r="F710" s="16" t="s">
        <v>743</v>
      </c>
      <c r="G710" s="16" t="s">
        <v>744</v>
      </c>
      <c r="H710" s="17" t="s">
        <v>2245</v>
      </c>
      <c r="I710" s="17" t="s">
        <v>2246</v>
      </c>
      <c r="J710" s="17"/>
    </row>
    <row r="711" customFormat="false" ht="23.85" hidden="false" customHeight="false" outlineLevel="0" collapsed="false">
      <c r="A711" s="19" t="n">
        <v>101</v>
      </c>
      <c r="B711" s="20" t="s">
        <v>693</v>
      </c>
      <c r="C711" s="19" t="s">
        <v>90</v>
      </c>
      <c r="D711" s="19" t="s">
        <v>72</v>
      </c>
      <c r="E711" s="19" t="s">
        <v>742</v>
      </c>
      <c r="F711" s="19" t="s">
        <v>747</v>
      </c>
      <c r="G711" s="19" t="s">
        <v>748</v>
      </c>
      <c r="H711" s="20" t="s">
        <v>2247</v>
      </c>
      <c r="I711" s="20" t="s">
        <v>2248</v>
      </c>
      <c r="J711" s="20"/>
    </row>
    <row r="712" customFormat="false" ht="35.05" hidden="false" customHeight="false" outlineLevel="0" collapsed="false">
      <c r="A712" s="21" t="n">
        <v>102</v>
      </c>
      <c r="B712" s="22" t="s">
        <v>702</v>
      </c>
      <c r="C712" s="21" t="s">
        <v>90</v>
      </c>
      <c r="D712" s="21" t="s">
        <v>72</v>
      </c>
      <c r="E712" s="21" t="s">
        <v>719</v>
      </c>
      <c r="F712" s="21" t="s">
        <v>720</v>
      </c>
      <c r="G712" s="21" t="s">
        <v>721</v>
      </c>
      <c r="H712" s="23" t="s">
        <v>2249</v>
      </c>
      <c r="I712" s="22" t="s">
        <v>2250</v>
      </c>
      <c r="J712" s="22" t="s">
        <v>2251</v>
      </c>
    </row>
    <row r="713" customFormat="false" ht="35.05" hidden="false" customHeight="false" outlineLevel="0" collapsed="false">
      <c r="A713" s="21" t="n">
        <v>102</v>
      </c>
      <c r="B713" s="22" t="s">
        <v>702</v>
      </c>
      <c r="C713" s="21" t="s">
        <v>90</v>
      </c>
      <c r="D713" s="21" t="s">
        <v>72</v>
      </c>
      <c r="E713" s="21" t="s">
        <v>719</v>
      </c>
      <c r="F713" s="21" t="s">
        <v>725</v>
      </c>
      <c r="G713" s="21" t="s">
        <v>726</v>
      </c>
      <c r="H713" s="22" t="s">
        <v>2252</v>
      </c>
      <c r="I713" s="22" t="s">
        <v>2253</v>
      </c>
      <c r="J713" s="22"/>
    </row>
    <row r="714" customFormat="false" ht="35.05" hidden="false" customHeight="false" outlineLevel="0" collapsed="false">
      <c r="A714" s="21" t="n">
        <v>102</v>
      </c>
      <c r="B714" s="22" t="s">
        <v>702</v>
      </c>
      <c r="C714" s="21" t="s">
        <v>90</v>
      </c>
      <c r="D714" s="21" t="s">
        <v>72</v>
      </c>
      <c r="E714" s="21" t="s">
        <v>729</v>
      </c>
      <c r="F714" s="21" t="s">
        <v>730</v>
      </c>
      <c r="G714" s="21" t="s">
        <v>731</v>
      </c>
      <c r="H714" s="22" t="s">
        <v>2254</v>
      </c>
      <c r="I714" s="22" t="s">
        <v>2255</v>
      </c>
      <c r="J714" s="22"/>
    </row>
    <row r="715" customFormat="false" ht="35.05" hidden="false" customHeight="false" outlineLevel="0" collapsed="false">
      <c r="A715" s="21" t="n">
        <v>102</v>
      </c>
      <c r="B715" s="22" t="s">
        <v>702</v>
      </c>
      <c r="C715" s="21" t="s">
        <v>90</v>
      </c>
      <c r="D715" s="21" t="s">
        <v>72</v>
      </c>
      <c r="E715" s="21" t="s">
        <v>729</v>
      </c>
      <c r="F715" s="21" t="s">
        <v>734</v>
      </c>
      <c r="G715" s="21" t="s">
        <v>735</v>
      </c>
      <c r="H715" s="22" t="s">
        <v>2256</v>
      </c>
      <c r="I715" s="22" t="s">
        <v>2257</v>
      </c>
      <c r="J715" s="22"/>
    </row>
    <row r="716" customFormat="false" ht="35.05" hidden="false" customHeight="false" outlineLevel="0" collapsed="false">
      <c r="A716" s="21" t="n">
        <v>102</v>
      </c>
      <c r="B716" s="22" t="s">
        <v>702</v>
      </c>
      <c r="C716" s="21" t="s">
        <v>90</v>
      </c>
      <c r="D716" s="21" t="s">
        <v>72</v>
      </c>
      <c r="E716" s="21" t="s">
        <v>729</v>
      </c>
      <c r="F716" s="21" t="s">
        <v>738</v>
      </c>
      <c r="G716" s="21" t="s">
        <v>739</v>
      </c>
      <c r="H716" s="22" t="s">
        <v>2258</v>
      </c>
      <c r="I716" s="22" t="s">
        <v>2259</v>
      </c>
      <c r="J716" s="22"/>
    </row>
    <row r="717" customFormat="false" ht="35.05" hidden="false" customHeight="false" outlineLevel="0" collapsed="false">
      <c r="A717" s="21" t="n">
        <v>102</v>
      </c>
      <c r="B717" s="22" t="s">
        <v>702</v>
      </c>
      <c r="C717" s="21" t="s">
        <v>90</v>
      </c>
      <c r="D717" s="21" t="s">
        <v>72</v>
      </c>
      <c r="E717" s="21" t="s">
        <v>742</v>
      </c>
      <c r="F717" s="21" t="s">
        <v>743</v>
      </c>
      <c r="G717" s="21" t="s">
        <v>744</v>
      </c>
      <c r="H717" s="22" t="s">
        <v>2260</v>
      </c>
      <c r="I717" s="22" t="s">
        <v>2261</v>
      </c>
      <c r="J717" s="22"/>
    </row>
    <row r="718" customFormat="false" ht="35.05" hidden="false" customHeight="false" outlineLevel="0" collapsed="false">
      <c r="A718" s="24" t="n">
        <v>102</v>
      </c>
      <c r="B718" s="25" t="s">
        <v>702</v>
      </c>
      <c r="C718" s="24" t="s">
        <v>90</v>
      </c>
      <c r="D718" s="24" t="s">
        <v>72</v>
      </c>
      <c r="E718" s="24" t="s">
        <v>742</v>
      </c>
      <c r="F718" s="24" t="s">
        <v>747</v>
      </c>
      <c r="G718" s="24" t="s">
        <v>748</v>
      </c>
      <c r="H718" s="25" t="s">
        <v>2262</v>
      </c>
      <c r="I718" s="25" t="s">
        <v>2263</v>
      </c>
      <c r="J718" s="25"/>
    </row>
  </sheetData>
  <autoFilter ref="A4:J718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26"/>
    <col collapsed="false" customWidth="true" hidden="false" outlineLevel="0" max="7" min="7" style="0" width="11"/>
    <col collapsed="false" customWidth="true" hidden="false" outlineLevel="0" max="8" min="8" style="0" width="40"/>
    <col collapsed="false" customWidth="true" hidden="false" outlineLevel="0" max="10" min="9" style="0" width="10"/>
    <col collapsed="false" customWidth="true" hidden="false" outlineLevel="0" max="12" min="11" style="0" width="12"/>
    <col collapsed="false" customWidth="true" hidden="false" outlineLevel="0" max="14" min="13" style="0" width="10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3" t="s">
        <v>2264</v>
      </c>
    </row>
    <row r="2" customFormat="false" ht="15" hidden="false" customHeight="false" outlineLevel="0" collapsed="false">
      <c r="A2" s="26" t="s">
        <v>2265</v>
      </c>
    </row>
    <row r="4" customFormat="false" ht="39.55" hidden="false" customHeight="false" outlineLevel="0" collapsed="false">
      <c r="A4" s="5" t="s">
        <v>10</v>
      </c>
      <c r="B4" s="5" t="s">
        <v>2266</v>
      </c>
      <c r="C4" s="5" t="s">
        <v>2267</v>
      </c>
      <c r="D4" s="5" t="s">
        <v>17</v>
      </c>
      <c r="E4" s="5" t="s">
        <v>18</v>
      </c>
      <c r="F4" s="5" t="s">
        <v>20</v>
      </c>
      <c r="G4" s="5" t="s">
        <v>21</v>
      </c>
      <c r="H4" s="5" t="s">
        <v>25</v>
      </c>
      <c r="I4" s="5" t="s">
        <v>2268</v>
      </c>
      <c r="J4" s="5" t="s">
        <v>28</v>
      </c>
      <c r="K4" s="5" t="s">
        <v>29</v>
      </c>
      <c r="L4" s="5" t="s">
        <v>30</v>
      </c>
      <c r="M4" s="5" t="s">
        <v>31</v>
      </c>
      <c r="N4" s="5" t="s">
        <v>44</v>
      </c>
      <c r="O4" s="5" t="s">
        <v>49</v>
      </c>
    </row>
    <row r="5" customFormat="false" ht="15" hidden="false" customHeight="false" outlineLevel="0" collapsed="false">
      <c r="A5" s="27" t="n">
        <v>1</v>
      </c>
      <c r="B5" s="27" t="s">
        <v>2269</v>
      </c>
      <c r="C5" s="27" t="s">
        <v>2270</v>
      </c>
      <c r="D5" s="27" t="s">
        <v>110</v>
      </c>
      <c r="E5" s="27" t="n">
        <v>1</v>
      </c>
      <c r="F5" s="0" t="s">
        <v>2271</v>
      </c>
      <c r="H5" s="0" t="s">
        <v>2272</v>
      </c>
      <c r="L5" s="28" t="str">
        <f aca="false">IF(OR(K5="",N(I5)=0),"",K5/(I5*60))</f>
        <v/>
      </c>
    </row>
    <row r="6" customFormat="false" ht="15" hidden="false" customHeight="false" outlineLevel="0" collapsed="false">
      <c r="A6" s="27" t="n">
        <v>2</v>
      </c>
      <c r="B6" s="27" t="s">
        <v>58</v>
      </c>
      <c r="C6" s="27" t="s">
        <v>2273</v>
      </c>
      <c r="D6" s="27" t="s">
        <v>133</v>
      </c>
      <c r="E6" s="27" t="n">
        <v>2</v>
      </c>
      <c r="L6" s="28" t="str">
        <f aca="false">IF(OR(K6="",N(I6)=0),"",K6/(I6*60))</f>
        <v/>
      </c>
    </row>
    <row r="7" customFormat="false" ht="15" hidden="false" customHeight="false" outlineLevel="0" collapsed="false">
      <c r="A7" s="27" t="n">
        <v>3</v>
      </c>
      <c r="B7" s="27" t="s">
        <v>2274</v>
      </c>
      <c r="C7" s="27" t="s">
        <v>2275</v>
      </c>
      <c r="D7" s="27" t="s">
        <v>133</v>
      </c>
      <c r="E7" s="27" t="n">
        <v>3</v>
      </c>
      <c r="L7" s="28" t="str">
        <f aca="false">IF(OR(K7="",N(I7)=0),"",K7/(I7*60))</f>
        <v/>
      </c>
    </row>
    <row r="8" customFormat="false" ht="15" hidden="false" customHeight="false" outlineLevel="0" collapsed="false">
      <c r="A8" s="27" t="n">
        <v>4</v>
      </c>
      <c r="B8" s="27" t="s">
        <v>2276</v>
      </c>
      <c r="C8" s="27" t="s">
        <v>2277</v>
      </c>
      <c r="D8" s="27" t="s">
        <v>133</v>
      </c>
      <c r="E8" s="27" t="n">
        <v>4</v>
      </c>
      <c r="L8" s="28" t="str">
        <f aca="false">IF(OR(K8="",N(I8)=0),"",K8/(I8*60))</f>
        <v/>
      </c>
    </row>
    <row r="9" customFormat="false" ht="15" hidden="false" customHeight="false" outlineLevel="0" collapsed="false">
      <c r="A9" s="27" t="n">
        <v>5</v>
      </c>
      <c r="B9" s="27" t="s">
        <v>2278</v>
      </c>
      <c r="C9" s="27" t="s">
        <v>2279</v>
      </c>
      <c r="D9" s="27" t="s">
        <v>133</v>
      </c>
      <c r="E9" s="27" t="n">
        <v>5</v>
      </c>
      <c r="L9" s="28" t="str">
        <f aca="false">IF(OR(K9="",N(I9)=0),"",K9/(I9*60))</f>
        <v/>
      </c>
    </row>
    <row r="10" customFormat="false" ht="15" hidden="false" customHeight="false" outlineLevel="0" collapsed="false">
      <c r="A10" s="27" t="n">
        <v>6</v>
      </c>
      <c r="B10" s="27" t="s">
        <v>2280</v>
      </c>
      <c r="C10" s="27" t="s">
        <v>2281</v>
      </c>
      <c r="D10" s="27" t="s">
        <v>133</v>
      </c>
      <c r="E10" s="27" t="n">
        <v>6</v>
      </c>
      <c r="L10" s="28" t="str">
        <f aca="false">IF(OR(K10="",N(I10)=0),"",K10/(I10*60))</f>
        <v/>
      </c>
    </row>
    <row r="11" customFormat="false" ht="15" hidden="false" customHeight="false" outlineLevel="0" collapsed="false">
      <c r="A11" s="27" t="n">
        <v>7</v>
      </c>
      <c r="B11" s="27" t="s">
        <v>2282</v>
      </c>
      <c r="C11" s="27" t="s">
        <v>2283</v>
      </c>
      <c r="D11" s="27" t="s">
        <v>133</v>
      </c>
      <c r="E11" s="27" t="n">
        <v>7</v>
      </c>
      <c r="L11" s="28" t="str">
        <f aca="false">IF(OR(K11="",N(I11)=0),"",K11/(I11*60))</f>
        <v/>
      </c>
    </row>
    <row r="12" customFormat="false" ht="15" hidden="false" customHeight="false" outlineLevel="0" collapsed="false">
      <c r="A12" s="27" t="n">
        <v>8</v>
      </c>
      <c r="B12" s="27" t="s">
        <v>2284</v>
      </c>
      <c r="C12" s="27" t="s">
        <v>2285</v>
      </c>
      <c r="D12" s="27" t="s">
        <v>133</v>
      </c>
      <c r="E12" s="27" t="n">
        <v>8</v>
      </c>
      <c r="L12" s="28" t="str">
        <f aca="false">IF(OR(K12="",N(I12)=0),"",K12/(I12*60))</f>
        <v/>
      </c>
    </row>
  </sheetData>
  <dataValidations count="1">
    <dataValidation allowBlank="true" errorStyle="stop" operator="between" showDropDown="false" showErrorMessage="false" showInputMessage="false" sqref="D5:D200" type="list">
      <formula1>"Idea,Scripted,Scheduled,Published,Vetoed,Failed"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58"/>
    <col collapsed="false" customWidth="true" hidden="false" outlineLevel="0" max="5" min="5" style="0" width="14"/>
    <col collapsed="false" customWidth="true" hidden="false" outlineLevel="0" max="7" min="6" style="0" width="9"/>
  </cols>
  <sheetData>
    <row r="1" customFormat="false" ht="19.7" hidden="false" customHeight="false" outlineLevel="0" collapsed="false">
      <c r="A1" s="1" t="s">
        <v>2286</v>
      </c>
    </row>
    <row r="2" customFormat="false" ht="15" hidden="false" customHeight="false" outlineLevel="0" collapsed="false">
      <c r="A2" s="26" t="s">
        <v>2287</v>
      </c>
    </row>
    <row r="4" customFormat="false" ht="26.85" hidden="false" customHeight="false" outlineLevel="0" collapsed="false">
      <c r="A4" s="5" t="s">
        <v>2288</v>
      </c>
      <c r="B4" s="5" t="s">
        <v>2289</v>
      </c>
      <c r="C4" s="5" t="s">
        <v>2290</v>
      </c>
      <c r="D4" s="5" t="s">
        <v>2291</v>
      </c>
      <c r="E4" s="5" t="s">
        <v>2292</v>
      </c>
      <c r="F4" s="5" t="s">
        <v>2293</v>
      </c>
      <c r="G4" s="5" t="s">
        <v>2294</v>
      </c>
    </row>
    <row r="5" customFormat="false" ht="15" hidden="false" customHeight="false" outlineLevel="0" collapsed="false">
      <c r="A5" s="27" t="s">
        <v>71</v>
      </c>
      <c r="B5" s="27" t="s">
        <v>2295</v>
      </c>
      <c r="C5" s="27" t="s">
        <v>2296</v>
      </c>
      <c r="D5" s="27" t="s">
        <v>2297</v>
      </c>
      <c r="E5" s="27" t="n">
        <f aca="false">COUNTIF('Shorts ideas'!$AO$6:$AO$400,A5)</f>
        <v>3</v>
      </c>
      <c r="F5" s="29"/>
      <c r="G5" s="30"/>
    </row>
    <row r="6" customFormat="false" ht="15" hidden="false" customHeight="false" outlineLevel="0" collapsed="false">
      <c r="A6" s="27" t="s">
        <v>173</v>
      </c>
      <c r="B6" s="27" t="s">
        <v>2298</v>
      </c>
      <c r="C6" s="27" t="s">
        <v>173</v>
      </c>
      <c r="D6" s="27" t="s">
        <v>2299</v>
      </c>
      <c r="E6" s="27" t="n">
        <f aca="false">COUNTIF('Shorts ideas'!$AO$6:$AO$400,A6)</f>
        <v>6</v>
      </c>
      <c r="F6" s="31"/>
      <c r="G6" s="32"/>
    </row>
    <row r="7" customFormat="false" ht="15" hidden="false" customHeight="false" outlineLevel="0" collapsed="false">
      <c r="A7" s="27" t="s">
        <v>217</v>
      </c>
      <c r="B7" s="27" t="s">
        <v>2300</v>
      </c>
      <c r="C7" s="27" t="s">
        <v>2301</v>
      </c>
      <c r="D7" s="27" t="s">
        <v>2302</v>
      </c>
      <c r="E7" s="27" t="n">
        <f aca="false">COUNTIF('Shorts ideas'!$AO$6:$AO$400,A7)</f>
        <v>6</v>
      </c>
      <c r="F7" s="33"/>
      <c r="G7" s="34"/>
    </row>
    <row r="8" customFormat="false" ht="15" hidden="false" customHeight="false" outlineLevel="0" collapsed="false">
      <c r="A8" s="27" t="s">
        <v>139</v>
      </c>
      <c r="B8" s="27" t="s">
        <v>2303</v>
      </c>
      <c r="C8" s="27" t="s">
        <v>2304</v>
      </c>
      <c r="D8" s="27" t="s">
        <v>2305</v>
      </c>
      <c r="E8" s="27" t="n">
        <f aca="false">COUNTIF('Shorts ideas'!$AO$6:$AO$400,A8)</f>
        <v>5</v>
      </c>
      <c r="F8" s="35"/>
      <c r="G8" s="36"/>
    </row>
    <row r="9" customFormat="false" ht="15" hidden="false" customHeight="false" outlineLevel="0" collapsed="false">
      <c r="A9" s="27" t="s">
        <v>153</v>
      </c>
      <c r="B9" s="27" t="s">
        <v>2306</v>
      </c>
      <c r="C9" s="27" t="s">
        <v>2307</v>
      </c>
      <c r="D9" s="27" t="s">
        <v>2308</v>
      </c>
      <c r="E9" s="27" t="n">
        <f aca="false">COUNTIF('Shorts ideas'!$AO$6:$AO$400,A9)</f>
        <v>8</v>
      </c>
      <c r="F9" s="37"/>
      <c r="G9" s="38"/>
    </row>
    <row r="10" customFormat="false" ht="15" hidden="false" customHeight="false" outlineLevel="0" collapsed="false">
      <c r="A10" s="27" t="s">
        <v>122</v>
      </c>
      <c r="B10" s="27" t="s">
        <v>2309</v>
      </c>
      <c r="C10" s="27" t="s">
        <v>2310</v>
      </c>
      <c r="D10" s="27" t="s">
        <v>2311</v>
      </c>
      <c r="E10" s="27" t="n">
        <f aca="false">COUNTIF('Shorts ideas'!$AO$6:$AO$400,A10)</f>
        <v>2</v>
      </c>
      <c r="F10" s="39"/>
      <c r="G10" s="40"/>
    </row>
    <row r="11" customFormat="false" ht="15" hidden="false" customHeight="false" outlineLevel="0" collapsed="false">
      <c r="A11" s="27" t="s">
        <v>231</v>
      </c>
      <c r="B11" s="27" t="s">
        <v>2312</v>
      </c>
      <c r="C11" s="27" t="s">
        <v>231</v>
      </c>
      <c r="D11" s="27" t="s">
        <v>2313</v>
      </c>
      <c r="E11" s="27" t="n">
        <f aca="false">COUNTIF('Shorts ideas'!$AO$6:$AO$400,A11)</f>
        <v>4</v>
      </c>
      <c r="F11" s="41"/>
      <c r="G11" s="42"/>
    </row>
    <row r="12" customFormat="false" ht="15" hidden="false" customHeight="false" outlineLevel="0" collapsed="false">
      <c r="A12" s="27" t="s">
        <v>273</v>
      </c>
      <c r="B12" s="27" t="s">
        <v>2314</v>
      </c>
      <c r="C12" s="27" t="s">
        <v>2315</v>
      </c>
      <c r="D12" s="27" t="s">
        <v>2316</v>
      </c>
      <c r="E12" s="27" t="n">
        <f aca="false">COUNTIF('Shorts ideas'!$AO$6:$AO$400,A12)</f>
        <v>4</v>
      </c>
      <c r="F12" s="43"/>
      <c r="G12" s="44"/>
    </row>
    <row r="13" customFormat="false" ht="15" hidden="false" customHeight="false" outlineLevel="0" collapsed="false">
      <c r="A13" s="27" t="s">
        <v>84</v>
      </c>
      <c r="B13" s="27" t="s">
        <v>2317</v>
      </c>
      <c r="C13" s="27" t="s">
        <v>2318</v>
      </c>
      <c r="D13" s="27" t="s">
        <v>2319</v>
      </c>
      <c r="E13" s="27" t="n">
        <f aca="false">COUNTIF('Shorts ideas'!$AO$6:$AO$400,A13)</f>
        <v>4</v>
      </c>
      <c r="F13" s="45"/>
      <c r="G13" s="46"/>
    </row>
    <row r="14" customFormat="false" ht="15" hidden="false" customHeight="false" outlineLevel="0" collapsed="false">
      <c r="A14" s="27" t="s">
        <v>241</v>
      </c>
      <c r="B14" s="27" t="s">
        <v>2320</v>
      </c>
      <c r="C14" s="27" t="s">
        <v>241</v>
      </c>
      <c r="D14" s="27" t="s">
        <v>2321</v>
      </c>
      <c r="E14" s="27" t="n">
        <f aca="false">COUNTIF('Shorts ideas'!$AO$6:$AO$400,A14)</f>
        <v>5</v>
      </c>
      <c r="F14" s="47"/>
      <c r="G14" s="48"/>
    </row>
    <row r="15" customFormat="false" ht="15" hidden="false" customHeight="false" outlineLevel="0" collapsed="false">
      <c r="A15" s="27" t="s">
        <v>299</v>
      </c>
      <c r="B15" s="27" t="s">
        <v>2322</v>
      </c>
      <c r="C15" s="27" t="s">
        <v>2323</v>
      </c>
      <c r="D15" s="27" t="s">
        <v>2324</v>
      </c>
      <c r="E15" s="27" t="n">
        <f aca="false">COUNTIF('Shorts ideas'!$AO$6:$AO$400,A15)</f>
        <v>6</v>
      </c>
      <c r="F15" s="49"/>
      <c r="G15" s="50"/>
    </row>
    <row r="16" customFormat="false" ht="15" hidden="false" customHeight="false" outlineLevel="0" collapsed="false">
      <c r="A16" s="27" t="s">
        <v>134</v>
      </c>
      <c r="B16" s="27" t="s">
        <v>2325</v>
      </c>
      <c r="C16" s="27" t="s">
        <v>2326</v>
      </c>
      <c r="D16" s="27" t="s">
        <v>2327</v>
      </c>
      <c r="E16" s="27" t="n">
        <f aca="false">COUNTIF('Shorts ideas'!$AO$6:$AO$400,A16)</f>
        <v>5</v>
      </c>
      <c r="F16" s="51"/>
      <c r="G16" s="52"/>
    </row>
    <row r="17" customFormat="false" ht="15" hidden="false" customHeight="false" outlineLevel="0" collapsed="false">
      <c r="A17" s="27" t="s">
        <v>208</v>
      </c>
      <c r="B17" s="27" t="s">
        <v>2328</v>
      </c>
      <c r="C17" s="27" t="s">
        <v>2329</v>
      </c>
      <c r="D17" s="27" t="s">
        <v>2330</v>
      </c>
      <c r="E17" s="27" t="n">
        <f aca="false">COUNTIF('Shorts ideas'!$AO$6:$AO$400,A17)</f>
        <v>6</v>
      </c>
      <c r="F17" s="53"/>
      <c r="G17" s="54"/>
    </row>
    <row r="18" customFormat="false" ht="15" hidden="false" customHeight="false" outlineLevel="0" collapsed="false">
      <c r="A18" s="27" t="s">
        <v>322</v>
      </c>
      <c r="B18" s="27" t="s">
        <v>2331</v>
      </c>
      <c r="C18" s="27" t="s">
        <v>2332</v>
      </c>
      <c r="D18" s="27" t="s">
        <v>2333</v>
      </c>
      <c r="E18" s="27" t="n">
        <f aca="false">COUNTIF('Shorts ideas'!$AO$6:$AO$400,A18)</f>
        <v>3</v>
      </c>
      <c r="F18" s="55"/>
      <c r="G18" s="56"/>
    </row>
    <row r="19" customFormat="false" ht="15" hidden="false" customHeight="false" outlineLevel="0" collapsed="false">
      <c r="A19" s="27" t="s">
        <v>286</v>
      </c>
      <c r="B19" s="27" t="s">
        <v>2334</v>
      </c>
      <c r="C19" s="27" t="s">
        <v>286</v>
      </c>
      <c r="D19" s="27" t="s">
        <v>2335</v>
      </c>
      <c r="E19" s="27" t="n">
        <f aca="false">COUNTIF('Shorts ideas'!$AO$6:$AO$400,A19)</f>
        <v>7</v>
      </c>
      <c r="F19" s="57"/>
      <c r="G19" s="58"/>
    </row>
    <row r="20" customFormat="false" ht="15" hidden="false" customHeight="false" outlineLevel="0" collapsed="false">
      <c r="A20" s="27" t="s">
        <v>382</v>
      </c>
      <c r="B20" s="27" t="s">
        <v>2336</v>
      </c>
      <c r="C20" s="27" t="s">
        <v>2337</v>
      </c>
      <c r="D20" s="27" t="s">
        <v>2338</v>
      </c>
      <c r="E20" s="27" t="n">
        <f aca="false">COUNTIF('Shorts ideas'!$AO$6:$AO$400,A20)</f>
        <v>1</v>
      </c>
      <c r="F20" s="57"/>
      <c r="G20" s="58"/>
    </row>
    <row r="21" customFormat="false" ht="15" hidden="false" customHeight="false" outlineLevel="0" collapsed="false">
      <c r="A21" s="27" t="s">
        <v>95</v>
      </c>
      <c r="B21" s="27" t="s">
        <v>2339</v>
      </c>
      <c r="C21" s="27" t="s">
        <v>2340</v>
      </c>
      <c r="D21" s="27" t="s">
        <v>2341</v>
      </c>
      <c r="E21" s="27" t="n">
        <f aca="false">COUNTIF('Shorts ideas'!$AO$6:$AO$400,A21)</f>
        <v>25</v>
      </c>
      <c r="F21" s="57"/>
      <c r="G21" s="5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3"/>
  </cols>
  <sheetData>
    <row r="1" customFormat="false" ht="19.7" hidden="false" customHeight="false" outlineLevel="0" collapsed="false">
      <c r="A1" s="1" t="s">
        <v>2342</v>
      </c>
    </row>
    <row r="2" customFormat="false" ht="15" hidden="false" customHeight="false" outlineLevel="0" collapsed="false">
      <c r="A2" s="26" t="s">
        <v>2343</v>
      </c>
    </row>
    <row r="4" customFormat="false" ht="26.85" hidden="false" customHeight="false" outlineLevel="0" collapsed="false">
      <c r="A4" s="5" t="s">
        <v>11</v>
      </c>
      <c r="B4" s="5" t="s">
        <v>63</v>
      </c>
      <c r="C4" s="5" t="s">
        <v>2344</v>
      </c>
      <c r="D4" s="5" t="s">
        <v>2345</v>
      </c>
      <c r="E4" s="5" t="s">
        <v>2346</v>
      </c>
      <c r="F4" s="5" t="s">
        <v>2347</v>
      </c>
    </row>
    <row r="5" customFormat="false" ht="15" hidden="false" customHeight="false" outlineLevel="0" collapsed="false">
      <c r="A5" s="27" t="s">
        <v>58</v>
      </c>
      <c r="B5" s="27" t="n">
        <f aca="false">COUNTIFS('Shorts ideas'!$B$6:$B$400,$A5,'Shorts ideas'!$H$6:$H$400,"Published")</f>
        <v>1</v>
      </c>
      <c r="C5" s="59" t="str">
        <f aca="false">IFERROR(AVERAGEIFS('Shorts ideas'!$AC$6:$AC$400,'Shorts ideas'!$B$6:$B$400,$A5,'Shorts ideas'!$AC$6:$AC$400,"&gt;0"),"")</f>
        <v/>
      </c>
      <c r="D5" s="60" t="str">
        <f aca="false">IFERROR(AVERAGEIFS('Shorts ideas'!$U$6:$U$400,'Shorts ideas'!$B$6:$B$400,$A5,'Shorts ideas'!$U$6:$U$400,"&gt;0"),"")</f>
        <v/>
      </c>
      <c r="E5" s="60" t="str">
        <f aca="false">IFERROR(AVERAGEIFS('Shorts ideas'!$AD$6:$AD$400,'Shorts ideas'!$B$6:$B$400,$A5,'Shorts ideas'!$AD$6:$AD$400,"&gt;0"),"")</f>
        <v/>
      </c>
      <c r="F5" s="59" t="str">
        <f aca="false">IFERROR(AVERAGEIFS('Shorts ideas'!$AL$6:$AL$400,'Shorts ideas'!$B$6:$B$400,$A5,'Shorts ideas'!$AL$6:$AL$400,"&gt;0"),"")</f>
        <v/>
      </c>
    </row>
    <row r="6" customFormat="false" ht="15" hidden="false" customHeight="false" outlineLevel="0" collapsed="false">
      <c r="A6" s="27" t="s">
        <v>154</v>
      </c>
      <c r="B6" s="27" t="n">
        <f aca="false">COUNTIFS('Shorts ideas'!$B$6:$B$400,$A6,'Shorts ideas'!$H$6:$H$400,"Published")</f>
        <v>1</v>
      </c>
      <c r="C6" s="59" t="str">
        <f aca="false">IFERROR(AVERAGEIFS('Shorts ideas'!$AC$6:$AC$400,'Shorts ideas'!$B$6:$B$400,$A6,'Shorts ideas'!$AC$6:$AC$400,"&gt;0"),"")</f>
        <v/>
      </c>
      <c r="D6" s="60" t="str">
        <f aca="false">IFERROR(AVERAGEIFS('Shorts ideas'!$U$6:$U$400,'Shorts ideas'!$B$6:$B$400,$A6,'Shorts ideas'!$U$6:$U$400,"&gt;0"),"")</f>
        <v/>
      </c>
      <c r="E6" s="60" t="str">
        <f aca="false">IFERROR(AVERAGEIFS('Shorts ideas'!$AD$6:$AD$400,'Shorts ideas'!$B$6:$B$400,$A6,'Shorts ideas'!$AD$6:$AD$400,"&gt;0"),"")</f>
        <v/>
      </c>
      <c r="F6" s="59" t="str">
        <f aca="false">IFERROR(AVERAGEIFS('Shorts ideas'!$AL$6:$AL$400,'Shorts ideas'!$B$6:$B$400,$A6,'Shorts ideas'!$AL$6:$AL$400,"&gt;0"),"")</f>
        <v/>
      </c>
    </row>
    <row r="7" customFormat="false" ht="15" hidden="false" customHeight="false" outlineLevel="0" collapsed="false">
      <c r="A7" s="27" t="s">
        <v>232</v>
      </c>
      <c r="B7" s="27" t="n">
        <f aca="false">COUNTIFS('Shorts ideas'!$B$6:$B$400,$A7,'Shorts ideas'!$H$6:$H$400,"Published")</f>
        <v>1</v>
      </c>
      <c r="C7" s="59" t="str">
        <f aca="false">IFERROR(AVERAGEIFS('Shorts ideas'!$AC$6:$AC$400,'Shorts ideas'!$B$6:$B$400,$A7,'Shorts ideas'!$AC$6:$AC$400,"&gt;0"),"")</f>
        <v/>
      </c>
      <c r="D7" s="60" t="str">
        <f aca="false">IFERROR(AVERAGEIFS('Shorts ideas'!$U$6:$U$400,'Shorts ideas'!$B$6:$B$400,$A7,'Shorts ideas'!$U$6:$U$400,"&gt;0"),"")</f>
        <v/>
      </c>
      <c r="E7" s="60" t="str">
        <f aca="false">IFERROR(AVERAGEIFS('Shorts ideas'!$AD$6:$AD$400,'Shorts ideas'!$B$6:$B$400,$A7,'Shorts ideas'!$AD$6:$AD$400,"&gt;0"),"")</f>
        <v/>
      </c>
      <c r="F7" s="59" t="str">
        <f aca="false">IFERROR(AVERAGEIFS('Shorts ideas'!$AL$6:$AL$400,'Shorts ideas'!$B$6:$B$400,$A7,'Shorts ideas'!$AL$6:$AL$400,"&gt;0"),"")</f>
        <v/>
      </c>
    </row>
    <row r="8" customFormat="false" ht="15" hidden="false" customHeight="false" outlineLevel="0" collapsed="false">
      <c r="A8" s="27" t="s">
        <v>304</v>
      </c>
      <c r="B8" s="27" t="n">
        <f aca="false">COUNTIFS('Shorts ideas'!$B$6:$B$400,$A8,'Shorts ideas'!$H$6:$H$400,"Published")</f>
        <v>0</v>
      </c>
      <c r="C8" s="59" t="str">
        <f aca="false">IFERROR(AVERAGEIFS('Shorts ideas'!$AC$6:$AC$400,'Shorts ideas'!$B$6:$B$400,$A8,'Shorts ideas'!$AC$6:$AC$400,"&gt;0"),"")</f>
        <v/>
      </c>
      <c r="D8" s="60" t="str">
        <f aca="false">IFERROR(AVERAGEIFS('Shorts ideas'!$U$6:$U$400,'Shorts ideas'!$B$6:$B$400,$A8,'Shorts ideas'!$U$6:$U$400,"&gt;0"),"")</f>
        <v/>
      </c>
      <c r="E8" s="60" t="str">
        <f aca="false">IFERROR(AVERAGEIFS('Shorts ideas'!$AD$6:$AD$400,'Shorts ideas'!$B$6:$B$400,$A8,'Shorts ideas'!$AD$6:$AD$400,"&gt;0"),"")</f>
        <v/>
      </c>
      <c r="F8" s="59" t="str">
        <f aca="false">IFERROR(AVERAGEIFS('Shorts ideas'!$AL$6:$AL$400,'Shorts ideas'!$B$6:$B$400,$A8,'Shorts ideas'!$AL$6:$AL$400,"&gt;0"),"")</f>
        <v/>
      </c>
    </row>
    <row r="9" customFormat="false" ht="15" hidden="false" customHeight="false" outlineLevel="0" collapsed="false">
      <c r="A9" s="27" t="s">
        <v>361</v>
      </c>
      <c r="B9" s="27" t="n">
        <f aca="false">COUNTIFS('Shorts ideas'!$B$6:$B$400,$A9,'Shorts ideas'!$H$6:$H$400,"Published")</f>
        <v>0</v>
      </c>
      <c r="C9" s="59" t="str">
        <f aca="false">IFERROR(AVERAGEIFS('Shorts ideas'!$AC$6:$AC$400,'Shorts ideas'!$B$6:$B$400,$A9,'Shorts ideas'!$AC$6:$AC$400,"&gt;0"),"")</f>
        <v/>
      </c>
      <c r="D9" s="60" t="str">
        <f aca="false">IFERROR(AVERAGEIFS('Shorts ideas'!$U$6:$U$400,'Shorts ideas'!$B$6:$B$400,$A9,'Shorts ideas'!$U$6:$U$400,"&gt;0"),"")</f>
        <v/>
      </c>
      <c r="E9" s="60" t="str">
        <f aca="false">IFERROR(AVERAGEIFS('Shorts ideas'!$AD$6:$AD$400,'Shorts ideas'!$B$6:$B$400,$A9,'Shorts ideas'!$AD$6:$AD$400,"&gt;0"),"")</f>
        <v/>
      </c>
      <c r="F9" s="59" t="str">
        <f aca="false">IFERROR(AVERAGEIFS('Shorts ideas'!$AL$6:$AL$400,'Shorts ideas'!$B$6:$B$400,$A9,'Shorts ideas'!$AL$6:$AL$400,"&gt;0"),"")</f>
        <v/>
      </c>
    </row>
    <row r="10" customFormat="false" ht="15" hidden="false" customHeight="false" outlineLevel="0" collapsed="false">
      <c r="A10" s="27" t="s">
        <v>415</v>
      </c>
      <c r="B10" s="27" t="n">
        <f aca="false">COUNTIFS('Shorts ideas'!$B$6:$B$400,$A10,'Shorts ideas'!$H$6:$H$400,"Published")</f>
        <v>0</v>
      </c>
      <c r="C10" s="59" t="str">
        <f aca="false">IFERROR(AVERAGEIFS('Shorts ideas'!$AC$6:$AC$400,'Shorts ideas'!$B$6:$B$400,$A10,'Shorts ideas'!$AC$6:$AC$400,"&gt;0"),"")</f>
        <v/>
      </c>
      <c r="D10" s="60" t="str">
        <f aca="false">IFERROR(AVERAGEIFS('Shorts ideas'!$U$6:$U$400,'Shorts ideas'!$B$6:$B$400,$A10,'Shorts ideas'!$U$6:$U$400,"&gt;0"),"")</f>
        <v/>
      </c>
      <c r="E10" s="60" t="str">
        <f aca="false">IFERROR(AVERAGEIFS('Shorts ideas'!$AD$6:$AD$400,'Shorts ideas'!$B$6:$B$400,$A10,'Shorts ideas'!$AD$6:$AD$400,"&gt;0"),"")</f>
        <v/>
      </c>
      <c r="F10" s="59" t="str">
        <f aca="false">IFERROR(AVERAGEIFS('Shorts ideas'!$AL$6:$AL$400,'Shorts ideas'!$B$6:$B$400,$A10,'Shorts ideas'!$AL$6:$AL$400,"&gt;0"),"")</f>
        <v/>
      </c>
    </row>
    <row r="11" customFormat="false" ht="15" hidden="false" customHeight="false" outlineLevel="0" collapsed="false">
      <c r="A11" s="27" t="s">
        <v>464</v>
      </c>
      <c r="B11" s="27" t="n">
        <f aca="false">COUNTIFS('Shorts ideas'!$B$6:$B$400,$A11,'Shorts ideas'!$H$6:$H$400,"Published")</f>
        <v>0</v>
      </c>
      <c r="C11" s="59" t="str">
        <f aca="false">IFERROR(AVERAGEIFS('Shorts ideas'!$AC$6:$AC$400,'Shorts ideas'!$B$6:$B$400,$A11,'Shorts ideas'!$AC$6:$AC$400,"&gt;0"),"")</f>
        <v/>
      </c>
      <c r="D11" s="60" t="str">
        <f aca="false">IFERROR(AVERAGEIFS('Shorts ideas'!$U$6:$U$400,'Shorts ideas'!$B$6:$B$400,$A11,'Shorts ideas'!$U$6:$U$400,"&gt;0"),"")</f>
        <v/>
      </c>
      <c r="E11" s="60" t="str">
        <f aca="false">IFERROR(AVERAGEIFS('Shorts ideas'!$AD$6:$AD$400,'Shorts ideas'!$B$6:$B$400,$A11,'Shorts ideas'!$AD$6:$AD$400,"&gt;0"),"")</f>
        <v/>
      </c>
      <c r="F11" s="59" t="str">
        <f aca="false">IFERROR(AVERAGEIFS('Shorts ideas'!$AL$6:$AL$400,'Shorts ideas'!$B$6:$B$400,$A11,'Shorts ideas'!$AL$6:$AL$400,"&gt;0"),"")</f>
        <v/>
      </c>
    </row>
    <row r="12" customFormat="false" ht="15" hidden="false" customHeight="false" outlineLevel="0" collapsed="false">
      <c r="A12" s="27" t="s">
        <v>528</v>
      </c>
      <c r="B12" s="27" t="n">
        <f aca="false">COUNTIFS('Shorts ideas'!$B$6:$B$400,$A12,'Shorts ideas'!$H$6:$H$400,"Published")</f>
        <v>0</v>
      </c>
      <c r="C12" s="59" t="str">
        <f aca="false">IFERROR(AVERAGEIFS('Shorts ideas'!$AC$6:$AC$400,'Shorts ideas'!$B$6:$B$400,$A12,'Shorts ideas'!$AC$6:$AC$400,"&gt;0"),"")</f>
        <v/>
      </c>
      <c r="D12" s="60" t="str">
        <f aca="false">IFERROR(AVERAGEIFS('Shorts ideas'!$U$6:$U$400,'Shorts ideas'!$B$6:$B$400,$A12,'Shorts ideas'!$U$6:$U$400,"&gt;0"),"")</f>
        <v/>
      </c>
      <c r="E12" s="60" t="str">
        <f aca="false">IFERROR(AVERAGEIFS('Shorts ideas'!$AD$6:$AD$400,'Shorts ideas'!$B$6:$B$400,$A12,'Shorts ideas'!$AD$6:$AD$400,"&gt;0"),"")</f>
        <v/>
      </c>
      <c r="F12" s="59" t="str">
        <f aca="false">IFERROR(AVERAGEIFS('Shorts ideas'!$AL$6:$AL$400,'Shorts ideas'!$B$6:$B$400,$A12,'Shorts ideas'!$AL$6:$AL$400,"&gt;0"),"")</f>
        <v/>
      </c>
    </row>
    <row r="13" customFormat="false" ht="15" hidden="false" customHeight="false" outlineLevel="0" collapsed="false">
      <c r="A13" s="27" t="s">
        <v>581</v>
      </c>
      <c r="B13" s="27" t="n">
        <f aca="false">COUNTIFS('Shorts ideas'!$B$6:$B$400,$A13,'Shorts ideas'!$H$6:$H$400,"Published")</f>
        <v>0</v>
      </c>
      <c r="C13" s="59" t="str">
        <f aca="false">IFERROR(AVERAGEIFS('Shorts ideas'!$AC$6:$AC$400,'Shorts ideas'!$B$6:$B$400,$A13,'Shorts ideas'!$AC$6:$AC$400,"&gt;0"),"")</f>
        <v/>
      </c>
      <c r="D13" s="60" t="str">
        <f aca="false">IFERROR(AVERAGEIFS('Shorts ideas'!$U$6:$U$400,'Shorts ideas'!$B$6:$B$400,$A13,'Shorts ideas'!$U$6:$U$400,"&gt;0"),"")</f>
        <v/>
      </c>
      <c r="E13" s="60" t="str">
        <f aca="false">IFERROR(AVERAGEIFS('Shorts ideas'!$AD$6:$AD$400,'Shorts ideas'!$B$6:$B$400,$A13,'Shorts ideas'!$AD$6:$AD$400,"&gt;0"),"")</f>
        <v/>
      </c>
      <c r="F13" s="59" t="str">
        <f aca="false">IFERROR(AVERAGEIFS('Shorts ideas'!$AL$6:$AL$400,'Shorts ideas'!$B$6:$B$400,$A13,'Shorts ideas'!$AL$6:$AL$400,"&gt;0"),"")</f>
        <v/>
      </c>
    </row>
    <row r="14" customFormat="false" ht="15" hidden="false" customHeight="false" outlineLevel="0" collapsed="false">
      <c r="A14" s="27" t="s">
        <v>638</v>
      </c>
      <c r="B14" s="27" t="n">
        <f aca="false">COUNTIFS('Shorts ideas'!$B$6:$B$400,$A14,'Shorts ideas'!$H$6:$H$400,"Published")</f>
        <v>0</v>
      </c>
      <c r="C14" s="59" t="str">
        <f aca="false">IFERROR(AVERAGEIFS('Shorts ideas'!$AC$6:$AC$400,'Shorts ideas'!$B$6:$B$400,$A14,'Shorts ideas'!$AC$6:$AC$400,"&gt;0"),"")</f>
        <v/>
      </c>
      <c r="D14" s="60" t="str">
        <f aca="false">IFERROR(AVERAGEIFS('Shorts ideas'!$U$6:$U$400,'Shorts ideas'!$B$6:$B$400,$A14,'Shorts ideas'!$U$6:$U$400,"&gt;0"),"")</f>
        <v/>
      </c>
      <c r="E14" s="60" t="str">
        <f aca="false">IFERROR(AVERAGEIFS('Shorts ideas'!$AD$6:$AD$400,'Shorts ideas'!$B$6:$B$400,$A14,'Shorts ideas'!$AD$6:$AD$400,"&gt;0"),"")</f>
        <v/>
      </c>
      <c r="F14" s="59" t="str">
        <f aca="false">IFERROR(AVERAGEIFS('Shorts ideas'!$AL$6:$AL$400,'Shorts ideas'!$B$6:$B$400,$A14,'Shorts ideas'!$AL$6:$AL$400,"&gt;0"),"")</f>
        <v/>
      </c>
    </row>
    <row r="16" customFormat="false" ht="26.85" hidden="false" customHeight="false" outlineLevel="0" collapsed="false">
      <c r="A16" s="5" t="s">
        <v>23</v>
      </c>
      <c r="B16" s="5" t="s">
        <v>63</v>
      </c>
      <c r="C16" s="5" t="s">
        <v>2344</v>
      </c>
      <c r="D16" s="5" t="s">
        <v>2345</v>
      </c>
      <c r="E16" s="5" t="s">
        <v>2346</v>
      </c>
      <c r="F16" s="5" t="s">
        <v>2347</v>
      </c>
    </row>
    <row r="17" customFormat="false" ht="15" hidden="false" customHeight="false" outlineLevel="0" collapsed="false">
      <c r="A17" s="27" t="s">
        <v>66</v>
      </c>
      <c r="B17" s="27" t="n">
        <f aca="false">COUNTIFS('Shorts ideas'!$N$6:$N$400,$A17,'Shorts ideas'!$H$6:$H$400,"Published")</f>
        <v>1</v>
      </c>
      <c r="C17" s="59" t="str">
        <f aca="false">IFERROR(AVERAGEIFS('Shorts ideas'!$AC$6:$AC$400,'Shorts ideas'!$N$6:$N$400,$A17,'Shorts ideas'!$AC$6:$AC$400,"&gt;0"),"")</f>
        <v/>
      </c>
      <c r="D17" s="60" t="str">
        <f aca="false">IFERROR(AVERAGEIFS('Shorts ideas'!$U$6:$U$400,'Shorts ideas'!$N$6:$N$400,$A17,'Shorts ideas'!$U$6:$U$400,"&gt;0"),"")</f>
        <v/>
      </c>
      <c r="E17" s="60" t="str">
        <f aca="false">IFERROR(AVERAGEIFS('Shorts ideas'!$AD$6:$AD$400,'Shorts ideas'!$N$6:$N$400,$A17,'Shorts ideas'!$AD$6:$AD$400,"&gt;0"),"")</f>
        <v/>
      </c>
      <c r="F17" s="59" t="str">
        <f aca="false">IFERROR(AVERAGEIFS('Shorts ideas'!$AL$6:$AL$400,'Shorts ideas'!$N$6:$N$400,$A17,'Shorts ideas'!$AL$6:$AL$400,"&gt;0"),"")</f>
        <v/>
      </c>
    </row>
    <row r="18" customFormat="false" ht="15" hidden="false" customHeight="false" outlineLevel="0" collapsed="false">
      <c r="A18" s="27" t="s">
        <v>79</v>
      </c>
      <c r="B18" s="27" t="n">
        <f aca="false">COUNTIFS('Shorts ideas'!$N$6:$N$400,$A18,'Shorts ideas'!$H$6:$H$400,"Published")</f>
        <v>2</v>
      </c>
      <c r="C18" s="59" t="str">
        <f aca="false">IFERROR(AVERAGEIFS('Shorts ideas'!$AC$6:$AC$400,'Shorts ideas'!$N$6:$N$400,$A18,'Shorts ideas'!$AC$6:$AC$400,"&gt;0"),"")</f>
        <v/>
      </c>
      <c r="D18" s="60" t="str">
        <f aca="false">IFERROR(AVERAGEIFS('Shorts ideas'!$U$6:$U$400,'Shorts ideas'!$N$6:$N$400,$A18,'Shorts ideas'!$U$6:$U$400,"&gt;0"),"")</f>
        <v/>
      </c>
      <c r="E18" s="60" t="str">
        <f aca="false">IFERROR(AVERAGEIFS('Shorts ideas'!$AD$6:$AD$400,'Shorts ideas'!$N$6:$N$400,$A18,'Shorts ideas'!$AD$6:$AD$400,"&gt;0"),"")</f>
        <v/>
      </c>
      <c r="F18" s="59" t="str">
        <f aca="false">IFERROR(AVERAGEIFS('Shorts ideas'!$AL$6:$AL$400,'Shorts ideas'!$N$6:$N$400,$A18,'Shorts ideas'!$AL$6:$AL$400,"&gt;0"),"")</f>
        <v/>
      </c>
    </row>
    <row r="20" customFormat="false" ht="26.85" hidden="false" customHeight="false" outlineLevel="0" collapsed="false">
      <c r="A20" s="5" t="s">
        <v>22</v>
      </c>
      <c r="B20" s="5" t="s">
        <v>63</v>
      </c>
      <c r="C20" s="5" t="s">
        <v>2344</v>
      </c>
      <c r="D20" s="5" t="s">
        <v>2345</v>
      </c>
      <c r="E20" s="5" t="s">
        <v>2346</v>
      </c>
      <c r="F20" s="5" t="s">
        <v>2347</v>
      </c>
    </row>
    <row r="21" customFormat="false" ht="15" hidden="false" customHeight="false" outlineLevel="0" collapsed="false">
      <c r="A21" s="27" t="s">
        <v>2348</v>
      </c>
      <c r="B21" s="27" t="n">
        <f aca="false">COUNTIFS('Shorts ideas'!$M$6:$M$400,$A21,'Shorts ideas'!$H$6:$H$400,"Published")</f>
        <v>1</v>
      </c>
      <c r="C21" s="59" t="str">
        <f aca="false">IFERROR(AVERAGEIFS('Shorts ideas'!$AC$6:$AC$400,'Shorts ideas'!$M$6:$M$400,$A21,'Shorts ideas'!$AC$6:$AC$400,"&gt;0"),"")</f>
        <v/>
      </c>
      <c r="D21" s="60" t="str">
        <f aca="false">IFERROR(AVERAGEIFS('Shorts ideas'!$U$6:$U$400,'Shorts ideas'!$M$6:$M$400,$A21,'Shorts ideas'!$U$6:$U$400,"&gt;0"),"")</f>
        <v/>
      </c>
      <c r="E21" s="60" t="str">
        <f aca="false">IFERROR(AVERAGEIFS('Shorts ideas'!$AD$6:$AD$400,'Shorts ideas'!$M$6:$M$400,$A21,'Shorts ideas'!$AD$6:$AD$400,"&gt;0"),"")</f>
        <v/>
      </c>
      <c r="F21" s="59" t="str">
        <f aca="false">IFERROR(AVERAGEIFS('Shorts ideas'!$AL$6:$AL$400,'Shorts ideas'!$M$6:$M$400,$A21,'Shorts ideas'!$AL$6:$AL$400,"&gt;0"),"")</f>
        <v/>
      </c>
    </row>
    <row r="22" customFormat="false" ht="15" hidden="false" customHeight="false" outlineLevel="0" collapsed="false">
      <c r="A22" s="27" t="s">
        <v>2349</v>
      </c>
      <c r="B22" s="27" t="n">
        <f aca="false">COUNTIFS('Shorts ideas'!$M$6:$M$400,$A22,'Shorts ideas'!$H$6:$H$400,"Published")</f>
        <v>1</v>
      </c>
      <c r="C22" s="59" t="str">
        <f aca="false">IFERROR(AVERAGEIFS('Shorts ideas'!$AC$6:$AC$400,'Shorts ideas'!$M$6:$M$400,$A22,'Shorts ideas'!$AC$6:$AC$400,"&gt;0"),"")</f>
        <v/>
      </c>
      <c r="D22" s="60" t="str">
        <f aca="false">IFERROR(AVERAGEIFS('Shorts ideas'!$U$6:$U$400,'Shorts ideas'!$M$6:$M$400,$A22,'Shorts ideas'!$U$6:$U$400,"&gt;0"),"")</f>
        <v/>
      </c>
      <c r="E22" s="60" t="str">
        <f aca="false">IFERROR(AVERAGEIFS('Shorts ideas'!$AD$6:$AD$400,'Shorts ideas'!$M$6:$M$400,$A22,'Shorts ideas'!$AD$6:$AD$400,"&gt;0"),"")</f>
        <v/>
      </c>
      <c r="F22" s="59" t="str">
        <f aca="false">IFERROR(AVERAGEIFS('Shorts ideas'!$AL$6:$AL$400,'Shorts ideas'!$M$6:$M$400,$A22,'Shorts ideas'!$AL$6:$AL$400,"&gt;0"),"")</f>
        <v/>
      </c>
    </row>
    <row r="23" customFormat="false" ht="15" hidden="false" customHeight="false" outlineLevel="0" collapsed="false">
      <c r="A23" s="27" t="s">
        <v>2350</v>
      </c>
      <c r="B23" s="27" t="n">
        <f aca="false">COUNTIFS('Shorts ideas'!$M$6:$M$400,$A23,'Shorts ideas'!$H$6:$H$400,"Published")</f>
        <v>0</v>
      </c>
      <c r="C23" s="59" t="str">
        <f aca="false">IFERROR(AVERAGEIFS('Shorts ideas'!$AC$6:$AC$400,'Shorts ideas'!$M$6:$M$400,$A23,'Shorts ideas'!$AC$6:$AC$400,"&gt;0"),"")</f>
        <v/>
      </c>
      <c r="D23" s="60" t="str">
        <f aca="false">IFERROR(AVERAGEIFS('Shorts ideas'!$U$6:$U$400,'Shorts ideas'!$M$6:$M$400,$A23,'Shorts ideas'!$U$6:$U$400,"&gt;0"),"")</f>
        <v/>
      </c>
      <c r="E23" s="60" t="str">
        <f aca="false">IFERROR(AVERAGEIFS('Shorts ideas'!$AD$6:$AD$400,'Shorts ideas'!$M$6:$M$400,$A23,'Shorts ideas'!$AD$6:$AD$400,"&gt;0"),"")</f>
        <v/>
      </c>
      <c r="F23" s="59" t="str">
        <f aca="false">IFERROR(AVERAGEIFS('Shorts ideas'!$AL$6:$AL$400,'Shorts ideas'!$M$6:$M$400,$A23,'Shorts ideas'!$AL$6:$AL$400,"&gt;0"),"")</f>
        <v/>
      </c>
    </row>
    <row r="24" customFormat="false" ht="15" hidden="false" customHeight="false" outlineLevel="0" collapsed="false">
      <c r="A24" s="27" t="s">
        <v>2351</v>
      </c>
      <c r="B24" s="27" t="n">
        <f aca="false">COUNTIFS('Shorts ideas'!$M$6:$M$400,$A24,'Shorts ideas'!$H$6:$H$400,"Published")</f>
        <v>0</v>
      </c>
      <c r="C24" s="59" t="str">
        <f aca="false">IFERROR(AVERAGEIFS('Shorts ideas'!$AC$6:$AC$400,'Shorts ideas'!$M$6:$M$400,$A24,'Shorts ideas'!$AC$6:$AC$400,"&gt;0"),"")</f>
        <v/>
      </c>
      <c r="D24" s="60" t="str">
        <f aca="false">IFERROR(AVERAGEIFS('Shorts ideas'!$U$6:$U$400,'Shorts ideas'!$M$6:$M$400,$A24,'Shorts ideas'!$U$6:$U$400,"&gt;0"),"")</f>
        <v/>
      </c>
      <c r="E24" s="60" t="str">
        <f aca="false">IFERROR(AVERAGEIFS('Shorts ideas'!$AD$6:$AD$400,'Shorts ideas'!$M$6:$M$400,$A24,'Shorts ideas'!$AD$6:$AD$400,"&gt;0"),"")</f>
        <v/>
      </c>
      <c r="F24" s="59" t="str">
        <f aca="false">IFERROR(AVERAGEIFS('Shorts ideas'!$AL$6:$AL$400,'Shorts ideas'!$M$6:$M$400,$A24,'Shorts ideas'!$AL$6:$AL$400,"&gt;0"),"")</f>
        <v/>
      </c>
    </row>
    <row r="25" customFormat="false" ht="15" hidden="false" customHeight="false" outlineLevel="0" collapsed="false">
      <c r="A25" s="27" t="s">
        <v>2352</v>
      </c>
      <c r="B25" s="27" t="n">
        <f aca="false">COUNTIFS('Shorts ideas'!$M$6:$M$400,$A25,'Shorts ideas'!$H$6:$H$400,"Published")</f>
        <v>0</v>
      </c>
      <c r="C25" s="59" t="str">
        <f aca="false">IFERROR(AVERAGEIFS('Shorts ideas'!$AC$6:$AC$400,'Shorts ideas'!$M$6:$M$400,$A25,'Shorts ideas'!$AC$6:$AC$400,"&gt;0"),"")</f>
        <v/>
      </c>
      <c r="D25" s="60" t="str">
        <f aca="false">IFERROR(AVERAGEIFS('Shorts ideas'!$U$6:$U$400,'Shorts ideas'!$M$6:$M$400,$A25,'Shorts ideas'!$U$6:$U$400,"&gt;0"),"")</f>
        <v/>
      </c>
      <c r="E25" s="60" t="str">
        <f aca="false">IFERROR(AVERAGEIFS('Shorts ideas'!$AD$6:$AD$400,'Shorts ideas'!$M$6:$M$400,$A25,'Shorts ideas'!$AD$6:$AD$400,"&gt;0"),"")</f>
        <v/>
      </c>
      <c r="F25" s="59" t="str">
        <f aca="false">IFERROR(AVERAGEIFS('Shorts ideas'!$AL$6:$AL$400,'Shorts ideas'!$M$6:$M$400,$A25,'Shorts ideas'!$AL$6:$AL$400,"&gt;0"),"")</f>
        <v/>
      </c>
    </row>
    <row r="26" customFormat="false" ht="15" hidden="false" customHeight="false" outlineLevel="0" collapsed="false">
      <c r="A26" s="27" t="s">
        <v>2353</v>
      </c>
      <c r="B26" s="27" t="n">
        <f aca="false">COUNTIFS('Shorts ideas'!$M$6:$M$400,$A26,'Shorts ideas'!$H$6:$H$400,"Published")</f>
        <v>0</v>
      </c>
      <c r="C26" s="59" t="str">
        <f aca="false">IFERROR(AVERAGEIFS('Shorts ideas'!$AC$6:$AC$400,'Shorts ideas'!$M$6:$M$400,$A26,'Shorts ideas'!$AC$6:$AC$400,"&gt;0"),"")</f>
        <v/>
      </c>
      <c r="D26" s="60" t="str">
        <f aca="false">IFERROR(AVERAGEIFS('Shorts ideas'!$U$6:$U$400,'Shorts ideas'!$M$6:$M$400,$A26,'Shorts ideas'!$U$6:$U$400,"&gt;0"),"")</f>
        <v/>
      </c>
      <c r="E26" s="60" t="str">
        <f aca="false">IFERROR(AVERAGEIFS('Shorts ideas'!$AD$6:$AD$400,'Shorts ideas'!$M$6:$M$400,$A26,'Shorts ideas'!$AD$6:$AD$400,"&gt;0"),"")</f>
        <v/>
      </c>
      <c r="F26" s="59" t="str">
        <f aca="false">IFERROR(AVERAGEIFS('Shorts ideas'!$AL$6:$AL$400,'Shorts ideas'!$M$6:$M$400,$A26,'Shorts ideas'!$AL$6:$AL$400,"&gt;0"),"")</f>
        <v/>
      </c>
    </row>
    <row r="27" customFormat="false" ht="15" hidden="false" customHeight="false" outlineLevel="0" collapsed="false">
      <c r="A27" s="27" t="s">
        <v>2354</v>
      </c>
      <c r="B27" s="27" t="n">
        <f aca="false">COUNTIFS('Shorts ideas'!$M$6:$M$400,$A27,'Shorts ideas'!$H$6:$H$400,"Published")</f>
        <v>1</v>
      </c>
      <c r="C27" s="59" t="str">
        <f aca="false">IFERROR(AVERAGEIFS('Shorts ideas'!$AC$6:$AC$400,'Shorts ideas'!$M$6:$M$400,$A27,'Shorts ideas'!$AC$6:$AC$400,"&gt;0"),"")</f>
        <v/>
      </c>
      <c r="D27" s="60" t="str">
        <f aca="false">IFERROR(AVERAGEIFS('Shorts ideas'!$U$6:$U$400,'Shorts ideas'!$M$6:$M$400,$A27,'Shorts ideas'!$U$6:$U$400,"&gt;0"),"")</f>
        <v/>
      </c>
      <c r="E27" s="60" t="str">
        <f aca="false">IFERROR(AVERAGEIFS('Shorts ideas'!$AD$6:$AD$400,'Shorts ideas'!$M$6:$M$400,$A27,'Shorts ideas'!$AD$6:$AD$400,"&gt;0"),"")</f>
        <v/>
      </c>
      <c r="F27" s="59" t="str">
        <f aca="false">IFERROR(AVERAGEIFS('Shorts ideas'!$AL$6:$AL$400,'Shorts ideas'!$M$6:$M$400,$A27,'Shorts ideas'!$AL$6:$AL$400,"&gt;0"),"")</f>
        <v/>
      </c>
    </row>
    <row r="29" customFormat="false" ht="26.85" hidden="false" customHeight="false" outlineLevel="0" collapsed="false">
      <c r="A29" s="5" t="s">
        <v>19</v>
      </c>
      <c r="B29" s="5" t="s">
        <v>63</v>
      </c>
      <c r="C29" s="5" t="s">
        <v>2344</v>
      </c>
      <c r="D29" s="5" t="s">
        <v>2345</v>
      </c>
      <c r="E29" s="5" t="s">
        <v>2346</v>
      </c>
      <c r="F29" s="5" t="s">
        <v>2347</v>
      </c>
    </row>
    <row r="30" customFormat="false" ht="15" hidden="false" customHeight="false" outlineLevel="0" collapsed="false">
      <c r="A30" s="27" t="s">
        <v>64</v>
      </c>
      <c r="B30" s="27" t="n">
        <f aca="false">COUNTIFS('Shorts ideas'!$J$6:$J$400,$A30,'Shorts ideas'!$H$6:$H$400,"Published")</f>
        <v>3</v>
      </c>
      <c r="C30" s="59" t="str">
        <f aca="false">IFERROR(AVERAGEIFS('Shorts ideas'!$AC$6:$AC$400,'Shorts ideas'!$J$6:$J$400,$A30,'Shorts ideas'!$AC$6:$AC$400,"&gt;0"),"")</f>
        <v/>
      </c>
      <c r="D30" s="60" t="str">
        <f aca="false">IFERROR(AVERAGEIFS('Shorts ideas'!$U$6:$U$400,'Shorts ideas'!$J$6:$J$400,$A30,'Shorts ideas'!$U$6:$U$400,"&gt;0"),"")</f>
        <v/>
      </c>
      <c r="E30" s="60" t="str">
        <f aca="false">IFERROR(AVERAGEIFS('Shorts ideas'!$AD$6:$AD$400,'Shorts ideas'!$J$6:$J$400,$A30,'Shorts ideas'!$AD$6:$AD$400,"&gt;0"),"")</f>
        <v/>
      </c>
      <c r="F30" s="59" t="str">
        <f aca="false">IFERROR(AVERAGEIFS('Shorts ideas'!$AL$6:$AL$400,'Shorts ideas'!$J$6:$J$400,$A30,'Shorts ideas'!$AL$6:$AL$400,"&gt;0"),"")</f>
        <v/>
      </c>
    </row>
    <row r="31" customFormat="false" ht="15" hidden="false" customHeight="false" outlineLevel="0" collapsed="false">
      <c r="A31" s="27" t="s">
        <v>237</v>
      </c>
      <c r="B31" s="27" t="n">
        <f aca="false">COUNTIFS('Shorts ideas'!$J$6:$J$400,$A31,'Shorts ideas'!$H$6:$H$400,"Published")</f>
        <v>0</v>
      </c>
      <c r="C31" s="59" t="str">
        <f aca="false">IFERROR(AVERAGEIFS('Shorts ideas'!$AC$6:$AC$400,'Shorts ideas'!$J$6:$J$400,$A31,'Shorts ideas'!$AC$6:$AC$400,"&gt;0"),"")</f>
        <v/>
      </c>
      <c r="D31" s="60" t="str">
        <f aca="false">IFERROR(AVERAGEIFS('Shorts ideas'!$U$6:$U$400,'Shorts ideas'!$J$6:$J$400,$A31,'Shorts ideas'!$U$6:$U$400,"&gt;0"),"")</f>
        <v/>
      </c>
      <c r="E31" s="60" t="str">
        <f aca="false">IFERROR(AVERAGEIFS('Shorts ideas'!$AD$6:$AD$400,'Shorts ideas'!$J$6:$J$400,$A31,'Shorts ideas'!$AD$6:$AD$400,"&gt;0"),"")</f>
        <v/>
      </c>
      <c r="F31" s="59" t="str">
        <f aca="false">IFERROR(AVERAGEIFS('Shorts ideas'!$AL$6:$AL$400,'Shorts ideas'!$J$6:$J$400,$A31,'Shorts ideas'!$AL$6:$AL$400,"&gt;0"),"")</f>
        <v/>
      </c>
    </row>
    <row r="33" customFormat="false" ht="26.85" hidden="false" customHeight="false" outlineLevel="0" collapsed="false">
      <c r="A33" s="5" t="s">
        <v>50</v>
      </c>
      <c r="B33" s="5" t="s">
        <v>63</v>
      </c>
      <c r="C33" s="5" t="s">
        <v>2344</v>
      </c>
      <c r="D33" s="5" t="s">
        <v>2345</v>
      </c>
      <c r="E33" s="5" t="s">
        <v>2346</v>
      </c>
      <c r="F33" s="5" t="s">
        <v>2347</v>
      </c>
    </row>
    <row r="34" customFormat="false" ht="15" hidden="false" customHeight="false" outlineLevel="0" collapsed="false">
      <c r="A34" s="27" t="s">
        <v>71</v>
      </c>
      <c r="B34" s="27" t="n">
        <f aca="false">COUNTIFS('Shorts ideas'!$AO$6:$AO$400,$A34,'Shorts ideas'!$H$6:$H$400,"Published")</f>
        <v>3</v>
      </c>
      <c r="C34" s="59" t="str">
        <f aca="false">IFERROR(AVERAGEIFS('Shorts ideas'!$AC$6:$AC$400,'Shorts ideas'!$AO$6:$AO$400,$A34,'Shorts ideas'!$AC$6:$AC$400,"&gt;0"),"")</f>
        <v/>
      </c>
      <c r="D34" s="60" t="str">
        <f aca="false">IFERROR(AVERAGEIFS('Shorts ideas'!$U$6:$U$400,'Shorts ideas'!$AO$6:$AO$400,$A34,'Shorts ideas'!$U$6:$U$400,"&gt;0"),"")</f>
        <v/>
      </c>
      <c r="E34" s="60" t="str">
        <f aca="false">IFERROR(AVERAGEIFS('Shorts ideas'!$AD$6:$AD$400,'Shorts ideas'!$AO$6:$AO$400,$A34,'Shorts ideas'!$AD$6:$AD$400,"&gt;0"),"")</f>
        <v/>
      </c>
      <c r="F34" s="59" t="str">
        <f aca="false">IFERROR(AVERAGEIFS('Shorts ideas'!$AL$6:$AL$400,'Shorts ideas'!$AO$6:$AO$400,$A34,'Shorts ideas'!$AL$6:$AL$400,"&gt;0"),"")</f>
        <v/>
      </c>
    </row>
    <row r="35" customFormat="false" ht="15" hidden="false" customHeight="false" outlineLevel="0" collapsed="false">
      <c r="A35" s="27" t="s">
        <v>173</v>
      </c>
      <c r="B35" s="27" t="n">
        <f aca="false">COUNTIFS('Shorts ideas'!$AO$6:$AO$400,$A35,'Shorts ideas'!$H$6:$H$400,"Published")</f>
        <v>0</v>
      </c>
      <c r="C35" s="59" t="str">
        <f aca="false">IFERROR(AVERAGEIFS('Shorts ideas'!$AC$6:$AC$400,'Shorts ideas'!$AO$6:$AO$400,$A35,'Shorts ideas'!$AC$6:$AC$400,"&gt;0"),"")</f>
        <v/>
      </c>
      <c r="D35" s="60" t="str">
        <f aca="false">IFERROR(AVERAGEIFS('Shorts ideas'!$U$6:$U$400,'Shorts ideas'!$AO$6:$AO$400,$A35,'Shorts ideas'!$U$6:$U$400,"&gt;0"),"")</f>
        <v/>
      </c>
      <c r="E35" s="60" t="str">
        <f aca="false">IFERROR(AVERAGEIFS('Shorts ideas'!$AD$6:$AD$400,'Shorts ideas'!$AO$6:$AO$400,$A35,'Shorts ideas'!$AD$6:$AD$400,"&gt;0"),"")</f>
        <v/>
      </c>
      <c r="F35" s="59" t="str">
        <f aca="false">IFERROR(AVERAGEIFS('Shorts ideas'!$AL$6:$AL$400,'Shorts ideas'!$AO$6:$AO$400,$A35,'Shorts ideas'!$AL$6:$AL$400,"&gt;0"),"")</f>
        <v/>
      </c>
    </row>
    <row r="36" customFormat="false" ht="15" hidden="false" customHeight="false" outlineLevel="0" collapsed="false">
      <c r="A36" s="27" t="s">
        <v>217</v>
      </c>
      <c r="B36" s="27" t="n">
        <f aca="false">COUNTIFS('Shorts ideas'!$AO$6:$AO$400,$A36,'Shorts ideas'!$H$6:$H$400,"Published")</f>
        <v>0</v>
      </c>
      <c r="C36" s="59" t="str">
        <f aca="false">IFERROR(AVERAGEIFS('Shorts ideas'!$AC$6:$AC$400,'Shorts ideas'!$AO$6:$AO$400,$A36,'Shorts ideas'!$AC$6:$AC$400,"&gt;0"),"")</f>
        <v/>
      </c>
      <c r="D36" s="60" t="str">
        <f aca="false">IFERROR(AVERAGEIFS('Shorts ideas'!$U$6:$U$400,'Shorts ideas'!$AO$6:$AO$400,$A36,'Shorts ideas'!$U$6:$U$400,"&gt;0"),"")</f>
        <v/>
      </c>
      <c r="E36" s="60" t="str">
        <f aca="false">IFERROR(AVERAGEIFS('Shorts ideas'!$AD$6:$AD$400,'Shorts ideas'!$AO$6:$AO$400,$A36,'Shorts ideas'!$AD$6:$AD$400,"&gt;0"),"")</f>
        <v/>
      </c>
      <c r="F36" s="59" t="str">
        <f aca="false">IFERROR(AVERAGEIFS('Shorts ideas'!$AL$6:$AL$400,'Shorts ideas'!$AO$6:$AO$400,$A36,'Shorts ideas'!$AL$6:$AL$400,"&gt;0"),"")</f>
        <v/>
      </c>
    </row>
    <row r="37" customFormat="false" ht="15" hidden="false" customHeight="false" outlineLevel="0" collapsed="false">
      <c r="A37" s="27" t="s">
        <v>139</v>
      </c>
      <c r="B37" s="27" t="n">
        <f aca="false">COUNTIFS('Shorts ideas'!$AO$6:$AO$400,$A37,'Shorts ideas'!$H$6:$H$400,"Published")</f>
        <v>0</v>
      </c>
      <c r="C37" s="59" t="str">
        <f aca="false">IFERROR(AVERAGEIFS('Shorts ideas'!$AC$6:$AC$400,'Shorts ideas'!$AO$6:$AO$400,$A37,'Shorts ideas'!$AC$6:$AC$400,"&gt;0"),"")</f>
        <v/>
      </c>
      <c r="D37" s="60" t="str">
        <f aca="false">IFERROR(AVERAGEIFS('Shorts ideas'!$U$6:$U$400,'Shorts ideas'!$AO$6:$AO$400,$A37,'Shorts ideas'!$U$6:$U$400,"&gt;0"),"")</f>
        <v/>
      </c>
      <c r="E37" s="60" t="str">
        <f aca="false">IFERROR(AVERAGEIFS('Shorts ideas'!$AD$6:$AD$400,'Shorts ideas'!$AO$6:$AO$400,$A37,'Shorts ideas'!$AD$6:$AD$400,"&gt;0"),"")</f>
        <v/>
      </c>
      <c r="F37" s="59" t="str">
        <f aca="false">IFERROR(AVERAGEIFS('Shorts ideas'!$AL$6:$AL$400,'Shorts ideas'!$AO$6:$AO$400,$A37,'Shorts ideas'!$AL$6:$AL$400,"&gt;0"),"")</f>
        <v/>
      </c>
    </row>
    <row r="38" customFormat="false" ht="15" hidden="false" customHeight="false" outlineLevel="0" collapsed="false">
      <c r="A38" s="27" t="s">
        <v>153</v>
      </c>
      <c r="B38" s="27" t="n">
        <f aca="false">COUNTIFS('Shorts ideas'!$AO$6:$AO$400,$A38,'Shorts ideas'!$H$6:$H$400,"Published")</f>
        <v>0</v>
      </c>
      <c r="C38" s="59" t="str">
        <f aca="false">IFERROR(AVERAGEIFS('Shorts ideas'!$AC$6:$AC$400,'Shorts ideas'!$AO$6:$AO$400,$A38,'Shorts ideas'!$AC$6:$AC$400,"&gt;0"),"")</f>
        <v/>
      </c>
      <c r="D38" s="60" t="str">
        <f aca="false">IFERROR(AVERAGEIFS('Shorts ideas'!$U$6:$U$400,'Shorts ideas'!$AO$6:$AO$400,$A38,'Shorts ideas'!$U$6:$U$400,"&gt;0"),"")</f>
        <v/>
      </c>
      <c r="E38" s="60" t="str">
        <f aca="false">IFERROR(AVERAGEIFS('Shorts ideas'!$AD$6:$AD$400,'Shorts ideas'!$AO$6:$AO$400,$A38,'Shorts ideas'!$AD$6:$AD$400,"&gt;0"),"")</f>
        <v/>
      </c>
      <c r="F38" s="59" t="str">
        <f aca="false">IFERROR(AVERAGEIFS('Shorts ideas'!$AL$6:$AL$400,'Shorts ideas'!$AO$6:$AO$400,$A38,'Shorts ideas'!$AL$6:$AL$400,"&gt;0"),"")</f>
        <v/>
      </c>
    </row>
    <row r="39" customFormat="false" ht="15" hidden="false" customHeight="false" outlineLevel="0" collapsed="false">
      <c r="A39" s="27" t="s">
        <v>122</v>
      </c>
      <c r="B39" s="27" t="n">
        <f aca="false">COUNTIFS('Shorts ideas'!$AO$6:$AO$400,$A39,'Shorts ideas'!$H$6:$H$400,"Published")</f>
        <v>0</v>
      </c>
      <c r="C39" s="59" t="str">
        <f aca="false">IFERROR(AVERAGEIFS('Shorts ideas'!$AC$6:$AC$400,'Shorts ideas'!$AO$6:$AO$400,$A39,'Shorts ideas'!$AC$6:$AC$400,"&gt;0"),"")</f>
        <v/>
      </c>
      <c r="D39" s="60" t="str">
        <f aca="false">IFERROR(AVERAGEIFS('Shorts ideas'!$U$6:$U$400,'Shorts ideas'!$AO$6:$AO$400,$A39,'Shorts ideas'!$U$6:$U$400,"&gt;0"),"")</f>
        <v/>
      </c>
      <c r="E39" s="60" t="str">
        <f aca="false">IFERROR(AVERAGEIFS('Shorts ideas'!$AD$6:$AD$400,'Shorts ideas'!$AO$6:$AO$400,$A39,'Shorts ideas'!$AD$6:$AD$400,"&gt;0"),"")</f>
        <v/>
      </c>
      <c r="F39" s="59" t="str">
        <f aca="false">IFERROR(AVERAGEIFS('Shorts ideas'!$AL$6:$AL$400,'Shorts ideas'!$AO$6:$AO$400,$A39,'Shorts ideas'!$AL$6:$AL$400,"&gt;0"),"")</f>
        <v/>
      </c>
    </row>
    <row r="40" customFormat="false" ht="15" hidden="false" customHeight="false" outlineLevel="0" collapsed="false">
      <c r="A40" s="27" t="s">
        <v>231</v>
      </c>
      <c r="B40" s="27" t="n">
        <f aca="false">COUNTIFS('Shorts ideas'!$AO$6:$AO$400,$A40,'Shorts ideas'!$H$6:$H$400,"Published")</f>
        <v>0</v>
      </c>
      <c r="C40" s="59" t="str">
        <f aca="false">IFERROR(AVERAGEIFS('Shorts ideas'!$AC$6:$AC$400,'Shorts ideas'!$AO$6:$AO$400,$A40,'Shorts ideas'!$AC$6:$AC$400,"&gt;0"),"")</f>
        <v/>
      </c>
      <c r="D40" s="60" t="str">
        <f aca="false">IFERROR(AVERAGEIFS('Shorts ideas'!$U$6:$U$400,'Shorts ideas'!$AO$6:$AO$400,$A40,'Shorts ideas'!$U$6:$U$400,"&gt;0"),"")</f>
        <v/>
      </c>
      <c r="E40" s="60" t="str">
        <f aca="false">IFERROR(AVERAGEIFS('Shorts ideas'!$AD$6:$AD$400,'Shorts ideas'!$AO$6:$AO$400,$A40,'Shorts ideas'!$AD$6:$AD$400,"&gt;0"),"")</f>
        <v/>
      </c>
      <c r="F40" s="59" t="str">
        <f aca="false">IFERROR(AVERAGEIFS('Shorts ideas'!$AL$6:$AL$400,'Shorts ideas'!$AO$6:$AO$400,$A40,'Shorts ideas'!$AL$6:$AL$400,"&gt;0"),"")</f>
        <v/>
      </c>
    </row>
    <row r="41" customFormat="false" ht="15" hidden="false" customHeight="false" outlineLevel="0" collapsed="false">
      <c r="A41" s="27" t="s">
        <v>273</v>
      </c>
      <c r="B41" s="27" t="n">
        <f aca="false">COUNTIFS('Shorts ideas'!$AO$6:$AO$400,$A41,'Shorts ideas'!$H$6:$H$400,"Published")</f>
        <v>0</v>
      </c>
      <c r="C41" s="59" t="str">
        <f aca="false">IFERROR(AVERAGEIFS('Shorts ideas'!$AC$6:$AC$400,'Shorts ideas'!$AO$6:$AO$400,$A41,'Shorts ideas'!$AC$6:$AC$400,"&gt;0"),"")</f>
        <v/>
      </c>
      <c r="D41" s="60" t="str">
        <f aca="false">IFERROR(AVERAGEIFS('Shorts ideas'!$U$6:$U$400,'Shorts ideas'!$AO$6:$AO$400,$A41,'Shorts ideas'!$U$6:$U$400,"&gt;0"),"")</f>
        <v/>
      </c>
      <c r="E41" s="60" t="str">
        <f aca="false">IFERROR(AVERAGEIFS('Shorts ideas'!$AD$6:$AD$400,'Shorts ideas'!$AO$6:$AO$400,$A41,'Shorts ideas'!$AD$6:$AD$400,"&gt;0"),"")</f>
        <v/>
      </c>
      <c r="F41" s="59" t="str">
        <f aca="false">IFERROR(AVERAGEIFS('Shorts ideas'!$AL$6:$AL$400,'Shorts ideas'!$AO$6:$AO$400,$A41,'Shorts ideas'!$AL$6:$AL$400,"&gt;0"),"")</f>
        <v/>
      </c>
    </row>
    <row r="42" customFormat="false" ht="15" hidden="false" customHeight="false" outlineLevel="0" collapsed="false">
      <c r="A42" s="27" t="s">
        <v>84</v>
      </c>
      <c r="B42" s="27" t="n">
        <f aca="false">COUNTIFS('Shorts ideas'!$AO$6:$AO$400,$A42,'Shorts ideas'!$H$6:$H$400,"Published")</f>
        <v>0</v>
      </c>
      <c r="C42" s="59" t="str">
        <f aca="false">IFERROR(AVERAGEIFS('Shorts ideas'!$AC$6:$AC$400,'Shorts ideas'!$AO$6:$AO$400,$A42,'Shorts ideas'!$AC$6:$AC$400,"&gt;0"),"")</f>
        <v/>
      </c>
      <c r="D42" s="60" t="str">
        <f aca="false">IFERROR(AVERAGEIFS('Shorts ideas'!$U$6:$U$400,'Shorts ideas'!$AO$6:$AO$400,$A42,'Shorts ideas'!$U$6:$U$400,"&gt;0"),"")</f>
        <v/>
      </c>
      <c r="E42" s="60" t="str">
        <f aca="false">IFERROR(AVERAGEIFS('Shorts ideas'!$AD$6:$AD$400,'Shorts ideas'!$AO$6:$AO$400,$A42,'Shorts ideas'!$AD$6:$AD$400,"&gt;0"),"")</f>
        <v/>
      </c>
      <c r="F42" s="59" t="str">
        <f aca="false">IFERROR(AVERAGEIFS('Shorts ideas'!$AL$6:$AL$400,'Shorts ideas'!$AO$6:$AO$400,$A42,'Shorts ideas'!$AL$6:$AL$400,"&gt;0"),"")</f>
        <v/>
      </c>
    </row>
    <row r="43" customFormat="false" ht="15" hidden="false" customHeight="false" outlineLevel="0" collapsed="false">
      <c r="A43" s="27" t="s">
        <v>241</v>
      </c>
      <c r="B43" s="27" t="n">
        <f aca="false">COUNTIFS('Shorts ideas'!$AO$6:$AO$400,$A43,'Shorts ideas'!$H$6:$H$400,"Published")</f>
        <v>0</v>
      </c>
      <c r="C43" s="59" t="str">
        <f aca="false">IFERROR(AVERAGEIFS('Shorts ideas'!$AC$6:$AC$400,'Shorts ideas'!$AO$6:$AO$400,$A43,'Shorts ideas'!$AC$6:$AC$400,"&gt;0"),"")</f>
        <v/>
      </c>
      <c r="D43" s="60" t="str">
        <f aca="false">IFERROR(AVERAGEIFS('Shorts ideas'!$U$6:$U$400,'Shorts ideas'!$AO$6:$AO$400,$A43,'Shorts ideas'!$U$6:$U$400,"&gt;0"),"")</f>
        <v/>
      </c>
      <c r="E43" s="60" t="str">
        <f aca="false">IFERROR(AVERAGEIFS('Shorts ideas'!$AD$6:$AD$400,'Shorts ideas'!$AO$6:$AO$400,$A43,'Shorts ideas'!$AD$6:$AD$400,"&gt;0"),"")</f>
        <v/>
      </c>
      <c r="F43" s="59" t="str">
        <f aca="false">IFERROR(AVERAGEIFS('Shorts ideas'!$AL$6:$AL$400,'Shorts ideas'!$AO$6:$AO$400,$A43,'Shorts ideas'!$AL$6:$AL$400,"&gt;0"),"")</f>
        <v/>
      </c>
    </row>
    <row r="44" customFormat="false" ht="15" hidden="false" customHeight="false" outlineLevel="0" collapsed="false">
      <c r="A44" s="27" t="s">
        <v>299</v>
      </c>
      <c r="B44" s="27" t="n">
        <f aca="false">COUNTIFS('Shorts ideas'!$AO$6:$AO$400,$A44,'Shorts ideas'!$H$6:$H$400,"Published")</f>
        <v>0</v>
      </c>
      <c r="C44" s="59" t="str">
        <f aca="false">IFERROR(AVERAGEIFS('Shorts ideas'!$AC$6:$AC$400,'Shorts ideas'!$AO$6:$AO$400,$A44,'Shorts ideas'!$AC$6:$AC$400,"&gt;0"),"")</f>
        <v/>
      </c>
      <c r="D44" s="60" t="str">
        <f aca="false">IFERROR(AVERAGEIFS('Shorts ideas'!$U$6:$U$400,'Shorts ideas'!$AO$6:$AO$400,$A44,'Shorts ideas'!$U$6:$U$400,"&gt;0"),"")</f>
        <v/>
      </c>
      <c r="E44" s="60" t="str">
        <f aca="false">IFERROR(AVERAGEIFS('Shorts ideas'!$AD$6:$AD$400,'Shorts ideas'!$AO$6:$AO$400,$A44,'Shorts ideas'!$AD$6:$AD$400,"&gt;0"),"")</f>
        <v/>
      </c>
      <c r="F44" s="59" t="str">
        <f aca="false">IFERROR(AVERAGEIFS('Shorts ideas'!$AL$6:$AL$400,'Shorts ideas'!$AO$6:$AO$400,$A44,'Shorts ideas'!$AL$6:$AL$400,"&gt;0"),"")</f>
        <v/>
      </c>
    </row>
    <row r="45" customFormat="false" ht="15" hidden="false" customHeight="false" outlineLevel="0" collapsed="false">
      <c r="A45" s="27" t="s">
        <v>134</v>
      </c>
      <c r="B45" s="27" t="n">
        <f aca="false">COUNTIFS('Shorts ideas'!$AO$6:$AO$400,$A45,'Shorts ideas'!$H$6:$H$400,"Published")</f>
        <v>0</v>
      </c>
      <c r="C45" s="59" t="str">
        <f aca="false">IFERROR(AVERAGEIFS('Shorts ideas'!$AC$6:$AC$400,'Shorts ideas'!$AO$6:$AO$400,$A45,'Shorts ideas'!$AC$6:$AC$400,"&gt;0"),"")</f>
        <v/>
      </c>
      <c r="D45" s="60" t="str">
        <f aca="false">IFERROR(AVERAGEIFS('Shorts ideas'!$U$6:$U$400,'Shorts ideas'!$AO$6:$AO$400,$A45,'Shorts ideas'!$U$6:$U$400,"&gt;0"),"")</f>
        <v/>
      </c>
      <c r="E45" s="60" t="str">
        <f aca="false">IFERROR(AVERAGEIFS('Shorts ideas'!$AD$6:$AD$400,'Shorts ideas'!$AO$6:$AO$400,$A45,'Shorts ideas'!$AD$6:$AD$400,"&gt;0"),"")</f>
        <v/>
      </c>
      <c r="F45" s="59" t="str">
        <f aca="false">IFERROR(AVERAGEIFS('Shorts ideas'!$AL$6:$AL$400,'Shorts ideas'!$AO$6:$AO$400,$A45,'Shorts ideas'!$AL$6:$AL$400,"&gt;0"),"")</f>
        <v/>
      </c>
    </row>
    <row r="46" customFormat="false" ht="15" hidden="false" customHeight="false" outlineLevel="0" collapsed="false">
      <c r="A46" s="27" t="s">
        <v>208</v>
      </c>
      <c r="B46" s="27" t="n">
        <f aca="false">COUNTIFS('Shorts ideas'!$AO$6:$AO$400,$A46,'Shorts ideas'!$H$6:$H$400,"Published")</f>
        <v>0</v>
      </c>
      <c r="C46" s="59" t="str">
        <f aca="false">IFERROR(AVERAGEIFS('Shorts ideas'!$AC$6:$AC$400,'Shorts ideas'!$AO$6:$AO$400,$A46,'Shorts ideas'!$AC$6:$AC$400,"&gt;0"),"")</f>
        <v/>
      </c>
      <c r="D46" s="60" t="str">
        <f aca="false">IFERROR(AVERAGEIFS('Shorts ideas'!$U$6:$U$400,'Shorts ideas'!$AO$6:$AO$400,$A46,'Shorts ideas'!$U$6:$U$400,"&gt;0"),"")</f>
        <v/>
      </c>
      <c r="E46" s="60" t="str">
        <f aca="false">IFERROR(AVERAGEIFS('Shorts ideas'!$AD$6:$AD$400,'Shorts ideas'!$AO$6:$AO$400,$A46,'Shorts ideas'!$AD$6:$AD$400,"&gt;0"),"")</f>
        <v/>
      </c>
      <c r="F46" s="59" t="str">
        <f aca="false">IFERROR(AVERAGEIFS('Shorts ideas'!$AL$6:$AL$400,'Shorts ideas'!$AO$6:$AO$400,$A46,'Shorts ideas'!$AL$6:$AL$400,"&gt;0"),"")</f>
        <v/>
      </c>
    </row>
    <row r="47" customFormat="false" ht="15" hidden="false" customHeight="false" outlineLevel="0" collapsed="false">
      <c r="A47" s="27" t="s">
        <v>322</v>
      </c>
      <c r="B47" s="27" t="n">
        <f aca="false">COUNTIFS('Shorts ideas'!$AO$6:$AO$400,$A47,'Shorts ideas'!$H$6:$H$400,"Published")</f>
        <v>0</v>
      </c>
      <c r="C47" s="59" t="str">
        <f aca="false">IFERROR(AVERAGEIFS('Shorts ideas'!$AC$6:$AC$400,'Shorts ideas'!$AO$6:$AO$400,$A47,'Shorts ideas'!$AC$6:$AC$400,"&gt;0"),"")</f>
        <v/>
      </c>
      <c r="D47" s="60" t="str">
        <f aca="false">IFERROR(AVERAGEIFS('Shorts ideas'!$U$6:$U$400,'Shorts ideas'!$AO$6:$AO$400,$A47,'Shorts ideas'!$U$6:$U$400,"&gt;0"),"")</f>
        <v/>
      </c>
      <c r="E47" s="60" t="str">
        <f aca="false">IFERROR(AVERAGEIFS('Shorts ideas'!$AD$6:$AD$400,'Shorts ideas'!$AO$6:$AO$400,$A47,'Shorts ideas'!$AD$6:$AD$400,"&gt;0"),"")</f>
        <v/>
      </c>
      <c r="F47" s="59" t="str">
        <f aca="false">IFERROR(AVERAGEIFS('Shorts ideas'!$AL$6:$AL$400,'Shorts ideas'!$AO$6:$AO$400,$A47,'Shorts ideas'!$AL$6:$AL$400,"&gt;0"),"")</f>
        <v/>
      </c>
    </row>
    <row r="48" customFormat="false" ht="15" hidden="false" customHeight="false" outlineLevel="0" collapsed="false">
      <c r="A48" s="27" t="s">
        <v>286</v>
      </c>
      <c r="B48" s="27" t="n">
        <f aca="false">COUNTIFS('Shorts ideas'!$AO$6:$AO$400,$A48,'Shorts ideas'!$H$6:$H$400,"Published")</f>
        <v>0</v>
      </c>
      <c r="C48" s="59" t="str">
        <f aca="false">IFERROR(AVERAGEIFS('Shorts ideas'!$AC$6:$AC$400,'Shorts ideas'!$AO$6:$AO$400,$A48,'Shorts ideas'!$AC$6:$AC$400,"&gt;0"),"")</f>
        <v/>
      </c>
      <c r="D48" s="60" t="str">
        <f aca="false">IFERROR(AVERAGEIFS('Shorts ideas'!$U$6:$U$400,'Shorts ideas'!$AO$6:$AO$400,$A48,'Shorts ideas'!$U$6:$U$400,"&gt;0"),"")</f>
        <v/>
      </c>
      <c r="E48" s="60" t="str">
        <f aca="false">IFERROR(AVERAGEIFS('Shorts ideas'!$AD$6:$AD$400,'Shorts ideas'!$AO$6:$AO$400,$A48,'Shorts ideas'!$AD$6:$AD$400,"&gt;0"),"")</f>
        <v/>
      </c>
      <c r="F48" s="59" t="str">
        <f aca="false">IFERROR(AVERAGEIFS('Shorts ideas'!$AL$6:$AL$400,'Shorts ideas'!$AO$6:$AO$400,$A48,'Shorts ideas'!$AL$6:$AL$400,"&gt;0"),"")</f>
        <v/>
      </c>
    </row>
    <row r="49" customFormat="false" ht="15" hidden="false" customHeight="false" outlineLevel="0" collapsed="false">
      <c r="A49" s="27" t="s">
        <v>382</v>
      </c>
      <c r="B49" s="27" t="n">
        <f aca="false">COUNTIFS('Shorts ideas'!$AO$6:$AO$400,$A49,'Shorts ideas'!$H$6:$H$400,"Published")</f>
        <v>0</v>
      </c>
      <c r="C49" s="59" t="str">
        <f aca="false">IFERROR(AVERAGEIFS('Shorts ideas'!$AC$6:$AC$400,'Shorts ideas'!$AO$6:$AO$400,$A49,'Shorts ideas'!$AC$6:$AC$400,"&gt;0"),"")</f>
        <v/>
      </c>
      <c r="D49" s="60" t="str">
        <f aca="false">IFERROR(AVERAGEIFS('Shorts ideas'!$U$6:$U$400,'Shorts ideas'!$AO$6:$AO$400,$A49,'Shorts ideas'!$U$6:$U$400,"&gt;0"),"")</f>
        <v/>
      </c>
      <c r="E49" s="60" t="str">
        <f aca="false">IFERROR(AVERAGEIFS('Shorts ideas'!$AD$6:$AD$400,'Shorts ideas'!$AO$6:$AO$400,$A49,'Shorts ideas'!$AD$6:$AD$400,"&gt;0"),"")</f>
        <v/>
      </c>
      <c r="F49" s="59" t="str">
        <f aca="false">IFERROR(AVERAGEIFS('Shorts ideas'!$AL$6:$AL$400,'Shorts ideas'!$AO$6:$AO$400,$A49,'Shorts ideas'!$AL$6:$AL$400,"&gt;0"),"")</f>
        <v/>
      </c>
    </row>
    <row r="50" customFormat="false" ht="15" hidden="false" customHeight="false" outlineLevel="0" collapsed="false">
      <c r="A50" s="27" t="s">
        <v>95</v>
      </c>
      <c r="B50" s="27" t="n">
        <f aca="false">COUNTIFS('Shorts ideas'!$AO$6:$AO$400,$A50,'Shorts ideas'!$H$6:$H$400,"Published")</f>
        <v>0</v>
      </c>
      <c r="C50" s="59" t="str">
        <f aca="false">IFERROR(AVERAGEIFS('Shorts ideas'!$AC$6:$AC$400,'Shorts ideas'!$AO$6:$AO$400,$A50,'Shorts ideas'!$AC$6:$AC$400,"&gt;0"),"")</f>
        <v/>
      </c>
      <c r="D50" s="60" t="str">
        <f aca="false">IFERROR(AVERAGEIFS('Shorts ideas'!$U$6:$U$400,'Shorts ideas'!$AO$6:$AO$400,$A50,'Shorts ideas'!$U$6:$U$400,"&gt;0"),"")</f>
        <v/>
      </c>
      <c r="E50" s="60" t="str">
        <f aca="false">IFERROR(AVERAGEIFS('Shorts ideas'!$AD$6:$AD$400,'Shorts ideas'!$AO$6:$AO$400,$A50,'Shorts ideas'!$AD$6:$AD$400,"&gt;0"),"")</f>
        <v/>
      </c>
      <c r="F50" s="59" t="str">
        <f aca="false">IFERROR(AVERAGEIFS('Shorts ideas'!$AL$6:$AL$400,'Shorts ideas'!$AO$6:$AO$400,$A50,'Shorts ideas'!$AL$6:$AL$400,"&gt;0"),"")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2026-10-11T22:10:01Z</dcterms:created>
  <dc:creator>openpyxl</dc:creator>
  <dc:description/>
  <dc:language>en-US</dc:language>
  <cp:lastModifiedBy/>
  <dcterms:modified xsi:type="dcterms:W3CDTF">2026-10-19T05:06:56Z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