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0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Scheduled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Scripted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/>
      <c r="M10" s="68">
        <f>IF(L10="","",TEXT(L10,"ddd"))</f>
        <v/>
      </c>
      <c r="N10" s="69" t="inlineStr">
        <is>
          <t>thoughts</t>
        </is>
      </c>
      <c r="O10" s="69" t="n"/>
      <c r="P10" s="69" t="n"/>
      <c r="Q10" s="69" t="inlineStr">
        <is>
          <t>Arkes &amp; Blumer 1985, OBHDP 35(1):124-140; ski trip 00 Michigan vs 0 Wisconsin, 54% (33/61) chose Michigan</t>
        </is>
      </c>
      <c r="R10" s="69" t="n"/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Scripted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Idea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n"/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Idea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n"/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Idea</t>
        </is>
      </c>
      <c r="I14" s="69" t="n">
        <v>64</v>
      </c>
      <c r="J14" s="69" t="inlineStr">
        <is>
          <t>Strong</t>
        </is>
      </c>
      <c r="K14" s="69" t="n"/>
      <c r="L14" s="70" t="n"/>
      <c r="M14" s="68">
        <f>IF(L14="","",TEXT(L14,"ddd"))</f>
        <v/>
      </c>
      <c r="N14" s="69" t="n"/>
      <c r="O14" s="69" t="n"/>
      <c r="P14" s="69" t="n"/>
      <c r="Q14" s="69" t="n"/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n"/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Idea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n"/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Scheduled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Scripted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/>
      <c r="M20" s="68">
        <f>IF(L20="","",TEXT(L20,"ddd"))</f>
        <v/>
      </c>
      <c r="N20" s="69" t="inlineStr">
        <is>
          <t>thoughts</t>
        </is>
      </c>
      <c r="O20" s="69" t="n"/>
      <c r="P20" s="69" t="n"/>
      <c r="Q20" s="69" t="inlineStr">
        <is>
          <t>Loftus &amp; Palmer 1974, JVLVB 13(5):585-589; smashed 40.5 mph vs hit 34.0; broken glass 32% vs 14%</t>
        </is>
      </c>
      <c r="R20" s="69" t="n"/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Idea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Idea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n"/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Scripted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Idea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n"/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Idea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n"/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Scripted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Idea</t>
        </is>
      </c>
      <c r="I28" s="69" t="n">
        <v>79</v>
      </c>
      <c r="J28" s="69" t="inlineStr">
        <is>
          <t>Weak</t>
        </is>
      </c>
      <c r="K28" s="69" t="n"/>
      <c r="L28" s="70" t="n"/>
      <c r="M28" s="68">
        <f>IF(L28="","",TEXT(L28,"ddd"))</f>
        <v/>
      </c>
      <c r="N28" s="69" t="n"/>
      <c r="O28" s="69" t="n"/>
      <c r="P28" s="69" t="n"/>
      <c r="Q28" s="69" t="n"/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n"/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Idea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n"/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Idea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n"/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Idea</t>
        </is>
      </c>
      <c r="I33" s="69" t="n">
        <v>32</v>
      </c>
      <c r="J33" s="69" t="inlineStr">
        <is>
          <t>Strong</t>
        </is>
      </c>
      <c r="K33" s="69" t="n"/>
      <c r="L33" s="70" t="n"/>
      <c r="M33" s="68">
        <f>IF(L33="","",TEXT(L33,"ddd"))</f>
        <v/>
      </c>
      <c r="N33" s="69" t="n"/>
      <c r="O33" s="69" t="n"/>
      <c r="P33" s="69" t="n"/>
      <c r="Q33" s="69" t="n"/>
      <c r="R33" s="69" t="n"/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dossier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Idea</t>
        </is>
      </c>
      <c r="I34" s="69" t="n">
        <v>40</v>
      </c>
      <c r="J34" s="69" t="inlineStr">
        <is>
          <t>Strong</t>
        </is>
      </c>
      <c r="K34" s="69" t="n"/>
      <c r="L34" s="70" t="n"/>
      <c r="M34" s="68">
        <f>IF(L34="","",TEXT(L34,"ddd"))</f>
        <v/>
      </c>
      <c r="N34" s="69" t="n"/>
      <c r="O34" s="69" t="n"/>
      <c r="P34" s="69" t="n"/>
      <c r="Q34" s="69" t="n"/>
      <c r="R34" s="69" t="n"/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cartoon-50s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Idea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n"/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Idea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n"/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Idea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n"/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Idea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n"/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Scheduled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Idea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n"/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Idea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n"/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Idea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n"/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Idea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n"/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Idea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n"/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Idea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n"/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Idea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n"/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Idea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n"/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Idea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n"/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Idea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n"/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Idea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n"/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Idea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n"/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Idea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n"/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Idea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n"/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Idea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n"/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Idea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n"/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Idea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n"/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Idea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n"/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Scheduled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Scripted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/>
      <c r="M70" s="68">
        <f>IF(L70="","",TEXT(L70,"ddd"))</f>
        <v/>
      </c>
      <c r="N70" s="69" t="inlineStr">
        <is>
          <t>eyes</t>
        </is>
      </c>
      <c r="O70" s="69" t="n"/>
      <c r="P70" s="69" t="n"/>
      <c r="Q70" s="69" t="inlineStr">
        <is>
          <t>Darley &amp; Latane 1968, JPSP 8(4):377-383; alone 85% helped before seizure ended vs 31% with four others</t>
        </is>
      </c>
      <c r="R70" s="69" t="n"/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Scripted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Idea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n"/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Idea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n"/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Idea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n"/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Idea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n"/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Idea</t>
        </is>
      </c>
      <c r="I79" s="69" t="n">
        <v>35</v>
      </c>
      <c r="J79" s="69" t="inlineStr">
        <is>
          <t>Strong</t>
        </is>
      </c>
      <c r="K79" s="69" t="n"/>
      <c r="L79" s="70" t="n"/>
      <c r="M79" s="68">
        <f>IF(L79="","",TEXT(L79,"ddd"))</f>
        <v/>
      </c>
      <c r="N79" s="69" t="n"/>
      <c r="O79" s="69" t="n"/>
      <c r="P79" s="69" t="n"/>
      <c r="Q79" s="69" t="n"/>
      <c r="R79" s="69" t="n"/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whiteboard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Idea</t>
        </is>
      </c>
      <c r="I80" s="69" t="n">
        <v>42</v>
      </c>
      <c r="J80" s="69" t="inlineStr">
        <is>
          <t>Strong</t>
        </is>
      </c>
      <c r="K80" s="69" t="n"/>
      <c r="L80" s="70" t="n"/>
      <c r="M80" s="68">
        <f>IF(L80="","",TEXT(L80,"ddd"))</f>
        <v/>
      </c>
      <c r="N80" s="69" t="n"/>
      <c r="O80" s="69" t="n"/>
      <c r="P80" s="69" t="n"/>
      <c r="Q80" s="69" t="n"/>
      <c r="R80" s="69" t="n"/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one-line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Idea</t>
        </is>
      </c>
      <c r="I81" s="69" t="n">
        <v>49</v>
      </c>
      <c r="J81" s="69" t="inlineStr">
        <is>
          <t>Strong</t>
        </is>
      </c>
      <c r="K81" s="69" t="n"/>
      <c r="L81" s="70" t="n"/>
      <c r="M81" s="68">
        <f>IF(L81="","",TEXT(L81,"ddd"))</f>
        <v/>
      </c>
      <c r="N81" s="69" t="n"/>
      <c r="O81" s="69" t="n"/>
      <c r="P81" s="69" t="n"/>
      <c r="Q81" s="69" t="n"/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n"/>
      <c r="AO81" s="69" t="inlineStr">
        <is>
          <t>dossier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Idea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n"/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Idea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n"/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Idea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n"/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Idea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n"/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Idea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n"/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Scheduled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Scripted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/>
      <c r="M90" s="68">
        <f>IF(L90="","",TEXT(L90,"ddd"))</f>
        <v/>
      </c>
      <c r="N90" s="69" t="inlineStr">
        <is>
          <t>eyes</t>
        </is>
      </c>
      <c r="O90" s="69" t="n"/>
      <c r="P90" s="69" t="n"/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n"/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Scripted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n"/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Idea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n"/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Idea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n"/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Idea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n"/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Idea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n"/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Scheduled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Scripted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/>
      <c r="M99" s="68">
        <f>IF(L99="","",TEXT(L99,"ddd"))</f>
        <v/>
      </c>
      <c r="N99" s="69" t="inlineStr">
        <is>
          <t>eyes</t>
        </is>
      </c>
      <c r="O99" s="69" t="n"/>
      <c r="P99" s="69" t="n"/>
      <c r="Q99" s="69" t="inlineStr">
        <is>
          <t>Bond &amp; DePaulo 2006, PSPR 10(3):214-234; 206 studies, ~24,000 judges, 54% accuracy</t>
        </is>
      </c>
      <c r="R99" s="69" t="n"/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Idea</t>
        </is>
      </c>
      <c r="I100" s="69" t="n">
        <v>44</v>
      </c>
      <c r="J100" s="69" t="inlineStr">
        <is>
          <t>Strong</t>
        </is>
      </c>
      <c r="K100" s="69" t="n"/>
      <c r="L100" s="70" t="n"/>
      <c r="M100" s="68">
        <f>IF(L100="","",TEXT(L100,"ddd"))</f>
        <v/>
      </c>
      <c r="N100" s="69" t="n"/>
      <c r="O100" s="69" t="n"/>
      <c r="P100" s="69" t="n"/>
      <c r="Q100" s="69" t="n"/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n"/>
      <c r="AO100" s="69" t="inlineStr">
        <is>
          <t>game-show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Idea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n"/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Idea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n"/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Idea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n"/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Idea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n"/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Idea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n"/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07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07" showDropDown="0" showInputMessage="0" showErrorMessage="0" allowBlank="1" type="list" errorStyle="stop" operator="between">
      <formula1>"Strong,Weak"</formula1>
      <formula2>0</formula2>
    </dataValidation>
    <dataValidation sqref="AO6:AO107" showDropDown="0" showInputMessage="0" showErrorMessage="0" allowBlank="1" type="list" errorStyle="stop" operator="between">
      <formula1>Looks!$A$5:$A$21</formula1>
      <formula2>0</formula2>
    </dataValidation>
    <dataValidation sqref="AP6:AP107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2026-10-19T21:14:43Z</dcterms:modified>
  <cp:revision>0</cp:revision>
</cp:coreProperties>
</file>