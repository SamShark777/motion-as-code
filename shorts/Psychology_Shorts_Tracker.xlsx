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>
        <v>14</v>
      </c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 2026-10-25 review: d14 from Buffer at age 14 d: YT 14.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>
        <v>538</v>
      </c>
      <c r="T8" s="69" t="n"/>
      <c r="U8" s="72">
        <f>IF(OR(T8="",N(O8)=0),"",T8/O8)</f>
        <v/>
      </c>
      <c r="V8" s="69" t="n">
        <v>5</v>
      </c>
      <c r="W8" s="69" t="n">
        <v>0</v>
      </c>
      <c r="X8" s="69" t="n"/>
      <c r="Y8" s="71" t="n">
        <v>1342</v>
      </c>
      <c r="Z8" s="69" t="n">
        <v>15</v>
      </c>
      <c r="AA8" s="71" t="n">
        <v>83</v>
      </c>
      <c r="AB8" s="69" t="n">
        <v>7</v>
      </c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inlineStr">
        <is>
          <t>2026-10-25 review: d7 from Buffer at age 10 d: YT 538 · IG 1342 (34% ret) · TT 83 (17% ret).</t>
        </is>
      </c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>
        <v>175</v>
      </c>
      <c r="T16" s="69" t="n"/>
      <c r="U16" s="72">
        <f>IF(OR(T16="",N(O16)=0),"",T16/O16)</f>
        <v/>
      </c>
      <c r="V16" s="69" t="n">
        <v>2</v>
      </c>
      <c r="W16" s="69" t="n">
        <v>0</v>
      </c>
      <c r="X16" s="69" t="n"/>
      <c r="Y16" s="71" t="n">
        <v>33</v>
      </c>
      <c r="Z16" s="69" t="n">
        <v>0</v>
      </c>
      <c r="AA16" s="71" t="n">
        <v>155</v>
      </c>
      <c r="AB16" s="69" t="n">
        <v>7</v>
      </c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 2026-10-25 review: d7 from Buffer at age 13 d: YT 175 · IG 33 (20% ret) · TT 155 (47% ret).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>
        <v>944</v>
      </c>
      <c r="T18" s="69" t="n"/>
      <c r="U18" s="72">
        <f>IF(OR(T18="",N(O18)=0),"",T18/O18)</f>
        <v/>
      </c>
      <c r="V18" s="69" t="n">
        <v>21</v>
      </c>
      <c r="W18" s="69" t="n">
        <v>0</v>
      </c>
      <c r="X18" s="69" t="n"/>
      <c r="Y18" s="71" t="n"/>
      <c r="Z18" s="69" t="n"/>
      <c r="AA18" s="71" t="n">
        <v>49</v>
      </c>
      <c r="AB18" s="69" t="n">
        <v>4</v>
      </c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inlineStr">
        <is>
          <t>2026-10-25 review: d7 from Buffer at age 8 d: YT 944 · TT 49 (14% ret).</t>
        </is>
      </c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>
        <v>11</v>
      </c>
      <c r="T27" s="69" t="n"/>
      <c r="U27" s="72">
        <f>IF(OR(T27="",N(O27)=0),"",T27/O27)</f>
        <v/>
      </c>
      <c r="V27" s="69" t="n">
        <v>1</v>
      </c>
      <c r="W27" s="69" t="n">
        <v>0</v>
      </c>
      <c r="X27" s="69" t="n"/>
      <c r="Y27" s="71" t="n"/>
      <c r="Z27" s="69" t="n"/>
      <c r="AA27" s="71" t="n">
        <v>283</v>
      </c>
      <c r="AB27" s="69" t="n">
        <v>5</v>
      </c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 2026-10-25 review: d7 from Buffer at age 12 d: YT 11 · TT 283 (15% ret).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buffer:youtube=6ad27dfe5720e82b418e1b51;tiktok=6ad27dfe346e510ac44f4f9b;instagram=6adfbc8a2e4832a623d60834</t>
        </is>
      </c>
      <c r="S30" s="71" t="n">
        <v>1056</v>
      </c>
      <c r="T30" s="69" t="n"/>
      <c r="U30" s="72">
        <f>IF(OR(T30="",N(O30)=0),"",T30/O30)</f>
        <v/>
      </c>
      <c r="V30" s="69" t="n">
        <v>27</v>
      </c>
      <c r="W30" s="69" t="n">
        <v>0</v>
      </c>
      <c r="X30" s="69" t="n"/>
      <c r="Y30" s="71" t="n"/>
      <c r="Z30" s="69" t="n"/>
      <c r="AA30" s="71" t="n">
        <v>61</v>
      </c>
      <c r="AB30" s="69" t="n">
        <v>10</v>
      </c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inlineStr">
        <is>
          <t>2026-10-25 review: d7 from Buffer at age 8 d: YT 1056 · TT 61 (26% ret).</t>
        </is>
      </c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>
        <v>12</v>
      </c>
      <c r="T37" s="69" t="n"/>
      <c r="U37" s="72">
        <f>IF(OR(T37="",N(O37)=0),"",T37/O37)</f>
        <v/>
      </c>
      <c r="V37" s="69" t="n">
        <v>0</v>
      </c>
      <c r="W37" s="69" t="n">
        <v>0</v>
      </c>
      <c r="X37" s="69" t="n"/>
      <c r="Y37" s="71" t="n">
        <v>11</v>
      </c>
      <c r="Z37" s="69" t="n">
        <v>0</v>
      </c>
      <c r="AA37" s="71" t="n">
        <v>38</v>
      </c>
      <c r="AB37" s="69" t="n">
        <v>1</v>
      </c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inlineStr">
        <is>
          <t>2026-10-25 review: d7 from Buffer at age 11 d: YT 12 · IG 11 (15% ret) · TT 38 (18% ret).</t>
        </is>
      </c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>
        <v>189</v>
      </c>
      <c r="T40" s="69" t="n"/>
      <c r="U40" s="72">
        <f>IF(OR(T40="",N(O40)=0),"",T40/O40)</f>
        <v/>
      </c>
      <c r="V40" s="69" t="n">
        <v>4</v>
      </c>
      <c r="W40" s="69" t="n">
        <v>0</v>
      </c>
      <c r="X40" s="69" t="n"/>
      <c r="Y40" s="71" t="n">
        <v>140</v>
      </c>
      <c r="Z40" s="69" t="n">
        <v>2</v>
      </c>
      <c r="AA40" s="71" t="n">
        <v>40</v>
      </c>
      <c r="AB40" s="69" t="n">
        <v>2</v>
      </c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inlineStr">
        <is>
          <t>2026-10-25 review: d7 from Buffer at age 9 d: YT 189 · IG 140 (13% ret) · TT 40 (11% ret).</t>
        </is>
      </c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>
        <v>261</v>
      </c>
      <c r="T41" s="69" t="n"/>
      <c r="U41" s="72">
        <f>IF(OR(T41="",N(O41)=0),"",T41/O41)</f>
        <v/>
      </c>
      <c r="V41" s="69" t="n">
        <v>9</v>
      </c>
      <c r="W41" s="69" t="n">
        <v>0</v>
      </c>
      <c r="X41" s="69" t="n"/>
      <c r="Y41" s="71" t="n"/>
      <c r="Z41" s="69" t="n"/>
      <c r="AA41" s="71" t="n">
        <v>62</v>
      </c>
      <c r="AB41" s="69" t="n">
        <v>18</v>
      </c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inlineStr">
        <is>
          <t>2026-10-25 review: d7 from Buffer at age 8 d: YT 261 · TT 62 (15% ret).</t>
        </is>
      </c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>
        <v>40</v>
      </c>
      <c r="T47" s="69" t="n"/>
      <c r="U47" s="72">
        <f>IF(OR(T47="",N(O47)=0),"",T47/O47)</f>
        <v/>
      </c>
      <c r="V47" s="69" t="n">
        <v>0</v>
      </c>
      <c r="W47" s="69" t="n">
        <v>0</v>
      </c>
      <c r="X47" s="69" t="n"/>
      <c r="Y47" s="71" t="n">
        <v>10</v>
      </c>
      <c r="Z47" s="69" t="n">
        <v>0</v>
      </c>
      <c r="AA47" s="71" t="n">
        <v>20</v>
      </c>
      <c r="AB47" s="69" t="n">
        <v>1</v>
      </c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inlineStr">
        <is>
          <t>2026-10-25 review: d7 from Buffer at age 11 d: YT 40 · IG 10 (8% ret) · TT 20 (11% ret).</t>
        </is>
      </c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>
        <v>523</v>
      </c>
      <c r="T48" s="69" t="n"/>
      <c r="U48" s="72">
        <f>IF(OR(T48="",N(O48)=0),"",T48/O48)</f>
        <v/>
      </c>
      <c r="V48" s="69" t="n">
        <v>5</v>
      </c>
      <c r="W48" s="69" t="n">
        <v>0</v>
      </c>
      <c r="X48" s="69" t="n"/>
      <c r="Y48" s="71" t="n">
        <v>123</v>
      </c>
      <c r="Z48" s="69" t="n">
        <v>2</v>
      </c>
      <c r="AA48" s="71" t="n">
        <v>16</v>
      </c>
      <c r="AB48" s="69" t="n">
        <v>2</v>
      </c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inlineStr">
        <is>
          <t>2026-10-25 review: d7 from Buffer at age 11 d: YT 523 · IG 123 (22% ret) · TT 16 (11% ret).</t>
        </is>
      </c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>
        <v>423</v>
      </c>
      <c r="T52" s="69" t="n"/>
      <c r="U52" s="72">
        <f>IF(OR(T52="",N(O52)=0),"",T52/O52)</f>
        <v/>
      </c>
      <c r="V52" s="69" t="n">
        <v>10</v>
      </c>
      <c r="W52" s="69" t="n">
        <v>0</v>
      </c>
      <c r="X52" s="69" t="n"/>
      <c r="Y52" s="71" t="n"/>
      <c r="Z52" s="69" t="n"/>
      <c r="AA52" s="71" t="n">
        <v>30</v>
      </c>
      <c r="AB52" s="69" t="n">
        <v>2</v>
      </c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inlineStr">
        <is>
          <t>2026-10-25 review: d7 from Buffer at age 7 d: YT 423 · TT 30 (9% ret).</t>
        </is>
      </c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>
        <v>42</v>
      </c>
      <c r="T63" s="69" t="n"/>
      <c r="U63" s="72">
        <f>IF(OR(T63="",N(O63)=0),"",T63/O63)</f>
        <v/>
      </c>
      <c r="V63" s="69" t="n">
        <v>0</v>
      </c>
      <c r="W63" s="69" t="n">
        <v>0</v>
      </c>
      <c r="X63" s="69" t="n"/>
      <c r="Y63" s="71" t="n">
        <v>43</v>
      </c>
      <c r="Z63" s="69" t="n">
        <v>0</v>
      </c>
      <c r="AA63" s="71" t="n">
        <v>83</v>
      </c>
      <c r="AB63" s="69" t="n">
        <v>0</v>
      </c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inlineStr">
        <is>
          <t>2026-10-25 review: d7 from Buffer at age 11 d: YT 42 · IG 43 (13% ret) · TT 83 (9% ret).</t>
        </is>
      </c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>
        <v>182</v>
      </c>
      <c r="T64" s="69" t="n"/>
      <c r="U64" s="72">
        <f>IF(OR(T64="",N(O64)=0),"",T64/O64)</f>
        <v/>
      </c>
      <c r="V64" s="69" t="n">
        <v>5</v>
      </c>
      <c r="W64" s="69" t="n">
        <v>0</v>
      </c>
      <c r="X64" s="69" t="n"/>
      <c r="Y64" s="71" t="n">
        <v>215</v>
      </c>
      <c r="Z64" s="69" t="n">
        <v>1</v>
      </c>
      <c r="AA64" s="71" t="n">
        <v>34</v>
      </c>
      <c r="AB64" s="69" t="n">
        <v>3</v>
      </c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inlineStr">
        <is>
          <t>2026-10-25 review: d7 from Buffer at age 9 d: YT 182 · IG 215 (29% ret) · TT 34 (9% ret).</t>
        </is>
      </c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>
        <v>1238</v>
      </c>
      <c r="T66" s="69" t="n"/>
      <c r="U66" s="72">
        <f>IF(OR(T66="",N(O66)=0),"",T66/O66)</f>
        <v/>
      </c>
      <c r="V66" s="69" t="n">
        <v>9</v>
      </c>
      <c r="W66" s="69" t="n">
        <v>0</v>
      </c>
      <c r="X66" s="69" t="n"/>
      <c r="Y66" s="71" t="n">
        <v>520</v>
      </c>
      <c r="Z66" s="69" t="n">
        <v>5</v>
      </c>
      <c r="AA66" s="71" t="n">
        <v>94</v>
      </c>
      <c r="AB66" s="69" t="n">
        <v>1</v>
      </c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inlineStr">
        <is>
          <t>2026-10-25 review: d7 from Buffer at age 11 d: YT 1238 · IG 520 (37% ret) · TT 94 (13% ret).</t>
        </is>
      </c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>
        <v>160</v>
      </c>
      <c r="T67" s="69" t="n"/>
      <c r="U67" s="72">
        <f>IF(OR(T67="",N(O67)=0),"",T67/O67)</f>
        <v/>
      </c>
      <c r="V67" s="69" t="n">
        <v>2</v>
      </c>
      <c r="W67" s="69" t="n">
        <v>0</v>
      </c>
      <c r="X67" s="69" t="n"/>
      <c r="Y67" s="71" t="n">
        <v>253</v>
      </c>
      <c r="Z67" s="69" t="n">
        <v>3</v>
      </c>
      <c r="AA67" s="71" t="n">
        <v>13</v>
      </c>
      <c r="AB67" s="69" t="n">
        <v>2</v>
      </c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inlineStr">
        <is>
          <t>2026-10-25 review: d7 from Buffer at age 9 d: YT 160 · IG 253 (28% ret) · TT 13 (53% ret).</t>
        </is>
      </c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>
        <v>672</v>
      </c>
      <c r="T68" s="69" t="n"/>
      <c r="U68" s="72">
        <f>IF(OR(T68="",N(O68)=0),"",T68/O68)</f>
        <v/>
      </c>
      <c r="V68" s="69" t="n">
        <v>7</v>
      </c>
      <c r="W68" s="69" t="n">
        <v>0</v>
      </c>
      <c r="X68" s="69" t="n"/>
      <c r="Y68" s="71" t="n"/>
      <c r="Z68" s="69" t="n"/>
      <c r="AA68" s="71" t="n">
        <v>33</v>
      </c>
      <c r="AB68" s="69" t="n">
        <v>1</v>
      </c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inlineStr">
        <is>
          <t>2026-10-25 review: d7 from Buffer at age 7 d: YT 672 · TT 33 (8% ret).</t>
        </is>
      </c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>
        <v>666</v>
      </c>
      <c r="T76" s="69" t="n"/>
      <c r="U76" s="72">
        <f>IF(OR(T76="",N(O76)=0),"",T76/O76)</f>
        <v/>
      </c>
      <c r="V76" s="69" t="n">
        <v>4</v>
      </c>
      <c r="W76" s="69" t="n">
        <v>0</v>
      </c>
      <c r="X76" s="69" t="n"/>
      <c r="Y76" s="71" t="n">
        <v>14</v>
      </c>
      <c r="Z76" s="69" t="n">
        <v>0</v>
      </c>
      <c r="AA76" s="71" t="n">
        <v>75</v>
      </c>
      <c r="AB76" s="69" t="n">
        <v>5</v>
      </c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inlineStr">
        <is>
          <t>2026-10-25 review: d7 from Buffer at age 11 d: YT 666 · IG 14 (12% ret) · TT 75 (18% ret).</t>
        </is>
      </c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>
        <v>804</v>
      </c>
      <c r="T77" s="69" t="n"/>
      <c r="U77" s="72">
        <f>IF(OR(T77="",N(O77)=0),"",T77/O77)</f>
        <v/>
      </c>
      <c r="V77" s="69" t="n">
        <v>9</v>
      </c>
      <c r="W77" s="69" t="n">
        <v>4</v>
      </c>
      <c r="X77" s="69" t="n"/>
      <c r="Y77" s="71" t="n">
        <v>1509</v>
      </c>
      <c r="Z77" s="69" t="n">
        <v>15</v>
      </c>
      <c r="AA77" s="71" t="n">
        <v>9</v>
      </c>
      <c r="AB77" s="69" t="n">
        <v>1</v>
      </c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inlineStr">
        <is>
          <t>2026-10-25 review: d7 from Buffer at age 9 d: YT 804 · IG 1509 (48% ret) · TT 9 (14% ret).</t>
        </is>
      </c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>
        <v>119</v>
      </c>
      <c r="T78" s="69" t="n"/>
      <c r="U78" s="72">
        <f>IF(OR(T78="",N(O78)=0),"",T78/O78)</f>
        <v/>
      </c>
      <c r="V78" s="69" t="n">
        <v>3</v>
      </c>
      <c r="W78" s="69" t="n">
        <v>0</v>
      </c>
      <c r="X78" s="69" t="n"/>
      <c r="Y78" s="71" t="n"/>
      <c r="Z78" s="69" t="n"/>
      <c r="AA78" s="71" t="n">
        <v>24</v>
      </c>
      <c r="AB78" s="69" t="n">
        <v>3</v>
      </c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inlineStr">
        <is>
          <t>2026-10-25 review: d7 from Buffer at age 7 d: YT 119 · TT 24 (16% ret).</t>
        </is>
      </c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>
        <v>123</v>
      </c>
      <c r="T87" s="69" t="n"/>
      <c r="U87" s="72">
        <f>IF(OR(T87="",N(O87)=0),"",T87/O87)</f>
        <v/>
      </c>
      <c r="V87" s="69" t="n">
        <v>0</v>
      </c>
      <c r="W87" s="69" t="n">
        <v>0</v>
      </c>
      <c r="X87" s="69" t="n"/>
      <c r="Y87" s="71" t="n">
        <v>4</v>
      </c>
      <c r="Z87" s="69" t="n">
        <v>0</v>
      </c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inlineStr">
        <is>
          <t>2026-10-25 review: d7 from Buffer at age 10 d: YT 123 · IG 4 (4% ret).</t>
        </is>
      </c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>
        <v>295</v>
      </c>
      <c r="T88" s="69" t="n"/>
      <c r="U88" s="72">
        <f>IF(OR(T88="",N(O88)=0),"",T88/O88)</f>
        <v/>
      </c>
      <c r="V88" s="69" t="n">
        <v>9</v>
      </c>
      <c r="W88" s="69" t="n">
        <v>0</v>
      </c>
      <c r="X88" s="69" t="n"/>
      <c r="Y88" s="71" t="n">
        <v>327</v>
      </c>
      <c r="Z88" s="69" t="n">
        <v>5</v>
      </c>
      <c r="AA88" s="71" t="n">
        <v>2</v>
      </c>
      <c r="AB88" s="69" t="n">
        <v>1</v>
      </c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inlineStr">
        <is>
          <t>2026-10-25 review: d7 from Buffer at age 9 d: YT 295 · IG 327 (25% ret) · TT 2 (4% ret).</t>
        </is>
      </c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>
        <v>251</v>
      </c>
      <c r="T97" s="69" t="n"/>
      <c r="U97" s="72">
        <f>IF(OR(T97="",N(O97)=0),"",T97/O97)</f>
        <v/>
      </c>
      <c r="V97" s="69" t="n">
        <v>3</v>
      </c>
      <c r="W97" s="69" t="n">
        <v>0</v>
      </c>
      <c r="X97" s="69" t="n"/>
      <c r="Y97" s="71" t="n"/>
      <c r="Z97" s="69" t="n"/>
      <c r="AA97" s="71" t="n">
        <v>115</v>
      </c>
      <c r="AB97" s="69" t="n">
        <v>12</v>
      </c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inlineStr">
        <is>
          <t>2026-10-25 review: d7 from Buffer at age 10 d: YT 251 · TT 115 (19% ret).</t>
        </is>
      </c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>
        <v>3</v>
      </c>
      <c r="T106" s="69" t="n"/>
      <c r="U106" s="72">
        <f>IF(OR(T106="",N(O106)=0),"",T106/O106)</f>
        <v/>
      </c>
      <c r="V106" s="69" t="n">
        <v>0</v>
      </c>
      <c r="W106" s="69" t="n">
        <v>0</v>
      </c>
      <c r="X106" s="69" t="n"/>
      <c r="Y106" s="71" t="n">
        <v>21</v>
      </c>
      <c r="Z106" s="69" t="n">
        <v>0</v>
      </c>
      <c r="AA106" s="71" t="n">
        <v>24</v>
      </c>
      <c r="AB106" s="69" t="n">
        <v>1</v>
      </c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inlineStr">
        <is>
          <t>2026-10-25 review: d7 from Buffer at age 10 d: YT 3 · IG 21 (17% ret) · TT 24 (3% ret).</t>
        </is>
      </c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>
        <v>107</v>
      </c>
      <c r="T107" s="69" t="n"/>
      <c r="U107" s="72">
        <f>IF(OR(T107="",N(O107)=0),"",T107/O107)</f>
        <v/>
      </c>
      <c r="V107" s="69" t="n">
        <v>5</v>
      </c>
      <c r="W107" s="69" t="n">
        <v>0</v>
      </c>
      <c r="X107" s="69" t="n"/>
      <c r="Y107" s="71" t="n"/>
      <c r="Z107" s="69" t="n"/>
      <c r="AA107" s="71" t="n">
        <v>1</v>
      </c>
      <c r="AB107" s="69" t="n">
        <v>0</v>
      </c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inlineStr">
        <is>
          <t>2026-10-25 review: d7 from Buffer at age 9 d: YT 107 · TT 1 (6% ret).</t>
        </is>
      </c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Published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inlineStr">
        <is>
          <t>2026-10-25 review: sent on all 3 per Buffer; early (~1 day) IG 1638 (52% ret) · TT 45 (13%) · YT 4. Pattern-test day 1.</t>
        </is>
      </c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Published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inlineStr">
        <is>
          <t>2026-10-25 review: sent on all 3 per Buffer; early (~1 day) IG 226 (37% ret) · TT 54 (20%) · YT 0. Pattern-test day 1.</t>
        </is>
      </c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Published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inlineStr">
        <is>
          <t>2026-10-25 review: sent on all 3 per Buffer; early (~1 day) IG 1361 (42% ret) · TT 30 (13%) · YT 0. Pattern-test day 1.</t>
        </is>
      </c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Scheduled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>
        <v>46321</v>
      </c>
      <c r="M114" s="123">
        <f>IF(L114="","",TEXT(L114,"ddd"))</f>
        <v/>
      </c>
      <c r="N114" s="124" t="n"/>
      <c r="O114" s="124" t="n">
        <v>30</v>
      </c>
      <c r="P114" s="124" t="inlineStr">
        <is>
          <t>Why You See the Game When You Close Your Eyes #shorts</t>
        </is>
      </c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inlineStr">
        <is>
          <t>buffer:youtube=6ade5a388b3d437ddc2479fa;instagram=6ade5a39e4be8a4d86c30f8b;tiktok=6ade5a3a3d5b27036bec0941</t>
        </is>
      </c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Vetoed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>
        <v>46321</v>
      </c>
      <c r="M115" s="123">
        <f>IF(L115="","",TEXT(L115,"ddd"))</f>
        <v/>
      </c>
      <c r="N115" s="124" t="n"/>
      <c r="O115" s="124" t="n">
        <v>44</v>
      </c>
      <c r="P115" s="124" t="inlineStr">
        <is>
          <t>The Easy Question Half of Harvard Got Wrong #shorts</t>
        </is>
      </c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inlineStr">
        <is>
          <t>buffer:youtube=6ade5a3dbd33ce99c38a3357;instagram=6ade5a3ebd33ce99c38a338a;tiktok=6ade5a3e0b5343d070eb2880</t>
        </is>
      </c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2026-10-26 Shivam: stick format stopped; scheduled Buffer posts deleted before they went out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Vetoed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>
        <v>46321</v>
      </c>
      <c r="M116" s="123">
        <f>IF(L116="","",TEXT(L116,"ddd"))</f>
        <v/>
      </c>
      <c r="N116" s="124" t="n"/>
      <c r="O116" s="124" t="n">
        <v>37</v>
      </c>
      <c r="P116" s="124" t="inlineStr">
        <is>
          <t>The Waiter Trick That Doubles Tips #shorts</t>
        </is>
      </c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inlineStr">
        <is>
          <t>buffer:youtube=6ade5a41bd33ce99c38a3420;instagram=6ade5a426887a2efc11fea8a;tiktok=6ade5a420b5343d070eb292c</t>
        </is>
      </c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2026-10-26 Shivam: stick format stopped; scheduled Buffer posts deleted before they went out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Vetoed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inlineStr">
        <is>
          <t>2026-10-26 Shivam: stick format stopped for psychology Shorts (replaced by the tedmg/retro style cycle); never built</t>
        </is>
      </c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Vetoed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inlineStr">
        <is>
          <t>2026-10-26 Shivam: stick format stopped for psychology Shorts (replaced by the tedmg/retro style cycle); never built</t>
        </is>
      </c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Vetoed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inlineStr">
        <is>
          <t>2026-10-26 Shivam: stick format stopped for psychology Shorts (replaced by the tedmg/retro style cycle); never built</t>
        </is>
      </c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Scheduled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Scheduled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Scheduled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  <row r="141">
      <c r="A141" s="123" t="n">
        <v>136</v>
      </c>
      <c r="B141" s="123" t="inlineStr">
        <is>
          <t>Character story</t>
        </is>
      </c>
      <c r="C141" s="123" t="inlineStr">
        <is>
          <t>Arthur &amp; the Critic: one criticism beats ten compliments (negativity bias)</t>
        </is>
      </c>
      <c r="D141" s="123" t="inlineStr">
        <is>
          <t>Arthur got ten compliments today. And one criticism.</t>
        </is>
      </c>
      <c r="E141" s="123" t="inlineStr">
        <is>
          <t>Negativity bias: bad is stronger than good (Baumeister et al. 2001; Rozin &amp; Royzman 2001); the Critic is an old alarm</t>
        </is>
      </c>
      <c r="F141" s="123" t="n"/>
      <c r="G141" s="123" t="n"/>
      <c r="H141" s="123" t="inlineStr">
        <is>
          <t>Scheduled</t>
        </is>
      </c>
      <c r="I141" s="124" t="n">
        <v>0</v>
      </c>
      <c r="J141" s="124" t="n"/>
      <c r="K141" s="124" t="inlineStr">
        <is>
          <t>arthur-the-critic</t>
        </is>
      </c>
      <c r="L141" s="125" t="n">
        <v>46321</v>
      </c>
      <c r="M141" s="123">
        <f>IF(L141="","",TEXT(L141,"ddd"))</f>
        <v/>
      </c>
      <c r="N141" s="124" t="n"/>
      <c r="O141" s="124" t="n">
        <v>30</v>
      </c>
      <c r="P141" s="124" t="inlineStr">
        <is>
          <t>Why One Insult Beats Ten Compliments #shorts</t>
        </is>
      </c>
      <c r="Q141" s="124" t="inlineStr">
        <is>
          <t>Baumeister, Bratslavsky, Finkenauer &amp; Vohs 2001 (Rev Gen Psych); Rozin &amp; Royzman 2001 (PSPR)</t>
        </is>
      </c>
      <c r="R141" s="124" t="inlineStr">
        <is>
          <t>buffer:youtube=6adfbc87ca308c8a23248624;instagram=6adfbc883ffda7dd058ff2ba;tiktok=6adfbc883ffda7dd058ff2ef</t>
        </is>
      </c>
      <c r="S141" s="126" t="n"/>
      <c r="T141" s="124" t="n"/>
      <c r="U141" s="127">
        <f>IF(OR(T141="",N(O141)=0),"",T141/O141)</f>
        <v/>
      </c>
      <c r="V141" s="124" t="n"/>
      <c r="W141" s="124" t="n"/>
      <c r="X141" s="124" t="n"/>
      <c r="Y141" s="126" t="n"/>
      <c r="Z141" s="124" t="n"/>
      <c r="AA141" s="126" t="n"/>
      <c r="AB141" s="124" t="n"/>
      <c r="AC141" s="128">
        <f>IF(COUNT(S141,Y141,AA141)=0,"",SUM(S141,Y141,AA141))</f>
        <v/>
      </c>
      <c r="AD141" s="127">
        <f>IF(N(AC141)=0,"",SUM(V141,W141,X141,Z141,AB141)/AC141)</f>
        <v/>
      </c>
      <c r="AE141" s="126" t="n"/>
      <c r="AF141" s="126" t="n"/>
      <c r="AG141" s="126" t="n"/>
      <c r="AH141" s="128">
        <f>IF(COUNT(AE141,AF141,AG141)=0,"",SUM(AE141,AF141,AG141))</f>
        <v/>
      </c>
      <c r="AI141" s="126" t="n"/>
      <c r="AJ141" s="126" t="n"/>
      <c r="AK141" s="126" t="n"/>
      <c r="AL141" s="128">
        <f>IF(COUNT(AI141,AJ141,AK141)=0,"",SUM(AI141,AJ141,AK141))</f>
        <v/>
      </c>
      <c r="AM141" s="123">
        <f>IF(N(AC141)=0,"",IF(COUNT($AC$6:$AC$105)&lt;5,"Too early",IF(AC141&gt;=1.5*MEDIAN($AC$6:$AC$105),"Top",IF(AC141&lt;=0.5*MEDIAN($AC$6:$AC$105),"Low","Average"))))</f>
        <v/>
      </c>
      <c r="AN141" s="124" t="n"/>
      <c r="AO141" s="124" t="inlineStr">
        <is>
          <t>retro</t>
        </is>
      </c>
      <c r="AP141" s="129" t="n"/>
      <c r="AQ141" s="129" t="n"/>
      <c r="AR141" s="129" t="n"/>
      <c r="AS141" s="129" t="n"/>
      <c r="AT141" s="129" t="n"/>
      <c r="AU141" s="129" t="n"/>
      <c r="AV141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1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1" showDropDown="0" showInputMessage="0" showErrorMessage="0" allowBlank="1" type="list" errorStyle="stop" operator="between">
      <formula1>"Strong,Weak"</formula1>
      <formula2>0</formula2>
    </dataValidation>
    <dataValidation sqref="AO6:AO141" showDropDown="0" showInputMessage="0" showErrorMessage="0" allowBlank="1" type="list" errorStyle="stop" operator="between">
      <formula1>Looks!$A$5:$A$21</formula1>
      <formula2>0</formula2>
    </dataValidation>
    <dataValidation sqref="AP6:AP141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2026-10-26T20:48:10Z</dcterms:modified>
  <cp:revision>0</cp:revision>
</cp:coreProperties>
</file>